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My Drive\github\systematic_review\systematic_review\examples\network_meta_analysis\screening\title_abstract_screening\"/>
    </mc:Choice>
  </mc:AlternateContent>
  <xr:revisionPtr revIDLastSave="0" documentId="13_ncr:1_{5DFA4A12-FC27-459C-8B17-9800A354FDDC}" xr6:coauthVersionLast="47" xr6:coauthVersionMax="47" xr10:uidLastSave="{00000000-0000-0000-0000-000000000000}"/>
  <bookViews>
    <workbookView xWindow="-110" yWindow="-110" windowWidth="19420" windowHeight="11020" firstSheet="2" activeTab="2" xr2:uid="{DDE23D41-4411-4076-A25B-D69600AEBE86}"/>
  </bookViews>
  <sheets>
    <sheet name="title_abstract_screening_2026-0" sheetId="1" state="hidden" r:id="rId1"/>
    <sheet name="title_abstract_screening" sheetId="6" r:id="rId2"/>
    <sheet name="full-text_screening" sheetId="8" r:id="rId3"/>
    <sheet name="screening" sheetId="3" state="hidden" r:id="rId4"/>
    <sheet name="reviews_for_citation" sheetId="5" r:id="rId5"/>
    <sheet name="citation_back-searching_results" sheetId="7" r:id="rId6"/>
  </sheets>
  <definedNames>
    <definedName name="_xlnm._FilterDatabase" localSheetId="3" hidden="1">screening!$K$1:$L$669</definedName>
    <definedName name="_xlnm._FilterDatabase" localSheetId="1" hidden="1">title_abstract_screening!$A$1:$E$669</definedName>
    <definedName name="ExternalData_1" localSheetId="4" hidden="1">reviews_for_citation!$A$1:$J$248</definedName>
    <definedName name="ExternalData_1" localSheetId="3" hidden="1">screening!$A$1:$J$669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6" i="6" l="1"/>
  <c r="B309" i="6"/>
  <c r="B330" i="6"/>
  <c r="B215" i="6"/>
  <c r="B346" i="6"/>
  <c r="B174" i="6"/>
  <c r="B668" i="6"/>
  <c r="B617" i="6"/>
  <c r="B214" i="6"/>
  <c r="B460" i="6"/>
  <c r="B664" i="6"/>
  <c r="B663" i="6"/>
  <c r="B662" i="6"/>
  <c r="B661" i="6"/>
  <c r="B660" i="6"/>
  <c r="B659" i="6"/>
  <c r="B658" i="6"/>
  <c r="B657" i="6"/>
  <c r="B267" i="6"/>
  <c r="B655" i="6"/>
  <c r="B29" i="6"/>
  <c r="B653" i="6"/>
  <c r="B282" i="6"/>
  <c r="B651" i="6"/>
  <c r="B650" i="6"/>
  <c r="B593" i="6"/>
  <c r="B422" i="6"/>
  <c r="B646" i="6"/>
  <c r="B50" i="6"/>
  <c r="B13" i="6"/>
  <c r="B369" i="6"/>
  <c r="B642" i="6"/>
  <c r="B641" i="6"/>
  <c r="B640" i="6"/>
  <c r="B323" i="6"/>
  <c r="B258" i="6"/>
  <c r="B637" i="6"/>
  <c r="B636" i="6"/>
  <c r="B635" i="6"/>
  <c r="B634" i="6"/>
  <c r="B633" i="6"/>
  <c r="B632" i="6"/>
  <c r="B647" i="6"/>
  <c r="B630" i="6"/>
  <c r="B639" i="6"/>
  <c r="B628" i="6"/>
  <c r="B629" i="6"/>
  <c r="B627" i="6"/>
  <c r="B625" i="6"/>
  <c r="B624" i="6"/>
  <c r="B623" i="6"/>
  <c r="B622" i="6"/>
  <c r="B255" i="6"/>
  <c r="B620" i="6"/>
  <c r="B619" i="6"/>
  <c r="B618" i="6"/>
  <c r="B478" i="6"/>
  <c r="B616" i="6"/>
  <c r="B454" i="6"/>
  <c r="B614" i="6"/>
  <c r="B613" i="6"/>
  <c r="B612" i="6"/>
  <c r="B611" i="6"/>
  <c r="B610" i="6"/>
  <c r="B652" i="6"/>
  <c r="B631" i="6"/>
  <c r="B607" i="6"/>
  <c r="B606" i="6"/>
  <c r="B605" i="6"/>
  <c r="B604" i="6"/>
  <c r="B561" i="6"/>
  <c r="B602" i="6"/>
  <c r="B542" i="6"/>
  <c r="B521" i="6"/>
  <c r="B599" i="6"/>
  <c r="B598" i="6"/>
  <c r="B596" i="6"/>
  <c r="B12" i="6"/>
  <c r="B10" i="6"/>
  <c r="B20" i="6"/>
  <c r="B592" i="6"/>
  <c r="B591" i="6"/>
  <c r="B319" i="6"/>
  <c r="B589" i="6"/>
  <c r="B588" i="6"/>
  <c r="B587" i="6"/>
  <c r="B586" i="6"/>
  <c r="B585" i="6"/>
  <c r="B276" i="6"/>
  <c r="B266" i="6"/>
  <c r="B582" i="6"/>
  <c r="B254" i="6"/>
  <c r="B580" i="6"/>
  <c r="B579" i="6"/>
  <c r="B578" i="6"/>
  <c r="B577" i="6"/>
  <c r="B576" i="6"/>
  <c r="B575" i="6"/>
  <c r="B574" i="6"/>
  <c r="B573" i="6"/>
  <c r="B572" i="6"/>
  <c r="B155" i="6"/>
  <c r="B570" i="6"/>
  <c r="B569" i="6"/>
  <c r="B568" i="6"/>
  <c r="B134" i="6"/>
  <c r="B566" i="6"/>
  <c r="B565" i="6"/>
  <c r="B564" i="6"/>
  <c r="B563" i="6"/>
  <c r="B78" i="6"/>
  <c r="B49" i="6"/>
  <c r="B560" i="6"/>
  <c r="B559" i="6"/>
  <c r="B558" i="6"/>
  <c r="B23" i="6"/>
  <c r="B556" i="6"/>
  <c r="B555" i="6"/>
  <c r="B554" i="6"/>
  <c r="B553" i="6"/>
  <c r="B645" i="6"/>
  <c r="B551" i="6"/>
  <c r="B550" i="6"/>
  <c r="B549" i="6"/>
  <c r="B548" i="6"/>
  <c r="B603" i="6"/>
  <c r="B546" i="6"/>
  <c r="B545" i="6"/>
  <c r="B581" i="6"/>
  <c r="B543" i="6"/>
  <c r="B562" i="6"/>
  <c r="B541" i="6"/>
  <c r="B540" i="6"/>
  <c r="B528" i="6"/>
  <c r="B538" i="6"/>
  <c r="B512" i="6"/>
  <c r="B536" i="6"/>
  <c r="B535" i="6"/>
  <c r="B534" i="6"/>
  <c r="B372" i="6"/>
  <c r="B532" i="6"/>
  <c r="B531" i="6"/>
  <c r="B530" i="6"/>
  <c r="B529" i="6"/>
  <c r="B342" i="6"/>
  <c r="B527" i="6"/>
  <c r="B526" i="6"/>
  <c r="B525" i="6"/>
  <c r="B318" i="6"/>
  <c r="B316" i="6"/>
  <c r="B311" i="6"/>
  <c r="B308" i="6"/>
  <c r="B520" i="6"/>
  <c r="B519" i="6"/>
  <c r="B518" i="6"/>
  <c r="B517" i="6"/>
  <c r="B516" i="6"/>
  <c r="B515" i="6"/>
  <c r="B257" i="6"/>
  <c r="B513" i="6"/>
  <c r="B240" i="6"/>
  <c r="B511" i="6"/>
  <c r="B510" i="6"/>
  <c r="B509" i="6"/>
  <c r="B508" i="6"/>
  <c r="B507" i="6"/>
  <c r="B506" i="6"/>
  <c r="B133" i="6"/>
  <c r="B504" i="6"/>
  <c r="B503" i="6"/>
  <c r="B108" i="6"/>
  <c r="B501" i="6"/>
  <c r="B500" i="6"/>
  <c r="B499" i="6"/>
  <c r="B498" i="6"/>
  <c r="B497" i="6"/>
  <c r="B496" i="6"/>
  <c r="B495" i="6"/>
  <c r="B494" i="6"/>
  <c r="B493" i="6"/>
  <c r="B225" i="6"/>
  <c r="B491" i="6"/>
  <c r="B183" i="6"/>
  <c r="B489" i="6"/>
  <c r="B488" i="6"/>
  <c r="B113" i="6"/>
  <c r="B111" i="6"/>
  <c r="B485" i="6"/>
  <c r="B484" i="6"/>
  <c r="B483" i="6"/>
  <c r="B482" i="6"/>
  <c r="B481" i="6"/>
  <c r="B480" i="6"/>
  <c r="B479" i="6"/>
  <c r="B26" i="6"/>
  <c r="B477" i="6"/>
  <c r="B476" i="6"/>
  <c r="B15" i="6"/>
  <c r="B474" i="6"/>
  <c r="B473" i="6"/>
  <c r="B472" i="6"/>
  <c r="B471" i="6"/>
  <c r="B470" i="6"/>
  <c r="B469" i="6"/>
  <c r="B468" i="6"/>
  <c r="B467" i="6"/>
  <c r="B466" i="6"/>
  <c r="B465" i="6"/>
  <c r="B464" i="6"/>
  <c r="B463" i="6"/>
  <c r="B462" i="6"/>
  <c r="B245" i="6"/>
  <c r="B236" i="6"/>
  <c r="B459" i="6"/>
  <c r="B458" i="6"/>
  <c r="B457" i="6"/>
  <c r="B456" i="6"/>
  <c r="B152" i="6"/>
  <c r="B141" i="6"/>
  <c r="B453" i="6"/>
  <c r="B452" i="6"/>
  <c r="B52" i="6"/>
  <c r="B450" i="6"/>
  <c r="B449" i="6"/>
  <c r="B448" i="6"/>
  <c r="B608" i="6"/>
  <c r="B446" i="6"/>
  <c r="B445" i="6"/>
  <c r="B444" i="6"/>
  <c r="B443" i="6"/>
  <c r="B442" i="6"/>
  <c r="B441" i="6"/>
  <c r="B220" i="6"/>
  <c r="B439" i="6"/>
  <c r="B142" i="6"/>
  <c r="B437" i="6"/>
  <c r="B436" i="6"/>
  <c r="B435" i="6"/>
  <c r="B19" i="6"/>
  <c r="B433" i="6"/>
  <c r="B432" i="6"/>
  <c r="B431" i="6"/>
  <c r="B430" i="6"/>
  <c r="B429" i="6"/>
  <c r="B428" i="6"/>
  <c r="B427" i="6"/>
  <c r="B426" i="6"/>
  <c r="B425" i="6"/>
  <c r="B212" i="6"/>
  <c r="B423" i="6"/>
  <c r="B122" i="6"/>
  <c r="B421" i="6"/>
  <c r="B420" i="6"/>
  <c r="B419" i="6"/>
  <c r="B418" i="6"/>
  <c r="B417" i="6"/>
  <c r="B416" i="6"/>
  <c r="B415" i="6"/>
  <c r="B414" i="6"/>
  <c r="B3" i="6"/>
  <c r="B412" i="6"/>
  <c r="B411" i="6"/>
  <c r="B410" i="6"/>
  <c r="B116" i="6"/>
  <c r="B408" i="6"/>
  <c r="B47" i="6"/>
  <c r="B406" i="6"/>
  <c r="B405" i="6"/>
  <c r="B404" i="6"/>
  <c r="B403" i="6"/>
  <c r="B402" i="6"/>
  <c r="B401" i="6"/>
  <c r="B665" i="6"/>
  <c r="B399" i="6"/>
  <c r="B398" i="6"/>
  <c r="B397" i="6"/>
  <c r="B648" i="6"/>
  <c r="B644" i="6"/>
  <c r="B638" i="6"/>
  <c r="B393" i="6"/>
  <c r="B392" i="6"/>
  <c r="B391" i="6"/>
  <c r="B621" i="6"/>
  <c r="B389" i="6"/>
  <c r="B388" i="6"/>
  <c r="B387" i="6"/>
  <c r="B386" i="6"/>
  <c r="B385" i="6"/>
  <c r="B384" i="6"/>
  <c r="B383" i="6"/>
  <c r="B382" i="6"/>
  <c r="B381" i="6"/>
  <c r="B380" i="6"/>
  <c r="B379" i="6"/>
  <c r="B378" i="6"/>
  <c r="B377" i="6"/>
  <c r="B376" i="6"/>
  <c r="B375" i="6"/>
  <c r="B374" i="6"/>
  <c r="B373" i="6"/>
  <c r="B601" i="6"/>
  <c r="B600" i="6"/>
  <c r="B597" i="6"/>
  <c r="B595" i="6"/>
  <c r="B594" i="6"/>
  <c r="B590" i="6"/>
  <c r="B584" i="6"/>
  <c r="B583" i="6"/>
  <c r="B567" i="6"/>
  <c r="B557" i="6"/>
  <c r="B552" i="6"/>
  <c r="B547" i="6"/>
  <c r="B544" i="6"/>
  <c r="B523" i="6"/>
  <c r="B487" i="6"/>
  <c r="B447" i="6"/>
  <c r="B400" i="6"/>
  <c r="B394" i="6"/>
  <c r="B371" i="6"/>
  <c r="B368" i="6"/>
  <c r="B367" i="6"/>
  <c r="B365" i="6"/>
  <c r="B363" i="6"/>
  <c r="B360" i="6"/>
  <c r="B355" i="6"/>
  <c r="B354" i="6"/>
  <c r="B352" i="6"/>
  <c r="B350" i="6"/>
  <c r="B344" i="6"/>
  <c r="B338" i="6"/>
  <c r="B336" i="6"/>
  <c r="B334" i="6"/>
  <c r="B331" i="6"/>
  <c r="B328" i="6"/>
  <c r="B322" i="6"/>
  <c r="B321" i="6"/>
  <c r="B315" i="6"/>
  <c r="B313" i="6"/>
  <c r="B304" i="6"/>
  <c r="B302" i="6"/>
  <c r="B300" i="6"/>
  <c r="B295" i="6"/>
  <c r="B292" i="6"/>
  <c r="B288" i="6"/>
  <c r="B284" i="6"/>
  <c r="B281" i="6"/>
  <c r="B279" i="6"/>
  <c r="B275" i="6"/>
  <c r="B273" i="6"/>
  <c r="B271" i="6"/>
  <c r="B269" i="6"/>
  <c r="B265" i="6"/>
  <c r="B263" i="6"/>
  <c r="B261" i="6"/>
  <c r="B256" i="6"/>
  <c r="B251" i="6"/>
  <c r="B249" i="6"/>
  <c r="B247" i="6"/>
  <c r="B244" i="6"/>
  <c r="B238" i="6"/>
  <c r="B235" i="6"/>
  <c r="B233" i="6"/>
  <c r="B229" i="6"/>
  <c r="B224" i="6"/>
  <c r="B222" i="6"/>
  <c r="B218" i="6"/>
  <c r="B216" i="6"/>
  <c r="B213" i="6"/>
  <c r="B210" i="6"/>
  <c r="B197" i="6"/>
  <c r="B193" i="6"/>
  <c r="B177" i="6"/>
  <c r="B166" i="6"/>
  <c r="B149" i="6"/>
  <c r="B139" i="6"/>
  <c r="B121" i="6"/>
  <c r="B115" i="6"/>
  <c r="B110" i="6"/>
  <c r="B99" i="6"/>
  <c r="B95" i="6"/>
  <c r="B85" i="6"/>
  <c r="B72" i="6"/>
  <c r="B57" i="6"/>
  <c r="B51" i="6"/>
  <c r="B35" i="6"/>
  <c r="B33" i="6"/>
  <c r="B32" i="6"/>
  <c r="B30" i="6"/>
  <c r="B28" i="6"/>
  <c r="B25" i="6"/>
  <c r="B22" i="6"/>
  <c r="B18" i="6"/>
  <c r="B17" i="6"/>
  <c r="B14" i="6"/>
  <c r="B9" i="6"/>
  <c r="B7" i="6"/>
  <c r="B4" i="6"/>
  <c r="B2" i="6"/>
  <c r="B533" i="6"/>
  <c r="B524" i="6"/>
  <c r="B505" i="6"/>
  <c r="B455" i="6"/>
  <c r="B451" i="6"/>
  <c r="B413" i="6"/>
  <c r="B409" i="6"/>
  <c r="B370" i="6"/>
  <c r="B366" i="6"/>
  <c r="B362" i="6"/>
  <c r="B361" i="6"/>
  <c r="B359" i="6"/>
  <c r="B357" i="6"/>
  <c r="B356" i="6"/>
  <c r="B349" i="6"/>
  <c r="B348" i="6"/>
  <c r="B345" i="6"/>
  <c r="B341" i="6"/>
  <c r="B340" i="6"/>
  <c r="B337" i="6"/>
  <c r="B333" i="6"/>
  <c r="B332" i="6"/>
  <c r="B327" i="6"/>
  <c r="B320" i="6"/>
  <c r="B317" i="6"/>
  <c r="B314" i="6"/>
  <c r="B312" i="6"/>
  <c r="B310" i="6"/>
  <c r="B307" i="6"/>
  <c r="B306" i="6"/>
  <c r="B303" i="6"/>
  <c r="B301" i="6"/>
  <c r="B299" i="6"/>
  <c r="B298" i="6"/>
  <c r="B297" i="6"/>
  <c r="B294" i="6"/>
  <c r="B293" i="6"/>
  <c r="B291" i="6"/>
  <c r="B287" i="6"/>
  <c r="B286" i="6"/>
  <c r="B283" i="6"/>
  <c r="B280" i="6"/>
  <c r="B278" i="6"/>
  <c r="B274" i="6"/>
  <c r="B272" i="6"/>
  <c r="B270" i="6"/>
  <c r="B264" i="6"/>
  <c r="B262" i="6"/>
  <c r="B260" i="6"/>
  <c r="B259" i="6"/>
  <c r="B253" i="6"/>
  <c r="B250" i="6"/>
  <c r="B248" i="6"/>
  <c r="B246" i="6"/>
  <c r="B243" i="6"/>
  <c r="B242" i="6"/>
  <c r="B239" i="6"/>
  <c r="B237" i="6"/>
  <c r="B234" i="6"/>
  <c r="B232" i="6"/>
  <c r="B228" i="6"/>
  <c r="B221" i="6"/>
  <c r="B219" i="6"/>
  <c r="B211" i="6"/>
  <c r="B209" i="6"/>
  <c r="B208" i="6"/>
  <c r="B207" i="6"/>
  <c r="B206" i="6"/>
  <c r="B205" i="6"/>
  <c r="B204" i="6"/>
  <c r="B203" i="6"/>
  <c r="B202" i="6"/>
  <c r="B201" i="6"/>
  <c r="B200" i="6"/>
  <c r="B199" i="6"/>
  <c r="B198" i="6"/>
  <c r="B118" i="6"/>
  <c r="B196" i="6"/>
  <c r="B195" i="6"/>
  <c r="B194" i="6"/>
  <c r="B97" i="6"/>
  <c r="B192" i="6"/>
  <c r="B89" i="6"/>
  <c r="B190" i="6"/>
  <c r="B189" i="6"/>
  <c r="B188" i="6"/>
  <c r="B187" i="6"/>
  <c r="B44" i="6"/>
  <c r="B185" i="6"/>
  <c r="B184" i="6"/>
  <c r="B31" i="6"/>
  <c r="B182" i="6"/>
  <c r="B181" i="6"/>
  <c r="B180" i="6"/>
  <c r="B179" i="6"/>
  <c r="B178" i="6"/>
  <c r="B16" i="6"/>
  <c r="B176" i="6"/>
  <c r="B175" i="6"/>
  <c r="B8" i="6"/>
  <c r="B173" i="6"/>
  <c r="B172" i="6"/>
  <c r="B171" i="6"/>
  <c r="B170" i="6"/>
  <c r="B169" i="6"/>
  <c r="B168" i="6"/>
  <c r="B167" i="6"/>
  <c r="B339" i="6"/>
  <c r="B165" i="6"/>
  <c r="B164" i="6"/>
  <c r="B163" i="6"/>
  <c r="B162" i="6"/>
  <c r="B161" i="6"/>
  <c r="B160" i="6"/>
  <c r="B159" i="6"/>
  <c r="B158" i="6"/>
  <c r="B157" i="6"/>
  <c r="B156" i="6"/>
  <c r="B6" i="6"/>
  <c r="B154" i="6"/>
  <c r="B153" i="6"/>
  <c r="B11" i="6"/>
  <c r="B151" i="6"/>
  <c r="B150" i="6"/>
  <c r="B285" i="6"/>
  <c r="B148" i="6"/>
  <c r="B147" i="6"/>
  <c r="B146" i="6"/>
  <c r="B145" i="6"/>
  <c r="B144" i="6"/>
  <c r="B143" i="6"/>
  <c r="B669" i="6"/>
  <c r="B667" i="6"/>
  <c r="B140" i="6"/>
  <c r="B654" i="6"/>
  <c r="B138" i="6"/>
  <c r="B137" i="6"/>
  <c r="B136" i="6"/>
  <c r="B135" i="6"/>
  <c r="B615" i="6"/>
  <c r="B609" i="6"/>
  <c r="B132" i="6"/>
  <c r="B131" i="6"/>
  <c r="B130" i="6"/>
  <c r="B129" i="6"/>
  <c r="B128" i="6"/>
  <c r="B127" i="6"/>
  <c r="B126" i="6"/>
  <c r="B125" i="6"/>
  <c r="B124" i="6"/>
  <c r="B347" i="6"/>
  <c r="B326" i="6"/>
  <c r="B120" i="6"/>
  <c r="B119" i="6"/>
  <c r="B296" i="6"/>
  <c r="B117" i="6"/>
  <c r="B277" i="6"/>
  <c r="B241" i="6"/>
  <c r="B114" i="6"/>
  <c r="B227" i="6"/>
  <c r="B112" i="6"/>
  <c r="B83" i="6"/>
  <c r="B21" i="6"/>
  <c r="B109" i="6"/>
  <c r="B438" i="6"/>
  <c r="B107" i="6"/>
  <c r="B106" i="6"/>
  <c r="B105" i="6"/>
  <c r="B104" i="6"/>
  <c r="B103" i="6"/>
  <c r="B102" i="6"/>
  <c r="B101" i="6"/>
  <c r="B100" i="6"/>
  <c r="B191" i="6"/>
  <c r="B98" i="6"/>
  <c r="B5" i="6"/>
  <c r="B96" i="6"/>
  <c r="B666" i="6"/>
  <c r="B94" i="6"/>
  <c r="B93" i="6"/>
  <c r="B92" i="6"/>
  <c r="B91" i="6"/>
  <c r="B90" i="6"/>
  <c r="B656" i="6"/>
  <c r="B88" i="6"/>
  <c r="B87" i="6"/>
  <c r="B86" i="6"/>
  <c r="B649" i="6"/>
  <c r="B84" i="6"/>
  <c r="B643" i="6"/>
  <c r="B82" i="6"/>
  <c r="B81" i="6"/>
  <c r="B80" i="6"/>
  <c r="B79" i="6"/>
  <c r="B77" i="6"/>
  <c r="B76" i="6"/>
  <c r="B75" i="6"/>
  <c r="B74" i="6"/>
  <c r="B73" i="6"/>
  <c r="B571" i="6"/>
  <c r="B71" i="6"/>
  <c r="B70" i="6"/>
  <c r="B69" i="6"/>
  <c r="B68" i="6"/>
  <c r="B67" i="6"/>
  <c r="B66" i="6"/>
  <c r="B65" i="6"/>
  <c r="B64" i="6"/>
  <c r="B63" i="6"/>
  <c r="B62" i="6"/>
  <c r="B61" i="6"/>
  <c r="B60" i="6"/>
  <c r="B59" i="6"/>
  <c r="B58" i="6"/>
  <c r="B407" i="6"/>
  <c r="B56" i="6"/>
  <c r="B55" i="6"/>
  <c r="B54" i="6"/>
  <c r="B53" i="6"/>
  <c r="B325" i="6"/>
  <c r="B324" i="6"/>
  <c r="B290" i="6"/>
  <c r="B252" i="6"/>
  <c r="B48" i="6"/>
  <c r="B231" i="6"/>
  <c r="B46" i="6"/>
  <c r="B45" i="6"/>
  <c r="B123" i="6"/>
  <c r="B43" i="6"/>
  <c r="B42" i="6"/>
  <c r="B41" i="6"/>
  <c r="B40" i="6"/>
  <c r="B39" i="6"/>
  <c r="B38" i="6"/>
  <c r="B37" i="6"/>
  <c r="B36" i="6"/>
  <c r="B539" i="6"/>
  <c r="B34" i="6"/>
  <c r="B537" i="6"/>
  <c r="B522" i="6"/>
  <c r="B514" i="6"/>
  <c r="B502" i="6"/>
  <c r="B492" i="6"/>
  <c r="B490" i="6"/>
  <c r="B486" i="6"/>
  <c r="B475" i="6"/>
  <c r="B461" i="6"/>
  <c r="B440" i="6"/>
  <c r="B434" i="6"/>
  <c r="B424" i="6"/>
  <c r="B396" i="6"/>
  <c r="B395" i="6"/>
  <c r="B390" i="6"/>
  <c r="B364" i="6"/>
  <c r="B358" i="6"/>
  <c r="B353" i="6"/>
  <c r="B351" i="6"/>
  <c r="B343" i="6"/>
  <c r="B335" i="6"/>
  <c r="B329" i="6"/>
  <c r="B305" i="6"/>
  <c r="B289" i="6"/>
  <c r="B268" i="6"/>
  <c r="B230" i="6"/>
  <c r="B226" i="6"/>
  <c r="B223" i="6"/>
  <c r="B217" i="6"/>
  <c r="B186" i="6"/>
  <c r="B27" i="6"/>
  <c r="B24" i="6"/>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749A18-2F40-40F8-A16C-F8348E22713B}" keepAlive="1" name="Query - reviews" description="Connection to the 'reviews' query in the workbook." type="5" refreshedVersion="8" background="1" saveData="1">
    <dbPr connection="Provider=Microsoft.Mashup.OleDb.1;Data Source=$Workbook$;Location=reviews;Extended Properties=&quot;&quot;" command="SELECT * FROM [reviews]"/>
  </connection>
  <connection id="2" xr16:uid="{2C1B77A3-511C-4DA3-B670-C425BD7A45EE}" keepAlive="1" name="Query - screening (2)" description="Connection to the 'screening (2)' query in the workbook." type="5" refreshedVersion="8" background="1" saveData="1">
    <dbPr connection="Provider=Microsoft.Mashup.OleDb.1;Data Source=$Workbook$;Location=&quot;screening (2)&quot;;Extended Properties=&quot;&quot;" command="SELECT * FROM [screening (2)]"/>
  </connection>
</connections>
</file>

<file path=xl/sharedStrings.xml><?xml version="1.0" encoding="utf-8"?>
<sst xmlns="http://schemas.openxmlformats.org/spreadsheetml/2006/main" count="9689" uniqueCount="5539">
  <si>
    <t>id</t>
  </si>
  <si>
    <t>title_abstract_screening</t>
  </si>
  <si>
    <t>comments</t>
  </si>
  <si>
    <t>LOE</t>
  </si>
  <si>
    <t>Yes</t>
  </si>
  <si>
    <t>BPTB vs. repair (use as single-arm)</t>
  </si>
  <si>
    <t>I</t>
  </si>
  <si>
    <t>No</t>
  </si>
  <si>
    <t>Case series</t>
  </si>
  <si>
    <t>IV</t>
  </si>
  <si>
    <t>Prospective cohort study</t>
  </si>
  <si>
    <t>II</t>
  </si>
  <si>
    <t>Retrospective cohort study</t>
  </si>
  <si>
    <t>III</t>
  </si>
  <si>
    <t>Hamstring single vs. double</t>
  </si>
  <si>
    <t>Maybe</t>
  </si>
  <si>
    <t>non-English</t>
  </si>
  <si>
    <t>Single-arm</t>
  </si>
  <si>
    <t>Repair</t>
  </si>
  <si>
    <t>Review</t>
  </si>
  <si>
    <t>Secondary study using RCT (LoE: II)</t>
  </si>
  <si>
    <t>NRCT, multi-ligamentous op.</t>
  </si>
  <si>
    <t>Pediatric</t>
  </si>
  <si>
    <t>Therapeutic study RCT</t>
  </si>
  <si>
    <t>NRCT</t>
  </si>
  <si>
    <t>Hamstring vs. BEAR</t>
  </si>
  <si>
    <t>duplicate?</t>
  </si>
  <si>
    <t>I or II. Randomized?</t>
  </si>
  <si>
    <t>II but I?</t>
  </si>
  <si>
    <t>From QT SRMA</t>
  </si>
  <si>
    <t>n = 10</t>
  </si>
  <si>
    <t>II but I.</t>
  </si>
  <si>
    <t>Not case-control?</t>
  </si>
  <si>
    <t>study_id</t>
  </si>
  <si>
    <t>II but I</t>
  </si>
  <si>
    <t>Unnamed: 0</t>
  </si>
  <si>
    <t>title</t>
  </si>
  <si>
    <t>authors</t>
  </si>
  <si>
    <t>journal</t>
  </si>
  <si>
    <t>year</t>
  </si>
  <si>
    <t>doi</t>
  </si>
  <si>
    <t>first_author</t>
  </si>
  <si>
    <t>short_title</t>
  </si>
  <si>
    <t>key</t>
  </si>
  <si>
    <t>31800420</t>
  </si>
  <si>
    <t>Autologous BPTB ACL Reconstruction Results in Lower Failure Rates Than ACL Repair with and without Synthetic Augmentation at 30 Years of Follow-up: A Prospective Randomized Study</t>
  </si>
  <si>
    <t>Sporsheim AN, Gifstad T, Lundemo TO, Engebretsen L, Strand T, Mølster A, Drogset JO.</t>
  </si>
  <si>
    <t>J Bone Joint Surg Am</t>
  </si>
  <si>
    <t>10.2106/JBJS.19.00098</t>
  </si>
  <si>
    <t>Sporsheim</t>
  </si>
  <si>
    <t>autologousbptbaclreconstructionresultsinlowerfailureratesthanaclrepairwithandwithoutsyntheticaugmentationat30yearsoffollowup:aprospectiverandomizedstudy</t>
  </si>
  <si>
    <t>Sporsheim+autologousbptbaclreconstructionresultsinlowerfailureratesthanaclrepairwithandwithoutsyntheticaugmentationat30yearsoffollowup:aprospectiverandomizedstudy+2019</t>
  </si>
  <si>
    <t>31470759</t>
  </si>
  <si>
    <t>Effects of autologous adipose-derived regenerative stem cells administered at the time of anterior cruciate ligament reconstruction on knee function and graft healing</t>
  </si>
  <si>
    <t>Alentorn-Geli E, Seijas R, Martínez-De la Torre A, Cuscó X, Steinbacher G, Álvarez-Díaz P, Barastegui D, Navarro J, Serra-Renom JM, Nishishinya B, Català J, Laiz P, García-Balletbó M, Cugat R.</t>
  </si>
  <si>
    <t>J Orthop Surg (Hong Kong)</t>
  </si>
  <si>
    <t>10.1177/2309499019867580</t>
  </si>
  <si>
    <t>Alentorn-Geli</t>
  </si>
  <si>
    <t>effectsofautologousadiposederivedregenerativestemcellsadministeredatthetimeofanteriorcruciateligamentreconstructiononkneefunctionandgrafthealing</t>
  </si>
  <si>
    <t>Alentorn-Geli+effectsofautologousadiposederivedregenerativestemcellsadministeredatthetimeofanteriorcruciateligamentreconstructiononkneefunctionandgrafthealing+2019</t>
  </si>
  <si>
    <t>23575562</t>
  </si>
  <si>
    <t>Poly L-lactide co-glycolide/β-tricalcium phosphate interference screw fixation for bone-patellar tendon bone anterior cruciate ligament reconstruction</t>
  </si>
  <si>
    <t>Barber FA, Hrnack SA.</t>
  </si>
  <si>
    <t>J Knee Surg</t>
  </si>
  <si>
    <t>10.1055/s-0033-1343614</t>
  </si>
  <si>
    <t>Barber</t>
  </si>
  <si>
    <t>polyllactidecoglycolide/βtricalciumphosphateinterferencescrewfixationforbonepatellartendonboneanteriorcruciateligamentreconstruction</t>
  </si>
  <si>
    <t>Barber+polyllactidecoglycolide/βtricalciumphosphateinterferencescrewfixationforbonepatellartendonboneanteriorcruciateligamentreconstruction+2013</t>
  </si>
  <si>
    <t>21710112</t>
  </si>
  <si>
    <t>Isokinetic muscle strength and knee function associated with double femoral pin fixation and fixation with interference screw in anterior cruciate ligament reconstruction</t>
  </si>
  <si>
    <t>Fernandes TL, Protta TR, Fregni F, Neto RB, Pedrinelli A, Camanho GL, Hernandez AJ.</t>
  </si>
  <si>
    <t>Knee Surg Sports Traumatol Arthrosc</t>
  </si>
  <si>
    <t>10.1007/s00167-011-1585-y</t>
  </si>
  <si>
    <t>Fernandes</t>
  </si>
  <si>
    <t>isokineticmusclestrengthandkneefunctionassociatedwithdoublefemoralpinfixationandfixationwithinterferencescrewinanteriorcruciateligamentreconstruction</t>
  </si>
  <si>
    <t>Fernandes+isokineticmusclestrengthandkneefunctionassociatedwithdoublefemoralpinfixationandfixationwithinterferencescrewinanteriorcruciateligamentreconstruction+2012</t>
  </si>
  <si>
    <t>21429700</t>
  </si>
  <si>
    <t>Long-term degradation of a poly-lactide co-glycolide/β-tricalcium phosphate biocomposite interference screw</t>
  </si>
  <si>
    <t>Barber FA, Dockery WD, Hrnack SA.</t>
  </si>
  <si>
    <t>Arthroscopy</t>
  </si>
  <si>
    <t>10.1016/j.arthro.2010.11.056</t>
  </si>
  <si>
    <t>longtermdegradationofapolylactidecoglycolide/βtricalciumphosphatebiocompositeinterferencescrew</t>
  </si>
  <si>
    <t>Barber+longtermdegradationofapolylactidecoglycolide/βtricalciumphosphatebiocompositeinterferencescrew+2011</t>
  </si>
  <si>
    <t>21287172</t>
  </si>
  <si>
    <t>Long-term results of anterior cruciate ligament reconstruction: a comparison with non-operative treatment with a follow-up of 17-20 years</t>
  </si>
  <si>
    <t>Mihelic R, Jurdana H, Jotanovic Z, Madjarevic T, Tudor A.</t>
  </si>
  <si>
    <t>Int Orthop</t>
  </si>
  <si>
    <t>10.1007/s00264-011-1206-x</t>
  </si>
  <si>
    <t>Mihelic</t>
  </si>
  <si>
    <t>longtermresultsofanteriorcruciateligamentreconstruction:acomparisonwithnonoperativetreatmentwithafollowupof1720years</t>
  </si>
  <si>
    <t>Mihelic+longtermresultsofanteriorcruciateligamentreconstruction:acomparisonwithnonoperativetreatmentwithafollowupof1720years+2011</t>
  </si>
  <si>
    <t>20934698</t>
  </si>
  <si>
    <t>ACL reconstruction in sports active people: transtibial DB technique with ST/G vs. transtibial SB technique with BPTB: preliminary results</t>
  </si>
  <si>
    <t>Volpi P, Cervellin M, Denti M, Bait C, Melegati G, Quaglia A, de Girolamo L.</t>
  </si>
  <si>
    <t>Injury</t>
  </si>
  <si>
    <t>10.1016/j.injury.2010.09.029</t>
  </si>
  <si>
    <t>Volpi</t>
  </si>
  <si>
    <t>aclreconstructioninsportsactivepeople:transtibialdbtechniquewithst/gvstranstibialsbtechniquewithbptb:preliminaryresults</t>
  </si>
  <si>
    <t>Volpi+aclreconstructioninsportsactivepeople:transtibialdbtechniquewithst/gvstranstibialsbtechniquewithbptb:preliminaryresults+2010</t>
  </si>
  <si>
    <t>17478277</t>
  </si>
  <si>
    <t>Bilok interference screws for anterior cruciate ligament reconstruction: clinical and radiographic outcomes</t>
  </si>
  <si>
    <t>Barber FA, Boothby MH.</t>
  </si>
  <si>
    <t>10.1016/j.arthro.2006.12.026</t>
  </si>
  <si>
    <t>bilokinterferencescrewsforanteriorcruciateligamentreconstruction:clinicalandradiographicoutcomes</t>
  </si>
  <si>
    <t>Barber+bilokinterferencescrewsforanteriorcruciateligamentreconstruction:clinicalandradiographicoutcomes+2007</t>
  </si>
  <si>
    <t>16955299</t>
  </si>
  <si>
    <t>Early active extension after anterior cruciate ligament reconstruction does not result in increased laxity of the knee</t>
  </si>
  <si>
    <t>Isberg J, Faxén E, Brandsson S, Eriksson BI, Kärrholm J, Karlsson J.</t>
  </si>
  <si>
    <t>10.1007/s00167-006-0138-2</t>
  </si>
  <si>
    <t>Isberg</t>
  </si>
  <si>
    <t>earlyactiveextensionafteranteriorcruciateligamentreconstructiondoesnotresultinincreasedlaxityoftheknee</t>
  </si>
  <si>
    <t>Isberg+earlyactiveextensionafteranteriorcruciateligamentreconstructiondoesnotresultinincreasedlaxityoftheknee+2006</t>
  </si>
  <si>
    <t>15928958</t>
  </si>
  <si>
    <t>[ACL reconstruction with bone-patellar tendon-bone graft and proximal fixation with the EndoButton: a 2- to 5-year follow-up]</t>
  </si>
  <si>
    <t>Tecklenburg K, Hoser C, Sailer R, Oberladstätter J, Fink C.</t>
  </si>
  <si>
    <t>Unfallchirurg</t>
  </si>
  <si>
    <t>10.1007/s00113-005-0948-6</t>
  </si>
  <si>
    <t>Tecklenburg</t>
  </si>
  <si>
    <t>aclreconstructionwithbonepatellartendonbonegraftandproximalfixationwiththeendobutton:a2to5yearfollowup</t>
  </si>
  <si>
    <t>Tecklenburg+aclreconstructionwithbonepatellartendonbonegraftandproximalfixationwiththeendobutton:a2to5yearfollowup+2005</t>
  </si>
  <si>
    <t>12879225</t>
  </si>
  <si>
    <t>The role of the rehabilitation brace in restoring knee extension after anterior cruciate ligament reconstruction: a prospective controlled study</t>
  </si>
  <si>
    <t>Melegati G, Tornese D, Bandi M, Volpi P, Schonhuber H, Denti M.</t>
  </si>
  <si>
    <t>10.1007/s00167-003-0386-3</t>
  </si>
  <si>
    <t>Melegati</t>
  </si>
  <si>
    <t>theroleoftherehabilitationbraceinrestoringkneeextensionafteranteriorcruciateligamentreconstruction:aprospectivecontrolledstudy</t>
  </si>
  <si>
    <t>Melegati+theroleoftherehabilitationbraceinrestoringkneeextensionafteranteriorcruciateligamentreconstruction:aprospectivecontrolledstudy+2003</t>
  </si>
  <si>
    <t>12642266</t>
  </si>
  <si>
    <t>Comparison of three techniques of anterior cruciate ligament reconstruction with bone-patellar tendon-bone graft. Differences in anterior tibial translation and tunnel enlargement with each technique</t>
  </si>
  <si>
    <t>Otsuka H, Ishibashi Y, Tsuda E, Sasaki K, Toh S.</t>
  </si>
  <si>
    <t>Am J Sports Med</t>
  </si>
  <si>
    <t>10.1177/03635465030310022101</t>
  </si>
  <si>
    <t>Otsuka</t>
  </si>
  <si>
    <t>comparisonofthreetechniquesofanteriorcruciateligamentreconstructionwithbonepatellartendonbonegraftdifferencesinanteriortibialtranslationandtunnelenlargementwitheachtechnique</t>
  </si>
  <si>
    <t>Otsuka+comparisonofthreetechniquesofanteriorcruciateligamentreconstructionwithbonepatellartendonbonegraftdifferencesinanteriortibialtranslationandtunnelenlargementwitheachtechnique+2003</t>
  </si>
  <si>
    <t>12243016</t>
  </si>
  <si>
    <t>[Clinico-histologic comparison of allogenic and autologous bone-tendon-bone using one-third of the patellar tendon in reconstruction of the anterior cruciate ligament]</t>
  </si>
  <si>
    <t>Gorschewsky O, Browa A, Vogel U, Stauffer E.</t>
  </si>
  <si>
    <t>10.1007/s00113-001-0405-0</t>
  </si>
  <si>
    <t>Gorschewsky</t>
  </si>
  <si>
    <t>clinicohistologiccomparisonofallogenicandautologousbonetendonboneusingonethirdofthepatellartendoninreconstructionoftheanteriorcruciateligament</t>
  </si>
  <si>
    <t>Gorschewsky+clinicohistologiccomparisonofallogenicandautologousbonetendonboneusingonethirdofthepatellartendoninreconstructionoftheanteriorcruciateligament+2002</t>
  </si>
  <si>
    <t>12002492</t>
  </si>
  <si>
    <t>A new generation of artificial ligaments in reconstruction of the anterior cruciate ligament. Two-year follow-up of a randomised trial</t>
  </si>
  <si>
    <t>Nau T, Lavoie P, Duval N.</t>
  </si>
  <si>
    <t>J Bone Joint Surg Br</t>
  </si>
  <si>
    <t>10.1302/0301-620x.84b3.12400</t>
  </si>
  <si>
    <t>Nau</t>
  </si>
  <si>
    <t>anewgenerationofartificialligamentsinreconstructionoftheanteriorcruciateligamenttwoyearfollowupofarandomisedtrial</t>
  </si>
  <si>
    <t>Nau+anewgenerationofartificialligamentsinreconstructionoftheanteriorcruciateligamenttwoyearfollowupofarandomisedtrial+2002</t>
  </si>
  <si>
    <t>11985766</t>
  </si>
  <si>
    <t>Comparison of functional outcome after anterior cruciate ligament reconstruction resulting in low, normal and increased laxity</t>
  </si>
  <si>
    <t>Sernert N, Kartus J, Köhler K, Ejerhed L, Brandsson S, Karlsson J.</t>
  </si>
  <si>
    <t>Scand J Med Sci Sports</t>
  </si>
  <si>
    <t>10.1034/j.1600-0838.2002.120109.x</t>
  </si>
  <si>
    <t>Sernert</t>
  </si>
  <si>
    <t>comparisonoffunctionaloutcomeafteranteriorcruciateligamentreconstructionresultinginlownormalandincreasedlaxity</t>
  </si>
  <si>
    <t>Sernert+comparisonoffunctionaloutcomeafteranteriorcruciateligamentreconstructionresultinginlownormalandincreasedlaxity+2002</t>
  </si>
  <si>
    <t>11768639</t>
  </si>
  <si>
    <t>Blood loss in anterior cruciate ligament (ACL) reconstruction with and without intercondylar notchplasty: does it affect the clinical outcome?</t>
  </si>
  <si>
    <t>Pape D, Seil R, Adam F, Gödde S, Georg T, Rupp S, Kohn D.</t>
  </si>
  <si>
    <t>Arch Orthop Trauma Surg</t>
  </si>
  <si>
    <t>10.1007/s004020100290</t>
  </si>
  <si>
    <t>Pape</t>
  </si>
  <si>
    <t>bloodlossinanteriorcruciateligament(acl)reconstructionwithandwithoutintercondylarnotchplasty:doesitaffecttheclinicaloutcome?</t>
  </si>
  <si>
    <t>Pape+bloodlossinanteriorcruciateligament(acl)reconstructionwithandwithoutintercondylarnotchplasty:doesitaffecttheclinicaloutcome?+2001</t>
  </si>
  <si>
    <t>11394606</t>
  </si>
  <si>
    <t>Anterior cruciate ligament function after tibial eminence fracture in skeletally mature patients</t>
  </si>
  <si>
    <t>Ahmad CS, Shubin Stein BE, Jeshuran W, Nercessian OA, Henry JH.</t>
  </si>
  <si>
    <t>10.1177/03635465010290031501</t>
  </si>
  <si>
    <t>Ahmad</t>
  </si>
  <si>
    <t>anteriorcruciateligamentfunctionaftertibialeminencefractureinskeletallymaturepatients</t>
  </si>
  <si>
    <t>Ahmad+anteriorcruciateligamentfunctionaftertibialeminencefractureinskeletallymaturepatients+2001</t>
  </si>
  <si>
    <t>11269585</t>
  </si>
  <si>
    <t>Preconditioning patellar tendon autografts in arthroscopic anterior cruciate ligament reconstruction: a prospective randomized study</t>
  </si>
  <si>
    <t>Ejerhed L, Kartus J, Köhler K, Sernert N, Brandsson S, Karlsson J.</t>
  </si>
  <si>
    <t>10.1007/s001670000179</t>
  </si>
  <si>
    <t>Ejerhed</t>
  </si>
  <si>
    <t>preconditioningpatellartendonautograftsinarthroscopicanteriorcruciateligamentreconstruction:aprospectiverandomizedstudy</t>
  </si>
  <si>
    <t>Ejerhed+preconditioningpatellartendonautograftsinarthroscopicanteriorcruciateligamentreconstruction:aprospectiverandomizedstudy+2001</t>
  </si>
  <si>
    <t>11252459</t>
  </si>
  <si>
    <t>Is a knee brace advantageous after anterior cruciate ligament surgery? A prospective, randomised study with a two-year follow-up</t>
  </si>
  <si>
    <t>Brandsson S, Faxén E, Kartus J, Eriksson BI, Karlsson J.</t>
  </si>
  <si>
    <t>10.1034/j.1600-0838.2001.011002110.x</t>
  </si>
  <si>
    <t>Brandsson</t>
  </si>
  <si>
    <t>isakneebraceadvantageousafteranteriorcruciateligamentsurgery?aprospectiverandomisedstudywithatwoyearfollowup</t>
  </si>
  <si>
    <t>Brandsson+isakneebraceadvantageousafteranteriorcruciateligamentsurgery?aprospectiverandomisedstudywithatwoyearfollowup+2001</t>
  </si>
  <si>
    <t>11098747</t>
  </si>
  <si>
    <t>[Proprioception after reconstruction of the anterior cruciate ligament. Endoscopic vs. 2 tunnel technique]</t>
  </si>
  <si>
    <t>Fremerey R, Lobenhoffer P, Skutek M, Zeichen J, Gerich T, Bosch U.</t>
  </si>
  <si>
    <t>10.1007/s001130050634</t>
  </si>
  <si>
    <t>Fremerey</t>
  </si>
  <si>
    <t>proprioceptionafterreconstructionoftheanteriorcruciateligamentendoscopicvs2tunneltechnique</t>
  </si>
  <si>
    <t>Fremerey+proprioceptionafterreconstructionoftheanteriorcruciateligamentendoscopicvs2tunneltechnique+2000</t>
  </si>
  <si>
    <t>10882444</t>
  </si>
  <si>
    <t>Bioabsorbable polyglyconate interference screw fixation in anterior cruciate ligament reconstruction: a prospective computed tomography-controlled study</t>
  </si>
  <si>
    <t>Fink C, Benedetto KP, Hackl W, Hoser C, Freund MC, Rieger M.</t>
  </si>
  <si>
    <t>10.1053/jars.2000.4633</t>
  </si>
  <si>
    <t>Fink</t>
  </si>
  <si>
    <t>bioabsorbablepolyglyconateinterferencescrewfixationinanteriorcruciateligamentreconstruction:aprospectivecomputedtomographycontrolledstudy</t>
  </si>
  <si>
    <t>Fink+bioabsorbablepolyglyconateinterferencescrewfixationinanteriorcruciateligamentreconstruction:aprospectivecomputedtomographycontrolledstudy+2000</t>
  </si>
  <si>
    <t>10591941</t>
  </si>
  <si>
    <t>Bone-patellar tendon-bone reconstruction of the anterior cruciate ligament. A long-term comparison of early and late repair</t>
  </si>
  <si>
    <t>Järvelä T, Nyyssönen M, Kannus P, Paakkala T, Järvinen M.</t>
  </si>
  <si>
    <t>10.1007/s002640050357</t>
  </si>
  <si>
    <t>Järvelä</t>
  </si>
  <si>
    <t>bonepatellartendonbonereconstructionoftheanteriorcruciateligamentalongtermcomparisonofearlyandlaterepair</t>
  </si>
  <si>
    <t>Järvelä+bonepatellartendonbonereconstructionoftheanteriorcruciateligamentalongtermcomparisonofearlyandlaterepair+1999</t>
  </si>
  <si>
    <t>10530835</t>
  </si>
  <si>
    <t>Arthroscopic reconstruction of the anterior cruciate ligament with patellar-tendon autograft and interference screw fixation. The results at seven years</t>
  </si>
  <si>
    <t>Jomha NM, Pinczewski LA, Clingeleffer A, Otto DD.</t>
  </si>
  <si>
    <t>10.1302/0301-620x.81b5.8644</t>
  </si>
  <si>
    <t>Jomha</t>
  </si>
  <si>
    <t>arthroscopicreconstructionoftheanteriorcruciateligamentwithpatellartendonautograftandinterferencescrewfixationtheresultsatsevenyears</t>
  </si>
  <si>
    <t>Jomha+arthroscopicreconstructionoftheanteriorcruciateligamentwithpatellartendonautograftandinterferencescrewfixationtheresultsatsevenyears+1999</t>
  </si>
  <si>
    <t>10401653</t>
  </si>
  <si>
    <t>Ultrasound evaluation of gravity induced anterior drawer following anterior cruciate ligament lesion</t>
  </si>
  <si>
    <t>Gebhard F, Authenrieth M, Strecker W, Kinzl L, Hehl G.</t>
  </si>
  <si>
    <t>10.1007/s001670050142</t>
  </si>
  <si>
    <t>Gebhard</t>
  </si>
  <si>
    <t>ultrasoundevaluationofgravityinducedanteriordrawerfollowinganteriorcruciateligamentlesion</t>
  </si>
  <si>
    <t>Gebhard+ultrasoundevaluationofgravityinducedanteriordrawerfollowinganteriorcruciateligamentlesion+1999</t>
  </si>
  <si>
    <t>10401652</t>
  </si>
  <si>
    <t>Analysis of subjective, objective and functional examination tests after anterior cruciate ligament reconstruction. A follow-up of 527 patients</t>
  </si>
  <si>
    <t>Sernert N, Kartus J, Köhler K, Stener S, Larsson J, Eriksson BI, Karlsson J.</t>
  </si>
  <si>
    <t>10.1007/s001670050141</t>
  </si>
  <si>
    <t>analysisofsubjectiveobjectiveandfunctionalexaminationtestsafteranteriorcruciateligamentreconstructionafollowupof527patients</t>
  </si>
  <si>
    <t>Sernert+analysisofsubjectiveobjectiveandfunctionalexaminationtestsafteranteriorcruciateligamentreconstructionafollowupof527patients+1999</t>
  </si>
  <si>
    <t>9848597</t>
  </si>
  <si>
    <t>The effect of different graft tensioning in anterior cruciate ligament reconstruction: a prospective randomized study</t>
  </si>
  <si>
    <t>van Kampen A, Wymenga AB, van der Heide HJ, Bakens HJ.</t>
  </si>
  <si>
    <t>10.1016/s0749-8063(98)70022-2</t>
  </si>
  <si>
    <t>van</t>
  </si>
  <si>
    <t>theeffectofdifferentgrafttensioninginanteriorcruciateligamentreconstruction:aprospectiverandomizedstudy</t>
  </si>
  <si>
    <t>van+theeffectofdifferentgrafttensioninginanteriorcruciateligamentreconstruction:aprospectiverandomizedstudy+1998</t>
  </si>
  <si>
    <t>9739219</t>
  </si>
  <si>
    <t>[Endoscopic versus limited open technique for replacement of the anterior cruciate ligament. 4 years outcome of a prospective study]</t>
  </si>
  <si>
    <t>Gerich TG, Lattermann C, Bosch U, Lobenhoffer HP, Tscherne H.</t>
  </si>
  <si>
    <t>10.1007/s001130050308</t>
  </si>
  <si>
    <t>Gerich</t>
  </si>
  <si>
    <t>endoscopicversuslimitedopentechniqueforreplacementoftheanteriorcruciateligament4yearsoutcomeofaprospectivestudy</t>
  </si>
  <si>
    <t>Gerich+endoscopicversuslimitedopentechniqueforreplacementoftheanteriorcruciateligament4yearsoutcomeofaprospectivestudy+1998</t>
  </si>
  <si>
    <t>9604192</t>
  </si>
  <si>
    <t>No benefit of bracing on the early outcome after anterior cruciate ligament reconstruction</t>
  </si>
  <si>
    <t>Muellner T, Alacamlioglu Y, Nikolic A, Schabus R.</t>
  </si>
  <si>
    <t>10.1007/s001670050078</t>
  </si>
  <si>
    <t>Muellner</t>
  </si>
  <si>
    <t>nobenefitofbracingontheearlyoutcomeafteranteriorcruciateligamentreconstruction</t>
  </si>
  <si>
    <t>Muellner+nobenefitofbracingontheearlyoutcomeafteranteriorcruciateligamentreconstruction+1998</t>
  </si>
  <si>
    <t>9604191</t>
  </si>
  <si>
    <t>Closing patellar tendon defects after anterior cruciate ligament reconstruction: absence of any benefit</t>
  </si>
  <si>
    <t>Brandsson S, Faxén E, Eriksson BI, Kälebo P, Swärd L, Lundin O, Karlsson J.</t>
  </si>
  <si>
    <t>10.1007/s001670050077</t>
  </si>
  <si>
    <t>closingpatellartendondefectsafteranteriorcruciateligamentreconstruction:absenceofanybenefit</t>
  </si>
  <si>
    <t>Brandsson+closingpatellartendondefectsafteranteriorcruciateligamentreconstruction:absenceofanybenefit+1998</t>
  </si>
  <si>
    <t>9430569</t>
  </si>
  <si>
    <t>One- versus two-incision technique for anterior cruciate ligament reconstruction with patellar tendon graft. Results on early rehabilitation and stability</t>
  </si>
  <si>
    <t>Gerich TG, Lattermann C, Fremerey RW, Zeichen J, Lobenhoffer HP.</t>
  </si>
  <si>
    <t>10.1007/s001670050052</t>
  </si>
  <si>
    <t>oneversustwoincisiontechniqueforanteriorcruciateligamentreconstructionwithpatellartendongraftresultsonearlyrehabilitationandstability</t>
  </si>
  <si>
    <t>Gerich+oneversustwoincisiontechniqueforanteriorcruciateligamentreconstructionwithpatellartendongraftresultsonearlyrehabilitationandstability+1997</t>
  </si>
  <si>
    <t>9266294</t>
  </si>
  <si>
    <t>Anterior cruciate ligament reconstruction by mini-arthrotomy</t>
  </si>
  <si>
    <t>al-Zarahini S, Franceschi JP, Coste J, Zerroug B, al-Sebai W.</t>
  </si>
  <si>
    <t>10.1007/s002640050141</t>
  </si>
  <si>
    <t>al-Zarahini</t>
  </si>
  <si>
    <t>anteriorcruciateligamentreconstructionbyminiarthrotomy</t>
  </si>
  <si>
    <t>al-Zarahini+anteriorcruciateligamentreconstructionbyminiarthrotomy+1997</t>
  </si>
  <si>
    <t>8896099</t>
  </si>
  <si>
    <t>Anterior cruciate ligament reconstruction with the patellar tendon--augmentation or not? A 2-year follow-up of 82 patients</t>
  </si>
  <si>
    <t>Thuresson P, Sandberg R, Johansson O, Balkfors B, Westlin N.</t>
  </si>
  <si>
    <t>10.1111/j.1600-0838.1996.tb00099.x</t>
  </si>
  <si>
    <t>Thuresson</t>
  </si>
  <si>
    <t>anteriorcruciateligamentreconstructionwiththepatellartendonaugmentationornot?a2yearfollowupof82patients</t>
  </si>
  <si>
    <t>Thuresson+anteriorcruciateligamentreconstructionwiththepatellartendonaugmentationornot?a2yearfollowupof82patients+1996</t>
  </si>
  <si>
    <t>8775721</t>
  </si>
  <si>
    <t>Comparison between two techniques for surgical repair of the acutely torn anterior cruciate ligament. A prospective, randomized follow-up study of 48 patients</t>
  </si>
  <si>
    <t>Grøntvedt T, Engebretsen L.</t>
  </si>
  <si>
    <t>10.1111/j.1600-0838.1995.tb00059.x</t>
  </si>
  <si>
    <t>Grøntvedt</t>
  </si>
  <si>
    <t>comparisonbetweentwotechniquesforsurgicalrepairoftheacutelytornanteriorcruciateligamentaprospectiverandomizedfollowupstudyof48patients</t>
  </si>
  <si>
    <t>Grøntvedt+comparisonbetweentwotechniquesforsurgicalrepairoftheacutelytornanteriorcruciateligamentaprospectiverandomizedfollowupstudyof48patients+1995</t>
  </si>
  <si>
    <t>8534294</t>
  </si>
  <si>
    <t>Preliminary results of an absorbable interference screw</t>
  </si>
  <si>
    <t>Barber FA, Elrod BF, McGuire DA, Paulos LE.</t>
  </si>
  <si>
    <t>10.1016/0749-8063(95)90129-9</t>
  </si>
  <si>
    <t>preliminaryresultsofanabsorbableinterferencescrew</t>
  </si>
  <si>
    <t>Barber+preliminaryresultsofanabsorbableinterferencescrew+1995</t>
  </si>
  <si>
    <t>7761314</t>
  </si>
  <si>
    <t>A prospective, randomized comparison of open vs arthroscopically assisted ACL reconstruction</t>
  </si>
  <si>
    <t>Cameron SE, Wilson W, St Pierre P.</t>
  </si>
  <si>
    <t>Orthopedics</t>
  </si>
  <si>
    <t>10.3928/0147-7447-19950301-06</t>
  </si>
  <si>
    <t>Cameron</t>
  </si>
  <si>
    <t>aprospectiverandomizedcomparisonofopenvsarthroscopicallyassistedaclreconstruction</t>
  </si>
  <si>
    <t>Cameron+aprospectiverandomizedcomparisonofopenvsarthroscopicallyassistedaclreconstruction+1995</t>
  </si>
  <si>
    <t>1558237</t>
  </si>
  <si>
    <t>The efficacy of continuous passive motion in the rehabilitation of anterior cruciate ligament reconstructions</t>
  </si>
  <si>
    <t>Rosen MA, Jackson DW, Atwell EA.</t>
  </si>
  <si>
    <t>10.1177/036354659202000205</t>
  </si>
  <si>
    <t>Rosen</t>
  </si>
  <si>
    <t>theefficacyofcontinuouspassivemotionintherehabilitationofanteriorcruciateligamentreconstructions</t>
  </si>
  <si>
    <t>Rosen+theefficacyofcontinuouspassivemotionintherehabilitationofanteriorcruciateligamentreconstructions+1992</t>
  </si>
  <si>
    <t>2009118</t>
  </si>
  <si>
    <t>Continuous passive motion after arthroscopically assisted anterior cruciate ligament reconstruction: comparison of short- versus long-term use</t>
  </si>
  <si>
    <t>Richmond JC, Gladstone J, MacGillivray J.</t>
  </si>
  <si>
    <t>10.1016/0749-8063(91)90076-a</t>
  </si>
  <si>
    <t>Richmond</t>
  </si>
  <si>
    <t>continuouspassivemotionafterarthroscopicallyassistedanteriorcruciateligamentreconstruction:comparisonofshortversuslongtermuse</t>
  </si>
  <si>
    <t>Richmond+continuouspassivemotionafterarthroscopicallyassistedanteriorcruciateligamentreconstruction:comparisonofshortversuslongtermuse+1991</t>
  </si>
  <si>
    <t>2285086</t>
  </si>
  <si>
    <t>A prospective, randomized study of three surgical techniques for treatment of acute ruptures of the anterior cruciate ligament</t>
  </si>
  <si>
    <t>Engebretsen L, Benum P, Fasting O, Mølster A, Strand T.</t>
  </si>
  <si>
    <t>10.1177/036354659001800605</t>
  </si>
  <si>
    <t>Engebretsen</t>
  </si>
  <si>
    <t>aprospectiverandomizedstudyofthreesurgicaltechniquesfortreatmentofacuterupturesoftheanteriorcruciateligament</t>
  </si>
  <si>
    <t>Engebretsen+aprospectiverandomizedstudyofthreesurgicaltechniquesfortreatmentofacuterupturesoftheanteriorcruciateligament+1990</t>
  </si>
  <si>
    <t>38811116</t>
  </si>
  <si>
    <t>Avoiding Graft Failure: Lessons Learned from the Stability Trial</t>
  </si>
  <si>
    <t>Getgood AMJ.</t>
  </si>
  <si>
    <t>Clin Sports Med</t>
  </si>
  <si>
    <t>10.1016/j.csm.2023.08.005</t>
  </si>
  <si>
    <t>Getgood</t>
  </si>
  <si>
    <t>avoidinggraftfailure:lessonslearnedfromthestabilitytrial</t>
  </si>
  <si>
    <t>Getgood+avoidinggraftfailure:lessonslearnedfromthestabilitytrial+2024</t>
  </si>
  <si>
    <t>36774971</t>
  </si>
  <si>
    <t>Small Hamstring Tendon Graft for Anterior Cruciate Ligament Reconstruction Combined With Anterolateral Ligament Reconstruction Results in the Same Failure Rate as Larger Hamstring Tendon Graft Reconstruction Alone</t>
  </si>
  <si>
    <t>Helito CP, da Silva AGM, Sobrado MF, Guimarães TM, Gobbi RG, Pécora JR.</t>
  </si>
  <si>
    <t>10.1016/j.arthro.2023.01.101</t>
  </si>
  <si>
    <t>Helito</t>
  </si>
  <si>
    <t>smallhamstringtendongraftforanteriorcruciateligamentreconstructioncombinedwithanterolateralligamentreconstructionresultsinthesamefailurerateaslargerhamstringtendongraftreconstructionalone</t>
  </si>
  <si>
    <t>Helito+smallhamstringtendongraftforanteriorcruciateligamentreconstructioncombinedwithanterolateralligamentreconstructionresultsinthesamefailurerateaslargerhamstringtendongraftreconstructionalone+2023</t>
  </si>
  <si>
    <t>36260487</t>
  </si>
  <si>
    <t>Performance of 5-Strand Hamstring Autograft Anterior Cruciate Ligament Reconstruction in the STABILITY Study: A Subgroup Analysis</t>
  </si>
  <si>
    <t>Lodhia P, Nazari G, Bryant D, Getgood A, McCormack R; STABILITY Group; Getgood AMJ, Bryant DM, Litchfield R, Willits K, Birmingham T, Hewison C, Firth AD, Wanlin S, Pinto R, Martindale A, O'Neill L, Jennings M, Daniluk M, McCormack RG, Boyer D, Zomar M, Moon K, Moon R, Fan B, Mohan B, Payne K, Heard M, Buchko GM, Hiemstra LA, Kerslake S, Tynedal J, MacDonald PB, Stranges G, Mcrae S, Gullett L, Brown H, Legary A, Longo A, Christian M, Ferguson C, Rezansoff A, Mohtadi N, Barber R, Chan D, Campbell C, Garven A, Pulsifer K, Mayer M, Peterson D, Simunovic N, Duong A, Robinson D, Levy D, Skelly M, Shanmugaraj A, Bardana D, Howells F, Tough M, Spalding T, Thompson P, Metcalfe A, Asplin L, Dube A, Clarkson L, Brown J, Bolsover A, Bradshaw C, Belgrove L, Milan F, Turner S, Verdugo S, Lowe J, Dunne D, McGowan K, Suddens CM, Verdonk PCM, Declerq G, Vuylsteke K, Van Haver M.</t>
  </si>
  <si>
    <t>10.1177/03635465221128581</t>
  </si>
  <si>
    <t>Lodhia</t>
  </si>
  <si>
    <t>performanceof5strandhamstringautograftanteriorcruciateligamentreconstructioninthestabilitystudy:asubgroupanalysis</t>
  </si>
  <si>
    <t>Lodhia+performanceof5strandhamstringautograftanteriorcruciateligamentreconstructioninthestabilitystudy:asubgroupanalysis+2022</t>
  </si>
  <si>
    <t>36189471</t>
  </si>
  <si>
    <t>Objective laxity and subjective outcomes are more influenced by meniscal treatment than anterior cruciate ligament reconstruction technique at minimum2 years of follow-up</t>
  </si>
  <si>
    <t>Grassi A, Di Paolo S, Dal Fabbro G, Eroglu ON, Macchiarola L, Lucidi GA, Zaffagnini S.</t>
  </si>
  <si>
    <t>J ISAKOS</t>
  </si>
  <si>
    <t>10.1016/j.jisako.2022.04.006</t>
  </si>
  <si>
    <t>Grassi</t>
  </si>
  <si>
    <t>objectivelaxityandsubjectiveoutcomesaremoreinfluencedbymeniscaltreatmentthananteriorcruciateligamentreconstructiontechniqueatminimum2yearsoffollowup</t>
  </si>
  <si>
    <t>Grassi+objectivelaxityandsubjectiveoutcomesaremoreinfluencedbymeniscaltreatmentthananteriorcruciateligamentreconstructiontechniqueatminimum2yearsoffollowup+2022</t>
  </si>
  <si>
    <t>35811663</t>
  </si>
  <si>
    <t>Comparison of Rapid Rehabilitation after Anterior Cruciate Ligament Reconstruction with Tensioning Technique and Traditional Rehabilitation</t>
  </si>
  <si>
    <t>Jin T, Li Y, Yang G, Liao X, Wang G, Wang F.</t>
  </si>
  <si>
    <t>Dis Markers</t>
  </si>
  <si>
    <t>10.1155/2022/6779207</t>
  </si>
  <si>
    <t>Jin</t>
  </si>
  <si>
    <t>comparisonofrapidrehabilitationafteranteriorcruciateligamentreconstructionwithtensioningtechniqueandtraditionalrehabilitation</t>
  </si>
  <si>
    <t>Jin+comparisonofrapidrehabilitationafteranteriorcruciateligamentreconstructionwithtensioningtechniqueandtraditionalrehabilitation+2022</t>
  </si>
  <si>
    <t>35075087</t>
  </si>
  <si>
    <t>The effectiveness of Kinesio Taping in improving pain and edema during early rehabilitation after Anterior Cruciate Ligament Reconstruction: A Prospective, Randomized, Control Study</t>
  </si>
  <si>
    <t>Labianca L, Andreozzi V, Princi G, Princi AA, Calderaro C, Guzzini M, Ferretti A.</t>
  </si>
  <si>
    <t>Acta Biomed</t>
  </si>
  <si>
    <t>10.23750/abm.v92i6.10875</t>
  </si>
  <si>
    <t>Labianca</t>
  </si>
  <si>
    <t>theeffectivenessofkinesiotapinginimprovingpainandedemaduringearlyrehabilitationafteranteriorcruciateligamentreconstruction:aprospectiverandomizedcontrolstudy</t>
  </si>
  <si>
    <t>Labianca+theeffectivenessofkinesiotapinginimprovingpainandedemaduringearlyrehabilitationafteranteriorcruciateligamentreconstruction:aprospectiverandomizedcontrolstudy+2022</t>
  </si>
  <si>
    <t>35050817</t>
  </si>
  <si>
    <t>Predictors of Graft Failure in Young Active Patients Undergoing Hamstring Autograft Anterior Cruciate Ligament Reconstruction With or Without a Lateral Extra-articular Tenodesis: The Stability Experience</t>
  </si>
  <si>
    <t>Firth AD, Bryant DM, Litchfield R, McCormack RG, Heard M, MacDonald PB, Spalding T, Verdonk PCM, Peterson D, Bardana D, Rezansoff A; STABILITY Study Group; Getgood AMJ, Willits K, Birmingham T, Hewison C, Wanlin S, Pinto R, Martindale A, O'Neill L, Jennings M, Daniluk M, Boyer D, Zomar M, Moon K, Moon R,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Milan F, Turner S, Verdugo S, Lowe J, Dunne D, McGowan K, Suddens CM, Declerq G, Vuylsteke K, Van Haver M.</t>
  </si>
  <si>
    <t>10.1177/03635465211061150</t>
  </si>
  <si>
    <t>Firth</t>
  </si>
  <si>
    <t>predictorsofgraftfailureinyoungactivepatientsundergoinghamstringautograftanteriorcruciateligamentreconstructionwithorwithoutalateralextraarticulartenodesis:thestabilityexperience</t>
  </si>
  <si>
    <t>Firth+predictorsofgraftfailureinyoungactivepatientsundergoinghamstringautograftanteriorcruciateligamentreconstructionwithorwithoutalateralextraarticulartenodesis:thestabilityexperience+2022</t>
  </si>
  <si>
    <t>31940222</t>
  </si>
  <si>
    <t>Lateral Extra-articular Tenodesis Reduces Failure of Hamstring Tendon Autograft Anterior Cruciate Ligament Reconstruction: 2-Year Outcomes From the STABILITY Study Randomized Clinical Trial</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</si>
  <si>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</si>
  <si>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10.1177/0363546519896333</t>
  </si>
  <si>
    <t>lateralextraarticulartenodesisreducesfailureofhamstringtendonautograftanteriorcruciateligamentreconstruction:2yearoutcomesfromthestabilitystudyrandomizedclinicaltrial</t>
  </si>
  <si>
    <t>Getgood+lateralextraarticulartenodesisreducesfailureofhamstringtendonautograftanteriorcruciateligamentreconstruction:2yearoutcomesfromthestabilitystudyrandomizedclinicaltrial+2020</t>
  </si>
  <si>
    <t>31159789</t>
  </si>
  <si>
    <t>Early weight-bearing after anterior cruciate ligament reconstruction with hamstring grafts induce femoral bone tunnel enlargement: a prospective clinical and radiographic study</t>
  </si>
  <si>
    <t>Tajima T, Yamaguchi N, Nagasawa M, Morita Y, Nakamura Y, Chosa E.</t>
  </si>
  <si>
    <t>BMC Musculoskelet Disord</t>
  </si>
  <si>
    <t>10.1186/s12891-019-2653-6</t>
  </si>
  <si>
    <t>Tajima</t>
  </si>
  <si>
    <t>earlyweightbearingafteranteriorcruciateligamentreconstructionwithhamstringgraftsinducefemoralbonetunnelenlargement:aprospectiveclinicalandradiographicstudy</t>
  </si>
  <si>
    <t>Tajima+earlyweightbearingafteranteriorcruciateligamentreconstructionwithhamstringgraftsinducefemoralbonetunnelenlargement:aprospectiveclinicalandradiographicstudy+2019</t>
  </si>
  <si>
    <t>29937346</t>
  </si>
  <si>
    <t>Single-Bundle Versus Double-Bundle Anterior Cruciate Ligament Reconstruction-5-Year Results</t>
  </si>
  <si>
    <t>Mayr HO, Bruder S, Hube R, Bernstein A, Suedkamp NP, Stoehr A.</t>
  </si>
  <si>
    <t>10.1016/j.arthro.2018.03.034</t>
  </si>
  <si>
    <t>Mayr</t>
  </si>
  <si>
    <t>singlebundleversusdoublebundleanteriorcruciateligamentreconstruction5yearresults</t>
  </si>
  <si>
    <t>Mayr+singlebundleversusdoublebundleanteriorcruciateligamentreconstruction5yearresults+2018</t>
  </si>
  <si>
    <t>27435334</t>
  </si>
  <si>
    <t>Acute MCL and ACL injuries: first results of minimal-invasive MCL ligament bracing with combined ACL single-bundle reconstruction</t>
  </si>
  <si>
    <t>Ateschrang A, Döbele S, Freude T, Stöckle U, Schröter S, Kraus TM.</t>
  </si>
  <si>
    <t>10.1007/s00402-016-2497-6</t>
  </si>
  <si>
    <t>Ateschrang</t>
  </si>
  <si>
    <t>acutemclandaclinjuries:firstresultsofminimalinvasivemclligamentbracingwithcombinedaclsinglebundlereconstruction</t>
  </si>
  <si>
    <t>Ateschrang+acutemclandaclinjuries:firstresultsofminimalinvasivemclligamentbracingwithcombinedaclsinglebundlereconstruction+2016</t>
  </si>
  <si>
    <t>25854500</t>
  </si>
  <si>
    <t>No difference in osteoarthritis after surgical and non-surgical treatment of ACL-injured knees after 10 years</t>
  </si>
  <si>
    <t>Tsoukas D, Fotopoulos V, Basdekis G, Makridis KG.</t>
  </si>
  <si>
    <t>10.1007/s00167-015-3593-9</t>
  </si>
  <si>
    <t>Tsoukas</t>
  </si>
  <si>
    <t>nodifferenceinosteoarthritisaftersurgicalandnonsurgicaltreatmentofaclinjuredkneesafter10years</t>
  </si>
  <si>
    <t>Tsoukas+nodifferenceinosteoarthritisaftersurgicalandnonsurgicaltreatmentofaclinjuredkneesafter10years+2016</t>
  </si>
  <si>
    <t>25749430</t>
  </si>
  <si>
    <t>[Knee laxity in anterior cruciate ligament reconstruction : The influence of graft rotation using interference screw fixation]</t>
  </si>
  <si>
    <t>Offerhaus C, Balke M, Braas M, Pennig D, Gick S, Höher J.</t>
  </si>
  <si>
    <t>Orthopade</t>
  </si>
  <si>
    <t>10.1007/s00132-015-3102-3</t>
  </si>
  <si>
    <t>Offerhaus</t>
  </si>
  <si>
    <t>kneelaxityinanteriorcruciateligamentreconstruction:theinfluenceofgraftrotationusinginterferencescrewfixation</t>
  </si>
  <si>
    <t>Offerhaus+kneelaxityinanteriorcruciateligamentreconstruction:theinfluenceofgraftrotationusinginterferencescrewfixation+2015</t>
  </si>
  <si>
    <t>23949133</t>
  </si>
  <si>
    <t>[Knee laxity in anterior cruciate ligament reconstruction. The influence of graft rotation using interference screw fixation]</t>
  </si>
  <si>
    <t>10.1007/s00113-013-2420-3</t>
  </si>
  <si>
    <t>kneelaxityinanteriorcruciateligamentreconstructiontheinfluenceofgraftrotationusinginterferencescrewfixation</t>
  </si>
  <si>
    <t>Offerhaus+kneelaxityinanteriorcruciateligamentreconstructiontheinfluenceofgraftrotationusinginterferencescrewfixation+2014</t>
  </si>
  <si>
    <t>23921339</t>
  </si>
  <si>
    <t>A prospective randomized study comparing double- and single-bundle techniques for anterior cruciate ligament reconstruction</t>
  </si>
  <si>
    <t>Ahldén M, Sernert N, Karlsson J, Kartus J.</t>
  </si>
  <si>
    <t>10.1177/0363546513497926</t>
  </si>
  <si>
    <t>Ahldén</t>
  </si>
  <si>
    <t>aprospectiverandomizedstudycomparingdoubleandsinglebundletechniquesforanteriorcruciateligamentreconstruction</t>
  </si>
  <si>
    <t>Ahldén+aprospectiverandomizedstudycomparingdoubleandsinglebundletechniquesforanteriorcruciateligamentreconstruction+2013</t>
  </si>
  <si>
    <t>23698210</t>
  </si>
  <si>
    <t>Nanohydroxyapatite-based bone graft substitute in tunnel enlargement after ACL surgery: RMN study</t>
  </si>
  <si>
    <t>Iorio R, Di Sanzo V, Vadalà A, Mazza D, Valeo L, Messano GA, Redler A, Iorio C, Bolle G, Conteduca F, Ferretti A.</t>
  </si>
  <si>
    <t>Clin Ter</t>
  </si>
  <si>
    <t>10.7417/CT.2013.1540</t>
  </si>
  <si>
    <t>Iorio</t>
  </si>
  <si>
    <t>nanohydroxyapatitebasedbonegraftsubstituteintunnelenlargementafteraclsurgery:rmnstudy</t>
  </si>
  <si>
    <t>Iorio+nanohydroxyapatitebasedbonegraftsubstituteintunnelenlargementafteraclsurgery:rmnstudy+2013</t>
  </si>
  <si>
    <t>23268821</t>
  </si>
  <si>
    <t>Comparison of short term clinical outcomes between transtibial and transportal TransFix® femoral fixation in hamstring ACL reconstruction</t>
  </si>
  <si>
    <t>Mirzatolooei F.</t>
  </si>
  <si>
    <t>Acta Orthop Traumatol Turc</t>
  </si>
  <si>
    <t>10.3944/aott.2012.2679</t>
  </si>
  <si>
    <t>Mirzatolooei</t>
  </si>
  <si>
    <t>comparisonofshorttermclinicaloutcomesbetweentranstibialandtransportaltransfix®femoralfixationinhamstringaclreconstruction</t>
  </si>
  <si>
    <t>Mirzatolooei+comparisonofshorttermclinicaloutcomesbetweentranstibialandtransportaltransfix®femoralfixationinhamstringaclreconstruction+2012</t>
  </si>
  <si>
    <t>23203338</t>
  </si>
  <si>
    <t>Short-term functional and clinical outcomes after ACL reconstruction with hamstrings autograft: transtibial versus anteromedial portal technique</t>
  </si>
  <si>
    <t>Koutras G, Papadopoulos P, Terzidis IP, Gigis I, Pappas E.</t>
  </si>
  <si>
    <t>10.1007/s00167-012-2323-9</t>
  </si>
  <si>
    <t>Koutras</t>
  </si>
  <si>
    <t>shorttermfunctionalandclinicaloutcomesafteraclreconstructionwithhamstringsautograft:transtibialversusanteromedialportaltechnique</t>
  </si>
  <si>
    <t>Koutras+shorttermfunctionalandclinicaloutcomesafteraclreconstructionwithhamstringsautograft:transtibialversusanteromedialportaltechnique+2013</t>
  </si>
  <si>
    <t>22850710</t>
  </si>
  <si>
    <t>Comparison of two methods of femoral tunnel preparation in single-bundle anterior cruciate ligament reconstruction: a prospective randomized study</t>
  </si>
  <si>
    <t>Zhang Q, Zhang S, Li R, Liu Y, Cao X.</t>
  </si>
  <si>
    <t>Acta Cir Bras</t>
  </si>
  <si>
    <t>10.1590/s0102-86502012000800010</t>
  </si>
  <si>
    <t>Zhang</t>
  </si>
  <si>
    <t>comparisonoftwomethodsoffemoraltunnelpreparationinsinglebundleanteriorcruciateligamentreconstruction:aprospectiverandomizedstudy</t>
  </si>
  <si>
    <t>Zhang+comparisonoftwomethodsoffemoraltunnelpreparationinsinglebundleanteriorcruciateligamentreconstruction:aprospectiverandomizedstudy+2012</t>
  </si>
  <si>
    <t>22691456</t>
  </si>
  <si>
    <t>Double-bundle versus single-bundle anterior cruciate ligament reconstruction: a prospective randomized study with 5-year results</t>
  </si>
  <si>
    <t>Suomalainen P, Järvelä T, Paakkala A, Kannus P, Järvinen M.</t>
  </si>
  <si>
    <t>10.1177/0363546512448177</t>
  </si>
  <si>
    <t>Suomalainen</t>
  </si>
  <si>
    <t>doublebundleversussinglebundleanteriorcruciateligamentreconstruction:aprospectiverandomizedstudywith5yearresults</t>
  </si>
  <si>
    <t>Suomalainen+doublebundleversussinglebundleanteriorcruciateligamentreconstruction:aprospectiverandomizedstudywith5yearresults+2012</t>
  </si>
  <si>
    <t>22407095</t>
  </si>
  <si>
    <t>[Outcome 4 years after isolated single-bundle posterior cruciate ligament reconstruction]</t>
  </si>
  <si>
    <t>Lahner M, Vogel T, Schulz MS, Strobel MJ.</t>
  </si>
  <si>
    <t>10.1007/s00132-012-1898-7</t>
  </si>
  <si>
    <t>Lahner</t>
  </si>
  <si>
    <t>outcome4yearsafterisolatedsinglebundleposteriorcruciateligamentreconstruction</t>
  </si>
  <si>
    <t>Lahner+outcome4yearsafterisolatedsinglebundleposteriorcruciateligamentreconstruction+2012</t>
  </si>
  <si>
    <t>22154365</t>
  </si>
  <si>
    <t>A pilot study of anatomic double-bundle anterior cruciate ligament reconstruction with ligament remnant tissue preservation</t>
  </si>
  <si>
    <t>Yasuda K, Kondo E, Kitamura N, Kawaguchi Y, Kai S, Tanabe Y.</t>
  </si>
  <si>
    <t>10.1016/j.arthro.2011.08.305</t>
  </si>
  <si>
    <t>Yasuda</t>
  </si>
  <si>
    <t>apilotstudyofanatomicdoublebundleanteriorcruciateligamentreconstructionwithligamentremnanttissuepreservation</t>
  </si>
  <si>
    <t>Yasuda+apilotstudyofanatomicdoublebundleanteriorcruciateligamentreconstructionwithligamentremnanttissuepreservation+2012</t>
  </si>
  <si>
    <t>22085729</t>
  </si>
  <si>
    <t>Prospective randomized clinical evaluation of conventional single-bundle, anatomic single-bundle, and anatomic double-bundle anterior cruciate ligament reconstruction: 281 cases with 3- to 5-year follow-up</t>
  </si>
  <si>
    <t>Hussein M, van Eck CF, Cretnik A, Dinevski D, Fu FH.</t>
  </si>
  <si>
    <t>10.1177/0363546511426416</t>
  </si>
  <si>
    <t>Hussein</t>
  </si>
  <si>
    <t>prospectiverandomizedclinicalevaluationofconventionalsinglebundleanatomicsinglebundleandanatomicdoublebundleanteriorcruciateligamentreconstruction:281caseswith3to5yearfollowup</t>
  </si>
  <si>
    <t>Hussein+prospectiverandomizedclinicalevaluationofconventionalsinglebundleanatomicsinglebundleandanatomicdoublebundleanteriorcruciateligamentreconstruction:281caseswith3to5yearfollowup+2012</t>
  </si>
  <si>
    <t>21924856</t>
  </si>
  <si>
    <t>Anterior cruciate ligament reconstruction using 4-strand hamstring autograft: conventional single-bundle technique versus oval-footprint technique</t>
  </si>
  <si>
    <t>Noh JH, Yang BG, Roh YH, Kim SW, Kim W.</t>
  </si>
  <si>
    <t>10.1016/j.arthro.2011.06.027</t>
  </si>
  <si>
    <t>Noh</t>
  </si>
  <si>
    <t>anteriorcruciateligamentreconstructionusing4strandhamstringautograft:conventionalsinglebundletechniqueversusovalfootprinttechnique</t>
  </si>
  <si>
    <t>Noh+anteriorcruciateligamentreconstructionusing4strandhamstringautograft:conventionalsinglebundletechniqueversusovalfootprinttechnique+2011</t>
  </si>
  <si>
    <t>21667181</t>
  </si>
  <si>
    <t>Single- versus double-bundle ACL reconstruction: is there any difference in stability and function at 3-year followup?</t>
  </si>
  <si>
    <t>Gobbi A, Mahajan V, Karnatzikos G, Nakamura N.</t>
  </si>
  <si>
    <t>Clin Orthop Relat Res</t>
  </si>
  <si>
    <t>10.1007/s11999-011-1940-9</t>
  </si>
  <si>
    <t>Gobbi</t>
  </si>
  <si>
    <t>singleversusdoublebundleaclreconstruction:isthereanydifferenceinstabilityandfunctionat3yearfollowup?</t>
  </si>
  <si>
    <t>Gobbi+singleversusdoublebundleaclreconstruction:isthereanydifferenceinstabilityandfunctionat3yearfollowup?+2012</t>
  </si>
  <si>
    <t>21622815</t>
  </si>
  <si>
    <t>Tibial fixation in anterior cruciate ligament reconstruction: a prospective randomized study comparing metal interference screw and staples with a centrally placed polyethylene screw and sheath</t>
  </si>
  <si>
    <t>De Wall M, Scholes CJ, Patel S, Coolican MR, Parker DA.</t>
  </si>
  <si>
    <t>10.1177/0363546511406234</t>
  </si>
  <si>
    <t>De</t>
  </si>
  <si>
    <t>tibialfixationinanteriorcruciateligamentreconstruction:aprospectiverandomizedstudycomparingmetalinterferencescrewandstapleswithacentrallyplacedpolyethylenescrewandsheath</t>
  </si>
  <si>
    <t>De+tibialfixationinanteriorcruciateligamentreconstruction:aprospectiverandomizedstudycomparingmetalinterferencescrewandstapleswithacentrallyplacedpolyethylenescrewandsheath+2011</t>
  </si>
  <si>
    <t>21610263</t>
  </si>
  <si>
    <t>Double-bundle versus single-bundle anterior cruciate ligament reconstruction: randomized clinical and magnetic resonance imaging study with 2-year follow-up</t>
  </si>
  <si>
    <t>Suomalainen P, Moisala AS, Paakkala A, Kannus P, Järvelä T.</t>
  </si>
  <si>
    <t>10.1177/0363546511405024</t>
  </si>
  <si>
    <t>doublebundleversussinglebundleanteriorcruciateligamentreconstruction:randomizedclinicalandmagneticresonanceimagingstudywith2yearfollowup</t>
  </si>
  <si>
    <t>Suomalainen+doublebundleversussinglebundleanteriorcruciateligamentreconstruction:randomizedclinicalandmagneticresonanceimagingstudywith2yearfollowup+2011</t>
  </si>
  <si>
    <t>21590280</t>
  </si>
  <si>
    <t>Will early reconstruction prevent abnormal kinematics after ACL injury? Two-year follow-up using dynamic radiostereometry in 14 patients operated with hamstring autografts</t>
  </si>
  <si>
    <t>Isberg J, Faxén E, Laxdal G, Eriksson BI, Kärrholm J, Karlsson J.</t>
  </si>
  <si>
    <t>10.1007/s00167-011-1399-y</t>
  </si>
  <si>
    <t>willearlyreconstructionpreventabnormalkinematicsafteraclinjury?twoyearfollowupusingdynamicradiostereometryin14patientsoperatedwithhamstringautografts</t>
  </si>
  <si>
    <t>Isberg+willearlyreconstructionpreventabnormalkinematicsafteraclinjury?twoyearfollowupusingdynamicradiostereometryin14patientsoperatedwithhamstringautografts+2011</t>
  </si>
  <si>
    <t>21350065</t>
  </si>
  <si>
    <t>Comparison of rotatory stability after anterior cruciate ligament reconstruction between single-bundle and double-bundle techniques</t>
  </si>
  <si>
    <t>Izawa T, Okazaki K, Tashiro Y, Matsubara H, Miura H, Matsuda S, Hashizume M, Iwamoto Y.</t>
  </si>
  <si>
    <t>10.1177/0363546510397172</t>
  </si>
  <si>
    <t>Izawa</t>
  </si>
  <si>
    <t>comparisonofrotatorystabilityafteranteriorcruciateligamentreconstructionbetweensinglebundleanddoublebundletechniques</t>
  </si>
  <si>
    <t>Izawa+comparisonofrotatorystabilityafteranteriorcruciateligamentreconstructionbetweensinglebundleanddoublebundletechniques+2011</t>
  </si>
  <si>
    <t>21036618</t>
  </si>
  <si>
    <t>Comparative outcome analysis of malpositioned and properly positioned fixation groups after hamstring autograft ACL reconstruction with femoral cross-pin fixation</t>
  </si>
  <si>
    <t>Lee YS, Ha JK, Kim YJ, Yang SJ, Lee MY, Kim JG.</t>
  </si>
  <si>
    <t>Knee</t>
  </si>
  <si>
    <t>10.1016/j.knee.2010.09.004</t>
  </si>
  <si>
    <t>Lee</t>
  </si>
  <si>
    <t>comparativeoutcomeanalysisofmalpositionedandproperlypositionedfixationgroupsafterhamstringautograftaclreconstructionwithfemoralcrosspinfixation</t>
  </si>
  <si>
    <t>Lee+comparativeoutcomeanalysisofmalpositionedandproperlypositionedfixationgroupsafterhamstringautograftaclreconstructionwithfemoralcrosspinfixation+2011</t>
  </si>
  <si>
    <t>20934845</t>
  </si>
  <si>
    <t>Neurovascular safety and clinical outcome of outside-in repair of tears of the posterior horn of the medial meniscus</t>
  </si>
  <si>
    <t>Sobhy MH, AbouElsoud MM, Kamel EM, Desouki AM.</t>
  </si>
  <si>
    <t>10.1016/j.arthro.2010.05.018</t>
  </si>
  <si>
    <t>Sobhy</t>
  </si>
  <si>
    <t>neurovascularsafetyandclinicaloutcomeofoutsideinrepairoftearsoftheposteriorhornofthemedialmeniscus</t>
  </si>
  <si>
    <t>Sobhy+neurovascularsafetyandclinicaloutcomeofoutsideinrepairoftearsoftheposteriorhornofthemedialmeniscus+2010</t>
  </si>
  <si>
    <t>20175049</t>
  </si>
  <si>
    <t>[Comparative study after hamstring ACL plasty with RigidFix (pin fixation) and EndoButton (anchor fixation)]</t>
  </si>
  <si>
    <t>Basad E, Kipper A, Wüsten OA, Stürz H, Ishaque BA.</t>
  </si>
  <si>
    <t>Z Orthop Unfall</t>
  </si>
  <si>
    <t>10.1055/s-0029-1240737</t>
  </si>
  <si>
    <t>Basad</t>
  </si>
  <si>
    <t>comparativestudyafterhamstringaclplastywithrigidfix(pinfixation)andendobutton(anchorfixation)</t>
  </si>
  <si>
    <t>Basad+comparativestudyafterhamstringaclplastywithrigidfix(pinfixation)andendobutton(anchorfixation)+2010</t>
  </si>
  <si>
    <t>19794165</t>
  </si>
  <si>
    <t>Anterior cruciate ligament reconstruction using autologous hamstring double bundle graft compared with single bundle procedures</t>
  </si>
  <si>
    <t>Ibrahim SA, Hamido F, Al Misfer AK, Mahgoob A, Ghafar SA, Alhran H.</t>
  </si>
  <si>
    <t>10.1302/0301-620X.91B10.21886</t>
  </si>
  <si>
    <t>Ibrahim</t>
  </si>
  <si>
    <t>anteriorcruciateligamentreconstructionusingautologoushamstringdoublebundlegraftcomparedwithsinglebundleprocedures</t>
  </si>
  <si>
    <t>Ibrahim+anteriorcruciateligamentreconstructionusingautologoushamstringdoublebundlegraftcomparedwithsinglebundleprocedures+2009</t>
  </si>
  <si>
    <t>19793927</t>
  </si>
  <si>
    <t>Comparison between single-and double-bundle anterior cruciate ligament reconstruction: a prospective, randomized, single-blinded clinical trial</t>
  </si>
  <si>
    <t>Aglietti P, Giron F, Losco M, Cuomo P, Ciardullo A, Mondanelli N.</t>
  </si>
  <si>
    <t>10.1177/0363546509347096</t>
  </si>
  <si>
    <t>Aglietti</t>
  </si>
  <si>
    <t>comparisonbetweensingleanddoublebundleanteriorcruciateligamentreconstruction:aprospectiverandomizedsingleblindedclinicaltrial</t>
  </si>
  <si>
    <t>Aglietti+comparisonbetweensingleanddoublebundleanteriorcruciateligamentreconstruction:aprospectiverandomizedsingleblindedclinicaltrial+2010</t>
  </si>
  <si>
    <t>19423416</t>
  </si>
  <si>
    <t>A new knee arthrometer, the GNRB: experience in ACL complete and partial tears</t>
  </si>
  <si>
    <t>Robert H, Nouveau S, Gageot S, Gagnière B.</t>
  </si>
  <si>
    <t>Orthop Traumatol Surg Res</t>
  </si>
  <si>
    <t>10.1016/j.otsr.2009.03.009</t>
  </si>
  <si>
    <t>Robert</t>
  </si>
  <si>
    <t>anewkneearthrometerthegnrb:experienceinaclcompleteandpartialtears</t>
  </si>
  <si>
    <t>Robert+anewkneearthrometerthegnrb:experienceinaclcompleteandpartialtears+2009</t>
  </si>
  <si>
    <t>19193599</t>
  </si>
  <si>
    <t>Anterior cruciate ligament reconstruction associated with extra-articular tenodesis: A prospective clinical and radiographic evaluation with 10- to 13-year follow-up</t>
  </si>
  <si>
    <t>Marcacci M, Zaffagnini S, Giordano G, Iacono F, Presti ML.</t>
  </si>
  <si>
    <t>10.1177/0363546508328114</t>
  </si>
  <si>
    <t>Marcacci</t>
  </si>
  <si>
    <t>anteriorcruciateligamentreconstructionassociatedwithextraarticulartenodesis:aprospectiveclinicalandradiographicevaluationwith10to13yearfollowup</t>
  </si>
  <si>
    <t>Marcacci+anteriorcruciateligamentreconstructionassociatedwithextraarticulartenodesis:aprospectiveclinicalandradiographicevaluationwith10to13yearfollowup+2009</t>
  </si>
  <si>
    <t>19169783</t>
  </si>
  <si>
    <t>[Anterior cruciate ligament reconstruction with semitendinosus tendon in children]</t>
  </si>
  <si>
    <t>Schneider FJ, Kraus T, Linhart WE.</t>
  </si>
  <si>
    <t>Oper Orthop Traumatol</t>
  </si>
  <si>
    <t>10.1007/s00064-008-1412-x</t>
  </si>
  <si>
    <t>Schneider</t>
  </si>
  <si>
    <t>anteriorcruciateligamentreconstructionwithsemitendinosustendoninchildren</t>
  </si>
  <si>
    <t>Schneider+anteriorcruciateligamentreconstructionwithsemitendinosustendoninchildren+2008</t>
  </si>
  <si>
    <t>17091015</t>
  </si>
  <si>
    <t>Double-bundle ACL reconstruction can improve rotational stability</t>
  </si>
  <si>
    <t>Yagi M, Kuroda R, Nagamune K, Yoshiya S, Kurosaka M.</t>
  </si>
  <si>
    <t>10.1097/BLO.0b013e31802ba45c</t>
  </si>
  <si>
    <t>Yagi</t>
  </si>
  <si>
    <t>doublebundleaclreconstructioncanimproverotationalstability</t>
  </si>
  <si>
    <t>Yagi+doublebundleaclreconstructioncanimproverotationalstability+2007</t>
  </si>
  <si>
    <t>16131675</t>
  </si>
  <si>
    <t>Comparing 2-year outcomes of anterior cruciate ligament reconstruction using either patella-tendon or semitendinosus-tendon autografts: a non-randomised prospective study</t>
  </si>
  <si>
    <t>Tow BP, Chang PC, Mitra AK, Tay BK, Wong MC.</t>
  </si>
  <si>
    <t>10.1177/230949900501300206</t>
  </si>
  <si>
    <t>Tow</t>
  </si>
  <si>
    <t>comparing2yearoutcomesofanteriorcruciateligamentreconstructionusingeitherpatellatendonorsemitendinosustendonautografts:anonrandomisedprospectivestudy</t>
  </si>
  <si>
    <t>Tow+comparing2yearoutcomesofanteriorcruciateligamentreconstructionusingeitherpatellatendonorsemitendinosustendonautografts:anonrandomisedprospectivestudy+2005</t>
  </si>
  <si>
    <t>16024251</t>
  </si>
  <si>
    <t>Two-bundle anterior cruciate ligament reconstruction with eight-stranded hamstring tendons: four-tunnel technique</t>
  </si>
  <si>
    <t>Zhao J, Peng X, He Y, Wang J.</t>
  </si>
  <si>
    <t>10.1016/j.knee.2005.05.001</t>
  </si>
  <si>
    <t>Zhao</t>
  </si>
  <si>
    <t>twobundleanteriorcruciateligamentreconstructionwitheightstrandedhamstringtendons:fourtunneltechnique</t>
  </si>
  <si>
    <t>Zhao+twobundleanteriorcruciateligamentreconstructionwitheightstrandedhamstringtendons:fourtunneltechnique+2006</t>
  </si>
  <si>
    <t>15756612</t>
  </si>
  <si>
    <t>Anterior cruciate ligament reconstruction with double-looped semitendinosus and gracilis tendon graft directly fixed to cortical bone: 5-year results</t>
  </si>
  <si>
    <t>Giron F, Aglietti P, Cuomo P, Mondanelli N, Ciardullo A.</t>
  </si>
  <si>
    <t>10.1007/s00167-004-0553-1</t>
  </si>
  <si>
    <t>Giron</t>
  </si>
  <si>
    <t>anteriorcruciateligamentreconstructionwithdoubleloopedsemitendinosusandgracilistendongraftdirectlyfixedtocorticalbone:5yearresults</t>
  </si>
  <si>
    <t>Giron+anteriorcruciateligamentreconstructionwithdoubleloopedsemitendinosusandgracilistendongraftdirectlyfixedtocorticalbone:5yearresults+2005</t>
  </si>
  <si>
    <t>15292958</t>
  </si>
  <si>
    <t>[Anterior cruciate ligament reconstruction with hamstring tendons in the young]</t>
  </si>
  <si>
    <t>Sobau C, Ellermann A.</t>
  </si>
  <si>
    <t>10.1007/s00113-004-0809-8</t>
  </si>
  <si>
    <t>Sobau</t>
  </si>
  <si>
    <t>anteriorcruciateligamentreconstructionwithhamstringtendonsintheyoung</t>
  </si>
  <si>
    <t>Sobau+anteriorcruciateligamentreconstructionwithhamstringtendonsintheyoung+2004</t>
  </si>
  <si>
    <t>15060762</t>
  </si>
  <si>
    <t>Arthroscopic anterior cruciate ligament reconstruction with periosteum-enveloping hamstring tendon graft</t>
  </si>
  <si>
    <t>Chen CH, Chen WJ, Shih CH, Chou SW.</t>
  </si>
  <si>
    <t>10.1007/s00167-004-0498-4</t>
  </si>
  <si>
    <t>Chen</t>
  </si>
  <si>
    <t>arthroscopicanteriorcruciateligamentreconstructionwithperiosteumenvelopinghamstringtendongraft</t>
  </si>
  <si>
    <t>Chen+arthroscopicanteriorcruciateligamentreconstructionwithperiosteumenvelopinghamstringtendongraft+2004</t>
  </si>
  <si>
    <t>13680104</t>
  </si>
  <si>
    <t>The role of periosteal flap in the prevention of femoral widening in anterior cruciate ligament reconstruction using hamstring tendons</t>
  </si>
  <si>
    <t>Robert H, Es-Sayeh J.</t>
  </si>
  <si>
    <t>10.1007/s00167-003-0380-9</t>
  </si>
  <si>
    <t>theroleofperiostealflapinthepreventionoffemoralwideninginanteriorcruciateligamentreconstructionusinghamstringtendons</t>
  </si>
  <si>
    <t>Robert+theroleofperiostealflapinthepreventionoffemoralwideninginanteriorcruciateligamentreconstructionusinghamstringtendons+2004</t>
  </si>
  <si>
    <t>12860538</t>
  </si>
  <si>
    <t>Clinical outcome of anterior cruciate ligament reconstruction with quadrupled hamstring tendon graft and bioabsorbable interference screw fixation</t>
  </si>
  <si>
    <t>Charlton WP, Randolph DA Jr, Lemos S, Shields CL Jr.</t>
  </si>
  <si>
    <t>10.1177/03635465030310040701</t>
  </si>
  <si>
    <t>Charlton</t>
  </si>
  <si>
    <t>clinicaloutcomeofanteriorcruciateligamentreconstructionwithquadrupledhamstringtendongraftandbioabsorbableinterferencescrewfixation</t>
  </si>
  <si>
    <t>Charlton+clinicaloutcomeofanteriorcruciateligamentreconstructionwithquadrupledhamstringtendongraftandbioabsorbableinterferencescrewfixation+2003</t>
  </si>
  <si>
    <t>11600976</t>
  </si>
  <si>
    <t>Single- versus bi-socket anterior cruciate ligament reconstruction using autogenous multiple-stranded hamstring tendons with endoButton femoral fixation: A prospective study</t>
  </si>
  <si>
    <t>Hamada M, Shino K, Horibe S, Mitsuoka T, Miyama T, Shiozaki Y, Mae T.</t>
  </si>
  <si>
    <t>10.1016/s0749-8063(01)90002-7</t>
  </si>
  <si>
    <t>Hamada</t>
  </si>
  <si>
    <t>singleversusbisocketanteriorcruciateligamentreconstructionusingautogenousmultiplestrandedhamstringtendonswithendobuttonfemoralfixation:aprospectivestudy</t>
  </si>
  <si>
    <t>Hamada+singleversusbisocketanteriorcruciateligamentreconstructionusingautogenousmultiplestrandedhamstringtendonswithendobuttonfemoralfixation:aprospectivestudy+2001</t>
  </si>
  <si>
    <t>11357697</t>
  </si>
  <si>
    <t>[Semitendinosus tendon vs. patellar ligament. Results of a prospective randomized study after anterior cruciate ligament reconstruction]</t>
  </si>
  <si>
    <t>Röpke M, Becker R, Urbach D, Nebelung W.</t>
  </si>
  <si>
    <t>10.1007/s001130050733</t>
  </si>
  <si>
    <t>Röpke</t>
  </si>
  <si>
    <t>semitendinosustendonvspatellarligamentresultsofaprospectiverandomizedstudyafteranteriorcruciateligamentreconstruction</t>
  </si>
  <si>
    <t>Röpke+semitendinosustendonvspatellarligamentresultsofaprospectiverandomizedstudyafteranteriorcruciateligamentreconstruction+2001</t>
  </si>
  <si>
    <t>11248568</t>
  </si>
  <si>
    <t>Hamstrings vs. patella tendon for anterior cruciate ligament reconstruction: a randomised controlled trial</t>
  </si>
  <si>
    <t>Beard DJ, Anderson JL, Davies S, Price AJ, Dodd CA.</t>
  </si>
  <si>
    <t>10.1016/s0968-0160(01)00062-x</t>
  </si>
  <si>
    <t>Beard</t>
  </si>
  <si>
    <t>hamstringsvspatellatendonforanteriorcruciateligamentreconstruction:arandomisedcontrolledtrial</t>
  </si>
  <si>
    <t>Beard+hamstringsvspatellatendonforanteriorcruciateligamentreconstruction:arandomisedcontrolledtrial+2001</t>
  </si>
  <si>
    <t>11027754</t>
  </si>
  <si>
    <t>Tunnel expansion after hamstring anterior cruciate ligament reconstruction with 1-incision EndoButton femoral fixation</t>
  </si>
  <si>
    <t>Simonian PT, Erickson MS, Larson RV, O'kane JW.</t>
  </si>
  <si>
    <t>10.1053/jars.2000.4635</t>
  </si>
  <si>
    <t>Simonian</t>
  </si>
  <si>
    <t>tunnelexpansionafterhamstringanteriorcruciateligamentreconstructionwith1incisionendobuttonfemoralfixation</t>
  </si>
  <si>
    <t>Simonian+tunnelexpansionafterhamstringanteriorcruciateligamentreconstructionwith1incisionendobuttonfemoralfixation+2000</t>
  </si>
  <si>
    <t>10663317</t>
  </si>
  <si>
    <t>Behavior of the graft within the bone tunnels following anterior cruciate ligament reconstruction, studied by cinematic magnetic resonance imaging</t>
  </si>
  <si>
    <t>Jørgensen U, Thomsen HS.</t>
  </si>
  <si>
    <t>10.1007/s001670050007</t>
  </si>
  <si>
    <t>Jørgensen</t>
  </si>
  <si>
    <t>behaviorofthegraftwithinthebonetunnelsfollowinganteriorcruciateligamentreconstructionstudiedbycinematicmagneticresonanceimaging</t>
  </si>
  <si>
    <t>Jørgensen+behaviorofthegraftwithinthebonetunnelsfollowinganteriorcruciateligamentreconstructionstudiedbycinematicmagneticresonanceimaging+2000</t>
  </si>
  <si>
    <t>10401649</t>
  </si>
  <si>
    <t>Tunnel widening in anterior cruciate ligament reconstruction: a prospective evaluation of hamstring and patella tendon grafts</t>
  </si>
  <si>
    <t>Clatworthy MG, Annear P, Bulow JU, Bartlett RJ.</t>
  </si>
  <si>
    <t>10.1007/s001670050138</t>
  </si>
  <si>
    <t>Clatworthy</t>
  </si>
  <si>
    <t>tunnelwideninginanteriorcruciateligamentreconstruction:aprospectiveevaluationofhamstringandpatellatendongrafts</t>
  </si>
  <si>
    <t>Clatworthy+tunnelwideninginanteriorcruciateligamentreconstruction:aprospectiveevaluationofhamstringandpatellatendongrafts+1999</t>
  </si>
  <si>
    <t>9474630</t>
  </si>
  <si>
    <t>Magnetic resonance imaging and knee stability following ACL reconstruction</t>
  </si>
  <si>
    <t>Kühne JH, Dürr HR, Steinborn M, Jansson V, Refior HJ.</t>
  </si>
  <si>
    <t>10.3928/0147-7447-19980101-10</t>
  </si>
  <si>
    <t>Kühne</t>
  </si>
  <si>
    <t>magneticresonanceimagingandkneestabilityfollowingaclreconstruction</t>
  </si>
  <si>
    <t>Kühne+magneticresonanceimagingandkneestabilityfollowingaclreconstruction+1998</t>
  </si>
  <si>
    <t>9048389</t>
  </si>
  <si>
    <t>A prospective, clinical study evaluating arthroscopic ACL reconstruction using the semitendinosus and iliotibial band: 2- to 5-year follow up</t>
  </si>
  <si>
    <t>Billotti JD, Meese MA, Alberta F, Zimmerman MC.</t>
  </si>
  <si>
    <t>10.3928/0147-7447-19970201-08</t>
  </si>
  <si>
    <t>Billotti</t>
  </si>
  <si>
    <t>aprospectiveclinicalstudyevaluatingarthroscopicaclreconstructionusingthesemitendinosusandiliotibialband:2to5yearfollowup</t>
  </si>
  <si>
    <t>Billotti+aprospectiveclinicalstudyevaluatingarthroscopicaclreconstructionusingthesemitendinosusandiliotibialband:2to5yearfollowup+1997</t>
  </si>
  <si>
    <t>8526275</t>
  </si>
  <si>
    <t>Effects of an accelerated rehabilitation program after anterior cruciate ligament reconstruction with combined semitendinosus-gracilis autograft and a ligament augmentation device</t>
  </si>
  <si>
    <t>MacDonald PB, Hedden D, Pacin O, Huebert D.</t>
  </si>
  <si>
    <t>10.1177/036354659502300512</t>
  </si>
  <si>
    <t>MacDonald</t>
  </si>
  <si>
    <t>effectsofanacceleratedrehabilitationprogramafteranteriorcruciateligamentreconstructionwithcombinedsemitendinosusgracilisautograftandaligamentaugmentationdevice</t>
  </si>
  <si>
    <t>MacDonald+effectsofanacceleratedrehabilitationprogramafteranteriorcruciateligamentreconstructionwithcombinedsemitendinosusgracilisautograftandaligamentaugmentationdevice+1995</t>
  </si>
  <si>
    <t>7810790</t>
  </si>
  <si>
    <t>Anterior cruciate ligament reconstruction using gracilis and semitendinosus tendons. Comparison of through-the-condyle and over-the-top graft placements</t>
  </si>
  <si>
    <t>Karlson JA, Steiner ME, Brown CH, Johnston J.</t>
  </si>
  <si>
    <t>10.1177/036354659402200514</t>
  </si>
  <si>
    <t>Karlson</t>
  </si>
  <si>
    <t>anteriorcruciateligamentreconstructionusinggracilisandsemitendinosustendonscomparisonofthroughthecondyleandoverthetopgraftplacements</t>
  </si>
  <si>
    <t>Karlson+anteriorcruciateligamentreconstructionusinggracilisandsemitendinosustendonscomparisonofthroughthecondyleandoverthetopgraftplacements+1994</t>
  </si>
  <si>
    <t>7810785</t>
  </si>
  <si>
    <t>Anterior cruciate ligament reconstruction using the semitendinosus and gracilis tendons augmented by the losee iliotibial band tenodesis. A long-term study</t>
  </si>
  <si>
    <t>Anderson AF, Snyder RB, Lipscomb AB Sr.</t>
  </si>
  <si>
    <t>10.1177/036354659402200509</t>
  </si>
  <si>
    <t>Anderson</t>
  </si>
  <si>
    <t>anteriorcruciateligamentreconstructionusingthesemitendinosusandgracilistendonsaugmentedbytheloseeiliotibialbandtenodesisalongtermstudy</t>
  </si>
  <si>
    <t>Anderson+anteriorcruciateligamentreconstructionusingthesemitendinosusandgracilistendonsaugmentedbytheloseeiliotibialbandtenodesisalongtermstudy+1994</t>
  </si>
  <si>
    <t>7943519</t>
  </si>
  <si>
    <t>The ligament augmentation device in hamstring grafts for reconstruction of the anterior cruciate ligament</t>
  </si>
  <si>
    <t>Santi MD, Richardson AB.</t>
  </si>
  <si>
    <t>10.1177/036354659402200415</t>
  </si>
  <si>
    <t>Santi</t>
  </si>
  <si>
    <t>theligamentaugmentationdeviceinhamstringgraftsforreconstructionoftheanteriorcruciateligament</t>
  </si>
  <si>
    <t>Santi+theligamentaugmentationdeviceinhamstringgraftsforreconstructionoftheanteriorcruciateligament+1994</t>
  </si>
  <si>
    <t>39970465</t>
  </si>
  <si>
    <t>The effect of neuromuscular electrical stimulation superimposed on quadriceps training on gait dynamics after anterior cruciate ligament reconstruction</t>
  </si>
  <si>
    <t>Li S, Lu B, Zhang Y, Liu J, Xu W, Li Q.</t>
  </si>
  <si>
    <t>J Back Musculoskelet Rehabil</t>
  </si>
  <si>
    <t>10.1177/10538127241296376</t>
  </si>
  <si>
    <t>Li</t>
  </si>
  <si>
    <t>theeffectofneuromuscularelectricalstimulationsuperimposedonquadricepstrainingongaitdynamicsafteranteriorcruciateligamentreconstruction</t>
  </si>
  <si>
    <t>Li+theeffectofneuromuscularelectricalstimulationsuperimposedonquadricepstrainingongaitdynamicsafteranteriorcruciateligamentreconstruction+2025</t>
  </si>
  <si>
    <t>28918506</t>
  </si>
  <si>
    <t>Young athletes after ACL reconstruction with quadriceps strength asymmetry at the time of return-to-sport demonstrate decreased knee function 1 year later</t>
  </si>
  <si>
    <t>Ithurburn MP, Altenburger AR, Thomas S, Hewett TE, Paterno MV, Schmitt LC.</t>
  </si>
  <si>
    <t>10.1007/s00167-017-4678-4</t>
  </si>
  <si>
    <t>Ithurburn</t>
  </si>
  <si>
    <t>youngathletesafteraclreconstructionwithquadricepsstrengthasymmetryatthetimeofreturntosportdemonstratedecreasedkneefunction1yearlater</t>
  </si>
  <si>
    <t>Ithurburn+youngathletesafteraclreconstructionwithquadricepsstrengthasymmetryatthetimeofreturntosportdemonstratedecreasedkneefunction1yearlater+2018</t>
  </si>
  <si>
    <t>25536951</t>
  </si>
  <si>
    <t>The "Lever Sign": a new clinical test for the diagnosis of anterior cruciate ligament rupture</t>
  </si>
  <si>
    <t>Lelli A, Di Turi RP, Spenciner DB, Dòmini M.</t>
  </si>
  <si>
    <t>10.1007/s00167-014-3490-7</t>
  </si>
  <si>
    <t>Lelli</t>
  </si>
  <si>
    <t>the"leversign":anewclinicaltestforthediagnosisofanteriorcruciateligamentrupture</t>
  </si>
  <si>
    <t>Lelli+the"leversign":anewclinicaltestforthediagnosisofanteriorcruciateligamentrupture+2016</t>
  </si>
  <si>
    <t>24553686</t>
  </si>
  <si>
    <t>[Ligament bracing--augmented primary suture repair in multiligamentous knee injuries]</t>
  </si>
  <si>
    <t>Heitmann M, Gerau M, Hötzel J, Giannakos A, Frosch KH, Preiss A.</t>
  </si>
  <si>
    <t>10.1007/s00064-013-0263-2</t>
  </si>
  <si>
    <t>Heitmann</t>
  </si>
  <si>
    <t>ligamentbracingaugmentedprimarysuturerepairinmultiligamentouskneeinjuries</t>
  </si>
  <si>
    <t>Heitmann+ligamentbracingaugmentedprimarysuturerepairinmultiligamentouskneeinjuries+2014</t>
  </si>
  <si>
    <t>15754231</t>
  </si>
  <si>
    <t>[Meniscus replacement with quadriceps tendon--a long-term analysis]</t>
  </si>
  <si>
    <t>Pressel T, V Lewinski G, Kohn D, Wirth CJ.</t>
  </si>
  <si>
    <t>Z Orthop Ihre Grenzgeb</t>
  </si>
  <si>
    <t>10.1055/s-2005-836359</t>
  </si>
  <si>
    <t>Pressel</t>
  </si>
  <si>
    <t>meniscusreplacementwithquadricepstendonalongtermanalysis</t>
  </si>
  <si>
    <t>Pressel+meniscusreplacementwithquadricepstendonalongtermanalysis+2005</t>
  </si>
  <si>
    <t>11819015</t>
  </si>
  <si>
    <t>The relationship between participation restrictions and selected clinical measures following anterior cruciate ligament reconstruction</t>
  </si>
  <si>
    <t>Ross MD, Irrgang JJ, Denegar CR, McCloy CM, Unangst ET.</t>
  </si>
  <si>
    <t>10.1007/s001670100238</t>
  </si>
  <si>
    <t>Ross</t>
  </si>
  <si>
    <t>therelationshipbetweenparticipationrestrictionsandselectedclinicalmeasuresfollowinganteriorcruciateligamentreconstruction</t>
  </si>
  <si>
    <t>Ross+therelationshipbetweenparticipationrestrictionsandselectedclinicalmeasuresfollowinganteriorcruciateligamentreconstruction+2002</t>
  </si>
  <si>
    <t>9917711</t>
  </si>
  <si>
    <t>The effect of immediate weightbearing after anterior cruciate ligament reconstruction</t>
  </si>
  <si>
    <t>Tyler TF, McHugh MP, Gleim GW, Nicholas SJ.</t>
  </si>
  <si>
    <t>10.1097/00003086-199812000-00019</t>
  </si>
  <si>
    <t>Tyler</t>
  </si>
  <si>
    <t>theeffectofimmediateweightbearingafteranteriorcruciateligamentreconstruction</t>
  </si>
  <si>
    <t>Tyler+theeffectofimmediateweightbearingafteranteriorcruciateligamentreconstruction+1998</t>
  </si>
  <si>
    <t>3355641</t>
  </si>
  <si>
    <t>Arthroscopic reconstruction of the anterior cruciate ligament</t>
  </si>
  <si>
    <t>Gillquist J, Odensten M.</t>
  </si>
  <si>
    <t>10.1016/s0749-8063(88)80003-3</t>
  </si>
  <si>
    <t>Gillquist</t>
  </si>
  <si>
    <t>arthroscopicreconstructionoftheanteriorcruciateligament</t>
  </si>
  <si>
    <t>Gillquist+arthroscopicreconstructionoftheanteriorcruciateligament+1988</t>
  </si>
  <si>
    <t>23538044</t>
  </si>
  <si>
    <t>Femoral tunnel position on conventional magnetic resonance imaging after anterior cruciate ligament reconstruction in young men: transtibial technique versus anteromedial portal technique</t>
  </si>
  <si>
    <t>Noh JH, Roh YH, Yang BG, Yi SR, Lee SY.</t>
  </si>
  <si>
    <t>10.1016/j.arthro.2013.01.025</t>
  </si>
  <si>
    <t>femoraltunnelpositiononconventionalmagneticresonanceimagingafteranteriorcruciateligamentreconstructioninyoungmen:transtibialtechniqueversusanteromedialportaltechnique</t>
  </si>
  <si>
    <t>Noh+femoraltunnelpositiononconventionalmagneticresonanceimagingafteranteriorcruciateligamentreconstructioninyoungmen:transtibialtechniqueversusanteromedialportaltechnique+2013</t>
  </si>
  <si>
    <t>https://www.embase.com/search/results?subaction=viewrecord&amp;id=L611028550&amp;from=export</t>
  </si>
  <si>
    <t>Bone-Albumin filling decreases donor site morbidity and enhances bone formation after anterior cruciate ligament reconstruction with bone-patellar tendon-bone autografts</t>
  </si>
  <si>
    <t>Schandl K., Horváthy D.B., Doros A., Majzik E., Schwarz C.M., Csönge L., Abkarovits G., Bucsi L., Lacza Z.</t>
  </si>
  <si>
    <t>International Orthopaedics (2016) 40:10 (2097-2104). Date of Publication: 1 Oct 2016</t>
  </si>
  <si>
    <t>10.1007/s00264-016-3246-8</t>
  </si>
  <si>
    <t>Schandl</t>
  </si>
  <si>
    <t>bonealbuminfillingdecreasesdonorsitemorbidityandenhancesboneformationafteranteriorcruciateligamentreconstructionwithbonepatellartendonboneautografts</t>
  </si>
  <si>
    <t>Schandl+bonealbuminfillingdecreasesdonorsitemorbidityandenhancesboneformationafteranteriorcruciateligamentreconstructionwithbonepatellartendonboneautografts+2016</t>
  </si>
  <si>
    <t>https://www.embase.com/search/results?subaction=viewrecord&amp;id=L32999258&amp;from=export</t>
  </si>
  <si>
    <t>Anterior cruciate ligament reconstruction using patellar tendon autograft and bioresorbable interference screws</t>
  </si>
  <si>
    <t>Hofmann G.O., Wagner F.D., Beickert R., Gonschorek O., Bühren V.</t>
  </si>
  <si>
    <t>European Journal of Trauma (2001) 27:5 (241-249). Date of Publication: 2001</t>
  </si>
  <si>
    <t>10.1007/s00068-001-1089-4</t>
  </si>
  <si>
    <t>Hofmann</t>
  </si>
  <si>
    <t>anteriorcruciateligamentreconstructionusingpatellartendonautograftandbioresorbableinterferencescrews</t>
  </si>
  <si>
    <t>Hofmann+anteriorcruciateligamentreconstructionusingpatellartendonautograftandbioresorbableinterferencescrews+2001</t>
  </si>
  <si>
    <t>https://www.embase.com/search/results?subaction=viewrecord&amp;id=L28531673&amp;from=export</t>
  </si>
  <si>
    <t>The effect of different graft tensioning in anterior cruciate ligament reconstruction: A prospective randomized study</t>
  </si>
  <si>
    <t>Van Kampen A., Wymenga A.B., Van der Heide H.J.L., Bakens H.J.A.M.</t>
  </si>
  <si>
    <t>Arthroscopy (1998) 14:8 (845-850). Date of Publication: 1998</t>
  </si>
  <si>
    <t>10.1016/S0749-8063(98)70022-2</t>
  </si>
  <si>
    <t>Van</t>
  </si>
  <si>
    <t>Van+theeffectofdifferentgrafttensioninginanteriorcruciateligamentreconstruction:aprospectiverandomizedstudy+1998</t>
  </si>
  <si>
    <t>https://www.embase.com/search/results?subaction=viewrecord&amp;id=L23236041&amp;from=export</t>
  </si>
  <si>
    <t>Effects of continuous passive motion on anterior laxity following ACL reconstruction with autogenous patellar tendon grafts</t>
  </si>
  <si>
    <t>McCarthy M.R., Buxton B.P., Yates C.K.</t>
  </si>
  <si>
    <t>Journal of Sport Rehabilitation (1993) 2:3 (171-178). Date of Publication: 1993</t>
  </si>
  <si>
    <t>10.1123/jsr.2.3.171</t>
  </si>
  <si>
    <t>McCarthy</t>
  </si>
  <si>
    <t>effectsofcontinuouspassivemotiononanteriorlaxityfollowingaclreconstructionwithautogenouspatellartendongrafts</t>
  </si>
  <si>
    <t>McCarthy+effectsofcontinuouspassivemotiononanteriorlaxityfollowingaclreconstructionwithautogenouspatellartendongrafts+1993</t>
  </si>
  <si>
    <t>https://www.embase.com/search/results?subaction=viewrecord&amp;id=L2039158003&amp;from=export</t>
  </si>
  <si>
    <t>Evaluation of Return to Military Activities after Combining Anterior Cruciate Ligament Reconstruction with Modified Lateral Extra-articular Tenodesis Versus Anterior Cruciate Ligament Reconstruction Alone in Primary Anterior Cruciate Ligament Tear in Soldiers. A Randomized Comparative Study</t>
  </si>
  <si>
    <t>Gupta T.P., Rai S.K., Sirohi B., Kale A., Kashid M., Negi R.S.</t>
  </si>
  <si>
    <t>Journal of Arthroscopy and Joint Surgery (2025) 12:3 (101-114). Date of Publication: 1 Jul 2025</t>
  </si>
  <si>
    <t>10.4103/jajs.jajs_66_24</t>
  </si>
  <si>
    <t>Gupta</t>
  </si>
  <si>
    <t>evaluationofreturntomilitaryactivitiesaftercombininganteriorcruciateligamentreconstructionwithmodifiedlateralextraarticulartenodesisversusanteriorcruciateligamentreconstructionaloneinprimaryanteriorcruciateligamenttearinsoldiersarandomizedcomparativestudy</t>
  </si>
  <si>
    <t>Gupta+evaluationofreturntomilitaryactivitiesaftercombininganteriorcruciateligamentreconstructionwithmodifiedlateralextraarticulartenodesisversusanteriorcruciateligamentreconstructionaloneinprimaryanteriorcruciateligamenttearinsoldiersarandomizedcomparativestudy+2025</t>
  </si>
  <si>
    <t>https://www.embase.com/search/results?subaction=viewrecord&amp;id=L2036337079&amp;from=export</t>
  </si>
  <si>
    <t>A randomized controlled trial on oblique incisions for ACL reconstruction: Minimizing sensory deficit without compromising outcome</t>
  </si>
  <si>
    <t>Duraiswamy G., Ashraf M., Paul E., K S.S., Rajan D.V.</t>
  </si>
  <si>
    <t>Journal of Clinical Orthopaedics and Trauma (2025) 60 Article Number: 102865. Date of Publication: 1 Jan 2025</t>
  </si>
  <si>
    <t>10.1016/j.jcot.2024.102865</t>
  </si>
  <si>
    <t>Duraiswamy</t>
  </si>
  <si>
    <t>arandomizedcontrolledtrialonobliqueincisionsforaclreconstruction:minimizingsensorydeficitwithoutcompromisingoutcome</t>
  </si>
  <si>
    <t>Duraiswamy+arandomizedcontrolledtrialonobliqueincisionsforaclreconstruction:minimizingsensorydeficitwithoutcompromisingoutcome+2025</t>
  </si>
  <si>
    <t>https://www.embase.com/search/results?subaction=viewrecord&amp;id=L2019416934&amp;from=export</t>
  </si>
  <si>
    <t>Posterior tibial slope (PTS) ≥ 10 degrees is a risk factor for further anterior cruciate ligament (ACL) injury; BMI is not</t>
  </si>
  <si>
    <t>Fares A., Horteur C., Abou Al Ezz M., Hardy A., Rubens-Duval B., Karam K., Gaulin B., Pailhe R.</t>
  </si>
  <si>
    <t>European Journal of Orthopaedic Surgery and Traumatology (2023) 33:5 (2091-2099). Date of Publication: 1 Jul 2023</t>
  </si>
  <si>
    <t>10.1007/s00590-022-03406-9</t>
  </si>
  <si>
    <t>Fares</t>
  </si>
  <si>
    <t>posteriortibialslope(pts)≥10degreesisariskfactorforfurtheranteriorcruciateligament(acl)injurybmiisnot</t>
  </si>
  <si>
    <t>Fares+posteriortibialslope(pts)≥10degreesisariskfactorforfurtheranteriorcruciateligament(acl)injurybmiisnot+2023</t>
  </si>
  <si>
    <t>https://www.embase.com/search/results?subaction=viewrecord&amp;id=L2023633083&amp;from=export</t>
  </si>
  <si>
    <t>Osteoconductive Scaffold Placed at the Femoral Tunnel Aperture in Hamstring Tendon ACL Reconstruction: A Randomized Controlled Trial</t>
  </si>
  <si>
    <t>Götschi T., Hodel S., Kühne N., Bachmann E., Li X., Zimmermann S.M., Snedeker J.G., Fucentese S.F.</t>
  </si>
  <si>
    <t>Orthopaedic Journal of Sports Medicine (2023) 11:6. Date of Publication: 1 Jun 2023</t>
  </si>
  <si>
    <t>10.1177/23259671231174478</t>
  </si>
  <si>
    <t>Götschi</t>
  </si>
  <si>
    <t>osteoconductivescaffoldplacedatthefemoraltunnelapertureinhamstringtendonaclreconstruction:arandomizedcontrolledtrial</t>
  </si>
  <si>
    <t>Götschi+osteoconductivescaffoldplacedatthefemoraltunnelapertureinhamstringtendonaclreconstruction:arandomizedcontrolledtrial+2023</t>
  </si>
  <si>
    <t>https://www.embase.com/search/results?subaction=viewrecord&amp;id=L2023426209&amp;from=export</t>
  </si>
  <si>
    <t>Extracorporeal Shockwave Therapy Improves Outcome after Primary Anterior Cruciate Ligament Reconstruction with Hamstring Tendons</t>
  </si>
  <si>
    <t>Weninger P., Thallinger C., Chytilek M., Hanel Y., Steffel C., Karimi R., Feichtinger X.</t>
  </si>
  <si>
    <t>Journal of Clinical Medicine (2023) 12:10 Article Number: 3350. Date of Publication: 1 May 2023</t>
  </si>
  <si>
    <t>10.3390/jcm12103350</t>
  </si>
  <si>
    <t>Weninger</t>
  </si>
  <si>
    <t>extracorporealshockwavetherapyimprovesoutcomeafterprimaryanteriorcruciateligamentreconstructionwithhamstringtendons</t>
  </si>
  <si>
    <t>Weninger+extracorporealshockwavetherapyimprovesoutcomeafterprimaryanteriorcruciateligamentreconstructionwithhamstringtendons+2023</t>
  </si>
  <si>
    <t>https://www.embase.com/search/results?subaction=viewrecord&amp;id=L2022039392&amp;from=export</t>
  </si>
  <si>
    <t>Brace-Free Rehabilitation after Isolated Anterior Cruciate Ligament Reconstruction with Hamstring Tendon Autograft Is Not Inferior to Brace-Based Rehabilitation—A Randomised Controlled Trial</t>
  </si>
  <si>
    <t>Schoepp C., Ohmann T., Martin W., Praetorius A., Seelmann C., Dudda M., Stengel D., Hax J.</t>
  </si>
  <si>
    <t>Journal of Clinical Medicine (2023) 12:5 Article Number: 2074. Date of Publication: 1 Mar 2023</t>
  </si>
  <si>
    <t>10.3390/jcm12052074</t>
  </si>
  <si>
    <t>Schoepp</t>
  </si>
  <si>
    <t>bracefreerehabilitationafterisolatedanteriorcruciateligamentreconstructionwithhamstringtendonautograftisnotinferiortobracebasedrehabilitation—arandomisedcontrolledtrial</t>
  </si>
  <si>
    <t>Schoepp+bracefreerehabilitationafterisolatedanteriorcruciateligamentreconstructionwithhamstringtendonautograftisnotinferiortobracebasedrehabilitation—arandomisedcontrolledtrial+2023</t>
  </si>
  <si>
    <t>https://www.embase.com/search/results?subaction=viewrecord&amp;id=L2019754098&amp;from=export</t>
  </si>
  <si>
    <t>Graft choices for anterolateral ligament knee reconstruction surgery: Current concepts</t>
  </si>
  <si>
    <t>Chalidis B., Pitsilos C., Kitridis D., Givissis P.</t>
  </si>
  <si>
    <t>World Journal of Clinical Cases (2022) 10:24 (8463-8473). Date of Publication: 26 Aug 2022</t>
  </si>
  <si>
    <t>10.12998/wjcc.v10.i24.8463</t>
  </si>
  <si>
    <t>Chalidis</t>
  </si>
  <si>
    <t>graftchoicesforanterolateralligamentkneereconstructionsurgery:currentconcepts</t>
  </si>
  <si>
    <t>Chalidis+graftchoicesforanterolateralligamentkneereconstructionsurgery:currentconcepts+2022</t>
  </si>
  <si>
    <t>https://www.embase.com/search/results?subaction=viewrecord&amp;id=L2020022831&amp;from=export</t>
  </si>
  <si>
    <t>Single versus double hamstring tendon graft in anterior cruciate ligament reconstruction in the paediatric patient: A single-blind randomised controlled trial study protocol</t>
  </si>
  <si>
    <t>Bade D., Malayko G., Johnson L., Bradford K., Reddan T., Stockton C., Frawley K., Phillips T., Saxby D., Ware R.S., Byrnes J., Carty C.P.</t>
  </si>
  <si>
    <t>BMJ Open (2022) 12:8 Article Number: e057465. Date of Publication: 19 Aug 2022</t>
  </si>
  <si>
    <t>10.1136/bmjopen-2021-057465</t>
  </si>
  <si>
    <t>Bade</t>
  </si>
  <si>
    <t>singleversusdoublehamstringtendongraftinanteriorcruciateligamentreconstructioninthepaediatricpatient:asingleblindrandomisedcontrolledtrialstudyprotocol</t>
  </si>
  <si>
    <t>Bade+singleversusdoublehamstringtendongraftinanteriorcruciateligamentreconstructioninthepaediatricpatient:asingleblindrandomisedcontrolledtrialstudyprotocol+2022</t>
  </si>
  <si>
    <t>https://www.embase.com/search/results?subaction=viewrecord&amp;id=L2022163258&amp;from=export</t>
  </si>
  <si>
    <t>Autologous Bone Effects On Femoral Tunnel Widening In Hamstring Acl Reconstruction</t>
  </si>
  <si>
    <t>Amr A.M., Abdel-Aziz M.K., Qandeel A.E., Elkalyoby A.S.</t>
  </si>
  <si>
    <t>Journal of Pharmaceutical Negative Results (2022) 13 (8301-8315). Date of Publication: 2022</t>
  </si>
  <si>
    <t>10.47750/pnr.2022.13.S09.975</t>
  </si>
  <si>
    <t>Amr</t>
  </si>
  <si>
    <t>autologousboneeffectsonfemoraltunnelwideninginhamstringaclreconstruction</t>
  </si>
  <si>
    <t>Amr+autologousboneeffectsonfemoraltunnelwideninginhamstringaclreconstruction+2022</t>
  </si>
  <si>
    <t>https://www.embase.com/search/results?subaction=viewrecord&amp;id=L2013245655&amp;from=export</t>
  </si>
  <si>
    <t>No Difference in Outcomes Between Suspensory (Fixed-Loop Cortical Button) Versus Expandable Anteromedial Femoral Fixation in Anterior Cruciate Ligament Reconstruction With Autologous Hamstring Tendons: A Prospective, Randomized, Controlled Study in Male Patients</t>
  </si>
  <si>
    <t>Panagopoulos A., Mylonas D., Kouzelis A., Zampakis P., Kraniotis P., Lakoumentas J., Gliatis J.</t>
  </si>
  <si>
    <t>Arthroscopy, Sports Medicine, and Rehabilitation (2021) 3:4 (e1155-e1163). Date of Publication: 1 Aug 2021</t>
  </si>
  <si>
    <t>10.1016/j.asmr.2021.05.003</t>
  </si>
  <si>
    <t>Panagopoulos</t>
  </si>
  <si>
    <t>nodifferenceinoutcomesbetweensuspensory(fixedloopcorticalbutton)versusexpandableanteromedialfemoralfixationinanteriorcruciateligamentreconstructionwithautologoushamstringtendons:aprospectiverandomizedcontrolledstudyinmalepatients</t>
  </si>
  <si>
    <t>Panagopoulos+nodifferenceinoutcomesbetweensuspensory(fixedloopcorticalbutton)versusexpandableanteromedialfemoralfixationinanteriorcruciateligamentreconstructionwithautologoushamstringtendons:aprospectiverandomizedcontrolledstudyinmalepatients+2021</t>
  </si>
  <si>
    <t>https://www.embase.com/search/results?subaction=viewrecord&amp;id=L2005608662&amp;from=export</t>
  </si>
  <si>
    <t>Long-term outcomes of anterior cruciate ligament reconstruction surgery: 2020 OREF clinical research award paper</t>
  </si>
  <si>
    <t>Fleming B.C., Fadale P.D., Hulstyn M.J., Shalvoy R.M., Tung G.A., Badger G.J.</t>
  </si>
  <si>
    <t>Journal of Orthopaedic Research (2021) 39:5 (1041-1051). Date of Publication: 1 May 2021</t>
  </si>
  <si>
    <t>10.1002/jor.24794</t>
  </si>
  <si>
    <t>Fleming</t>
  </si>
  <si>
    <t>longtermoutcomesofanteriorcruciateligamentreconstructionsurgery:2020orefclinicalresearchawardpaper</t>
  </si>
  <si>
    <t>Fleming+longtermoutcomesofanteriorcruciateligamentreconstructionsurgery:2020orefclinicalresearchawardpaper+2021</t>
  </si>
  <si>
    <t>https://www.embase.com/search/results?subaction=viewrecord&amp;id=L2010111504&amp;from=export</t>
  </si>
  <si>
    <t>Neuromuscular function in anterior cruciate ligament reconstructed patients at long-term follow-up</t>
  </si>
  <si>
    <t>Behnke A.L., Parola L.R., Karamchedu N.P., Badger G.J., Fleming B.C., Beveridge J.E.</t>
  </si>
  <si>
    <t>Clinical Biomechanics (2021) 81 Article Number: 105231. Date of Publication: 1 Jan 2021</t>
  </si>
  <si>
    <t>10.1016/j.clinbiomech.2020.105231</t>
  </si>
  <si>
    <t>Behnke</t>
  </si>
  <si>
    <t>neuromuscularfunctioninanteriorcruciateligamentreconstructedpatientsatlongtermfollowup</t>
  </si>
  <si>
    <t>Behnke+neuromuscularfunctioninanteriorcruciateligamentreconstructedpatientsatlongtermfollowup+2021</t>
  </si>
  <si>
    <t>https://www.embase.com/search/results?subaction=viewrecord&amp;id=L2015705181&amp;from=export</t>
  </si>
  <si>
    <t>Application of two types of suspensory fixation in reconstruction of anterior cruciate ligament with a semitendinosus-gracilis graft – A randomized prospective study</t>
  </si>
  <si>
    <t>Djordjević D., Petrović M., Žunčić S.D., Stojiljković P., Golubović I., Kadija M., Micić I.</t>
  </si>
  <si>
    <t>Vojnosanitetski Pregled (2021) 78:10 (1053-1059). Date of Publication: 2021</t>
  </si>
  <si>
    <t>10.2298/VSP200128026D</t>
  </si>
  <si>
    <t>Djordjević</t>
  </si>
  <si>
    <t>applicationoftwotypesofsuspensoryfixationinreconstructionofanteriorcruciateligamentwithasemitendinosusgracilisgraft–arandomizedprospectivestudy</t>
  </si>
  <si>
    <t>Djordjević+applicationoftwotypesofsuspensoryfixationinreconstructionofanteriorcruciateligamentwithasemitendinosusgracilisgraft–arandomizedprospectivestudy+2021</t>
  </si>
  <si>
    <t>https://www.embase.com/search/results?subaction=viewrecord&amp;id=L2005661678&amp;from=export</t>
  </si>
  <si>
    <t>Intra-articular Administration of Tranexamic Acid Has No Effect in Reducing Intra-articular Hemarthrosis and Postoperative Pain After Primary ACL Reconstruction Using a Quadruple Hamstring Graft: A Randomized Controlled Trial</t>
  </si>
  <si>
    <t>Lee J.-W., Kim S.-G., Kim S.-H., Cho H.-W., Bae J.-H.</t>
  </si>
  <si>
    <t>Orthopaedic Journal of Sports Medicine (2020) 8:7. Date of Publication: 1 Jul 2020</t>
  </si>
  <si>
    <t>10.1177/2325967120933135</t>
  </si>
  <si>
    <t>intraarticularadministrationoftranexamicacidhasnoeffectinreducingintraarticularhemarthrosisandpostoperativepainafterprimaryaclreconstructionusingaquadruplehamstringgraft:arandomizedcontrolledtrial</t>
  </si>
  <si>
    <t>Lee+intraarticularadministrationoftranexamicacidhasnoeffectinreducingintraarticularhemarthrosisandpostoperativepainafterprimaryaclreconstructionusingaquadruplehamstringgraft:arandomizedcontrolledtrial+2020</t>
  </si>
  <si>
    <t>https://www.embase.com/search/results?subaction=viewrecord&amp;id=L627729916&amp;from=export</t>
  </si>
  <si>
    <t>The Stability study: A protocol for a multicenter randomized clinical trial comparing anterior cruciate ligament reconstruction with and without Lateral Extra-articular Tenodesis in individuals who are at high risk of graft failure</t>
  </si>
  <si>
    <t>Getgood A., Bryant D., Firth A., Litchfield R., Willits K., Hewison C., Kaniki N., Remtulla A., Wanlin S., Pinto R., Martindale A., O'Neill L., Jennings M., Daniluk M., Birmingham T., Boyer D., McCormack B., Zomar M., Moon K., Moon R., Fan B., Mohan B., Heard M., Buchko G., Hiemstra L., Kerslake S., Heard M., MacDonald P., Stranges G., McRae S., Gullett L.A., Brown H., Legary A., Longo A., Christian M., Ferguson C., Rezansoff A., Mohtadi N., Barber R., Chan D., Campbell C., Garven A., Pulsifer K., Mayer M., Peterson D., Simunovic N., Duong A., Islam Z., Bardana D., Howells F., Tough M., Spalding T., Thompson P., Metcalfe A., Achten J., Thomas M., Legg A., Laver L., Asplin L., Dube A., Clarkson L., Brown J., Bolsover A., Bradshaw C., Belgrove L., Millan F., Turner S., Verdugo S., Lowe J., Dunne D., McGowan K., Suddens C.-M., Verdonk P., Declerq G., Vuylsteke K., Van Haver M.</t>
  </si>
  <si>
    <t>BMC Musculoskeletal Disorders (2019) 20:1 Article Number: 216. Date of Publication: 15 May 2019</t>
  </si>
  <si>
    <t>10.1186/s12891-019-2589-x</t>
  </si>
  <si>
    <t>thestabilitystudy:aprotocolforamulticenterrandomizedclinicaltrialcomparinganteriorcruciateligamentreconstructionwithandwithoutlateralextraarticulartenodesisinindividualswhoareathighriskofgraftfailure</t>
  </si>
  <si>
    <t>Getgood+thestabilitystudy:aprotocolforamulticenterrandomizedclinicaltrialcomparinganteriorcruciateligamentreconstructionwithandwithoutlateralextraarticulartenodesisinindividualswhoareathighriskofgraftfailure+2019</t>
  </si>
  <si>
    <t>https://www.embase.com/search/results?subaction=viewrecord&amp;id=L626852860&amp;from=export</t>
  </si>
  <si>
    <t>Bridge-Enhanced Anterior Cruciate Ligament Repair: Two-Year Results of a First-in-Human Study</t>
  </si>
  <si>
    <t>Murray M.M., Kalish L.A., Fleming B.C., Flutie B., Freiberger C., Henderson R.N., Perrone G.S., Thurber L.G., Proffen B.L., Ecklund K., Kramer D.E., Yen Y.-M., Micheli L.J.</t>
  </si>
  <si>
    <t>Orthopaedic Journal of Sports Medicine (2019) 7:3. Date of Publication: 1 Mar 2019</t>
  </si>
  <si>
    <t>10.1177/2325967118824356</t>
  </si>
  <si>
    <t>Murray</t>
  </si>
  <si>
    <t>bridgeenhancedanteriorcruciateligamentrepair:twoyearresultsofafirstinhumanstudy</t>
  </si>
  <si>
    <t>Murray+bridgeenhancedanteriorcruciateligamentrepair:twoyearresultsofafirstinhumanstudy+2019</t>
  </si>
  <si>
    <t>https://www.embase.com/search/results?subaction=viewrecord&amp;id=L614916274&amp;from=export</t>
  </si>
  <si>
    <t>Functional outcome of an early anterior cruciate ligament reconstruction in comparison to delayed: Are we waiting in vain?</t>
  </si>
  <si>
    <t>Manandhar R.R., Chandrashekhar K., Kumaraswamy V., Sahanand S., Rajan D.</t>
  </si>
  <si>
    <t>Journal of Clinical Orthopaedics and Trauma (2018) 9:2 (163-166). Date of Publication: 1 Apr 2018</t>
  </si>
  <si>
    <t>10.1016/j.jcot.2017.03.001</t>
  </si>
  <si>
    <t>Manandhar</t>
  </si>
  <si>
    <t>functionaloutcomeofanearlyanteriorcruciateligamentreconstructionincomparisontodelayed:arewewaitinginvain?</t>
  </si>
  <si>
    <t>Manandhar+functionaloutcomeofanearlyanteriorcruciateligamentreconstructionincomparisontodelayed:arewewaitinginvain?+2018</t>
  </si>
  <si>
    <t>https://www.embase.com/search/results?subaction=viewrecord&amp;id=L617805873&amp;from=export</t>
  </si>
  <si>
    <t>Radiographic Tibial Tunnel Assessment After Anterior Cruciate Ligament Reconstruction Using Hamstring Tendon Autografts and Biocomposite Screws: A Prospective Study With 5-Year Follow-Up</t>
  </si>
  <si>
    <t>Karikis I., Ejerhed L., Sernert N., Rostgård-Christensen L., Kartus J.</t>
  </si>
  <si>
    <t>Arthroscopy - Journal of Arthroscopic and Related Surgery (2017) 33:12 (2184-2194). Date of Publication: 1 Dec 2017</t>
  </si>
  <si>
    <t>10.1016/j.arthro.2017.06.025</t>
  </si>
  <si>
    <t>Karikis</t>
  </si>
  <si>
    <t>radiographictibialtunnelassessmentafteranteriorcruciateligamentreconstructionusinghamstringtendonautograftsandbiocompositescrews:aprospectivestudywith5yearfollowup</t>
  </si>
  <si>
    <t>Karikis+radiographictibialtunnelassessmentafteranteriorcruciateligamentreconstructionusinghamstringtendonautograftsandbiocompositescrews:aprospectivestudywith5yearfollowup+2017</t>
  </si>
  <si>
    <t>https://www.embase.com/search/results?subaction=viewrecord&amp;id=L617046784&amp;from=export</t>
  </si>
  <si>
    <t>Randomised comparison of pretensioning using cyclical loading and on tendon board for arthroscopic anterior cruciate ligament reconstruction using hamstring autograft</t>
  </si>
  <si>
    <t>Khare R., Lal H., Vidyarthi K., Jangira V., Mittal D.</t>
  </si>
  <si>
    <t>Journal of Clinical Orthopaedics and Trauma (2017) 8:3 (259-264). Date of Publication: 1 Jul 2017</t>
  </si>
  <si>
    <t>10.1016/j.jcot.2017.06.015</t>
  </si>
  <si>
    <t>Khare</t>
  </si>
  <si>
    <t>randomisedcomparisonofpretensioningusingcyclicalloadingandontendonboardforarthroscopicanteriorcruciateligamentreconstructionusinghamstringautograft</t>
  </si>
  <si>
    <t>Khare+randomisedcomparisonofpretensioningusingcyclicalloadingandontendonboardforarthroscopicanteriorcruciateligamentreconstructionusinghamstringautograft+2017</t>
  </si>
  <si>
    <t>https://www.embase.com/search/results?subaction=viewrecord&amp;id=L618013265&amp;from=export</t>
  </si>
  <si>
    <t>Role of accelerated rehabilitation versus standard rehabilitation following anterior cruciate ligament reconstruction using hamstring graft</t>
  </si>
  <si>
    <t>Gupta P.K., Acharya A., Mourya A., Ameriya D.</t>
  </si>
  <si>
    <t>Journal of Arthroscopy and Joint Surgery (2017) 4:2 (89-93). Date of Publication: 1 May 2017</t>
  </si>
  <si>
    <t>10.1016/j.jajs.2017.08.003</t>
  </si>
  <si>
    <t>roleofacceleratedrehabilitationversusstandardrehabilitationfollowinganteriorcruciateligamentreconstructionusinghamstringgraft</t>
  </si>
  <si>
    <t>Gupta+roleofacceleratedrehabilitationversusstandardrehabilitationfollowinganteriorcruciateligamentreconstructionusinghamstringgraft+2017</t>
  </si>
  <si>
    <t>https://www.embase.com/search/results?subaction=viewrecord&amp;id=L617442047&amp;from=export</t>
  </si>
  <si>
    <t/>
  </si>
  <si>
    <t>Tu Z.S., Liang L.X., Xing J.S.</t>
  </si>
  <si>
    <t>Chinese Journal of Tissue Engineering Research (2016) 20:15 (2190-2196). Date of Publication: 2016</t>
  </si>
  <si>
    <t>10.3969/j.issn.2095-4344.2016.15.009</t>
  </si>
  <si>
    <t>Tu</t>
  </si>
  <si>
    <t>https://www.embase.com/search/results?subaction=viewrecord&amp;id=L606126214&amp;from=export</t>
  </si>
  <si>
    <t>Anterior cruciate ligament reconstruction with or without remnant preservation: A 6-month follow-up</t>
  </si>
  <si>
    <t>Wang J., Li Y., Yu T.-B., Zhang Q.-L.</t>
  </si>
  <si>
    <t>Chinese Journal of Tissue Engineering Research (2015) 19:29 (4640-4644). Date of Publication: 9 Jul 2015</t>
  </si>
  <si>
    <t>10.3969/j.issn.2095-4344.2015.29.010</t>
  </si>
  <si>
    <t>Wang</t>
  </si>
  <si>
    <t>anteriorcruciateligamentreconstructionwithorwithoutremnantpreservation:a6monthfollowup</t>
  </si>
  <si>
    <t>Wang+anteriorcruciateligamentreconstructionwithorwithoutremnantpreservation:a6monthfollowup+2015</t>
  </si>
  <si>
    <t>https://www.embase.com/search/results?subaction=viewrecord&amp;id=L611401891&amp;from=export</t>
  </si>
  <si>
    <t>Anatomic oblong double bundle anterior cruciate ligament reconstruction</t>
  </si>
  <si>
    <t>Inoue T., Soejima T., Murakami H., Tabuchi K., Noguchi K., Horibe S., Tanaka Y., Shiba N.</t>
  </si>
  <si>
    <t>Kurume Medical Journal (2015) 62:3-4 (53-58). Date of Publication: 2015</t>
  </si>
  <si>
    <t>10.2739/kurumemedj.MS66002</t>
  </si>
  <si>
    <t>Inoue</t>
  </si>
  <si>
    <t>anatomicoblongdoublebundleanteriorcruciateligamentreconstruction</t>
  </si>
  <si>
    <t>Inoue+anatomicoblongdoublebundleanteriorcruciateligamentreconstruction+2015</t>
  </si>
  <si>
    <t>https://www.embase.com/search/results?subaction=viewrecord&amp;id=L372766894&amp;from=export</t>
  </si>
  <si>
    <t>Anatomical ACL reconstruction by a double- versus a single-bundle technique. prospective randomised study of short-term clinical results</t>
  </si>
  <si>
    <t>Zeman P., Koudela K., Kasl J., Nepraš P., Zeman J., Matějka J.</t>
  </si>
  <si>
    <t>Acta Chirurgiae Orthopaedicae et Traumatologiae Cechoslovaca (2014) 81:1 (40-50). Date of Publication: 2014</t>
  </si>
  <si>
    <t>10.55095/achot2014/004</t>
  </si>
  <si>
    <t>Zeman</t>
  </si>
  <si>
    <t>anatomicalaclreconstructionbyadoubleversusasinglebundletechniqueprospectiverandomisedstudyofshorttermclinicalresults</t>
  </si>
  <si>
    <t>Zeman+anatomicalaclreconstructionbyadoubleversusasinglebundletechniqueprospectiverandomisedstudyofshorttermclinicalresults+2014</t>
  </si>
  <si>
    <t>https://www.embase.com/search/results?subaction=viewrecord&amp;id=L372840609&amp;from=export</t>
  </si>
  <si>
    <t>A comparison of functional outcomes after metallic and bioabsorbable interference screw fixations in arthroscopic ACL reconstructions</t>
  </si>
  <si>
    <t>Hegde A.S., Rai D.K., Kannampilly A.J.</t>
  </si>
  <si>
    <t>Journal of Clinical and Diagnostic Research (2014) 8:4 (LC01-LC03). Date of Publication: April 2014</t>
  </si>
  <si>
    <t>10.7860/JCDR/2014/8834.4237</t>
  </si>
  <si>
    <t>Hegde</t>
  </si>
  <si>
    <t>acomparisonoffunctionaloutcomesaftermetallicandbioabsorbableinterferencescrewfixationsinarthroscopicaclreconstructions</t>
  </si>
  <si>
    <t>Hegde+acomparisonoffunctionaloutcomesaftermetallicandbioabsorbableinterferencescrewfixationsinarthroscopicaclreconstructions+2014</t>
  </si>
  <si>
    <t>https://www.embase.com/search/results?subaction=viewrecord&amp;id=L373811498&amp;from=export</t>
  </si>
  <si>
    <t>Comparing the anatomic single-bundle versus the anatomic double-bundle for anterior cruciate ligament reconstruction: A prospective, randomized, single blind, clinical study</t>
  </si>
  <si>
    <t>Koken M., Akan B., Kaya A., Armangil M.</t>
  </si>
  <si>
    <t>European Orthopaedics and Traumatology (2014) 5:3 (247-252). Date of Publication: September 2014</t>
  </si>
  <si>
    <t>10.1007/s12570-013-0231-1</t>
  </si>
  <si>
    <t>Koken</t>
  </si>
  <si>
    <t>comparingtheanatomicsinglebundleversustheanatomicdoublebundleforanteriorcruciateligamentreconstruction:aprospectiverandomizedsingleblindclinicalstudy</t>
  </si>
  <si>
    <t>Koken+comparingtheanatomicsinglebundleversustheanatomicdoublebundleforanteriorcruciateligamentreconstruction:aprospectiverandomizedsingleblindclinicalstudy+2014</t>
  </si>
  <si>
    <t>https://www.embase.com/search/results?subaction=viewrecord&amp;id=L368352784&amp;from=export</t>
  </si>
  <si>
    <t>Acta Orthopaedica et Traumatologica Turcica (2012) 46:5-6 (361-366). Date of Publication: 2012</t>
  </si>
  <si>
    <t>10.3944/AOTT.2012.2679</t>
  </si>
  <si>
    <t>https://www.embase.com/search/results?subaction=viewrecord&amp;id=L373888112&amp;from=export</t>
  </si>
  <si>
    <t>Transplantation of single-bundle four-strand hamstring tendon via anteromedial approach for anterior cruciate ligament reconstruction</t>
  </si>
  <si>
    <t>Xu C.-M., Yang L., Hu Y.-H., Huangfu X.-Q.</t>
  </si>
  <si>
    <t>Chinese Journal of Tissue Engineering Research (2012) 16:53 (9975-9979). Date of Publication: 2012</t>
  </si>
  <si>
    <t>10.3969/j.issn.2095-4344.2012.53.019</t>
  </si>
  <si>
    <t>Xu</t>
  </si>
  <si>
    <t>transplantationofsinglebundlefourstrandhamstringtendonviaanteromedialapproachforanteriorcruciateligamentreconstruction</t>
  </si>
  <si>
    <t>Xu+transplantationofsinglebundlefourstrandhamstringtendonviaanteromedialapproachforanteriorcruciateligamentreconstruction+2012</t>
  </si>
  <si>
    <t>https://www.embase.com/search/results?subaction=viewrecord&amp;id=L361990870&amp;from=export</t>
  </si>
  <si>
    <t>Comparison of the clinical outcome of double-bundle, anteromedial single-bundle, and posterolateral single-bundle anterior cruciate ligament reconstruction using hamstring tendon graft with minimum 2-year follow-up</t>
  </si>
  <si>
    <t>Fujita N., Kuroda R., Matsumoto T., Yamaguchi M., Yagi M., Matsumoto A., Kubo S., Matsushita T., Hoshino Y., Nishimoto K., Araki D., Kurosaka M.</t>
  </si>
  <si>
    <t>Arthroscopy - Journal of Arthroscopic and Related Surgery (2011) 27:7 (906-913). Date of Publication: July 2011</t>
  </si>
  <si>
    <t>10.1016/j.arthro.2011.02.015</t>
  </si>
  <si>
    <t>Fujita</t>
  </si>
  <si>
    <t>comparisonoftheclinicaloutcomeofdoublebundleanteromedialsinglebundleandposterolateralsinglebundleanteriorcruciateligamentreconstructionusinghamstringtendongraftwithminimum2yearfollowup</t>
  </si>
  <si>
    <t>Fujita+comparisonoftheclinicaloutcomeofdoublebundleanteromedialsinglebundleandposterolateralsinglebundleanteriorcruciateligamentreconstructionusinghamstringtendongraftwithminimum2yearfollowup+2011</t>
  </si>
  <si>
    <t>https://www.embase.com/search/results?subaction=viewrecord&amp;id=L355058292&amp;from=export</t>
  </si>
  <si>
    <t>Clinical evaluation of double-bundle anterior cruciate ligament reconstruction procedure using hamstring tendon grafts: A prospective, randomized and controlled study</t>
  </si>
  <si>
    <t>Wang J.-Q., Ao Y.-F., Yu C.-L., Liu P., Xu Y., Chen L.-X.</t>
  </si>
  <si>
    <t>Chinese Medical Journal (2009) 122:6 (706-711). Date of Publication: 20 Mar 2009</t>
  </si>
  <si>
    <t>10.3760/cma.j.issn.0366-6999.2009.06.022</t>
  </si>
  <si>
    <t>clinicalevaluationofdoublebundleanteriorcruciateligamentreconstructionprocedureusinghamstringtendongrafts:aprospectiverandomizedandcontrolledstudy</t>
  </si>
  <si>
    <t>Wang+clinicalevaluationofdoublebundleanteriorcruciateligamentreconstructionprocedureusinghamstringtendongrafts:aprospectiverandomizedandcontrolledstudy+2009</t>
  </si>
  <si>
    <t>https://www.embase.com/search/results?subaction=viewrecord&amp;id=L50124469&amp;from=export</t>
  </si>
  <si>
    <t>Minimizing Internal Rotation Strength Deficit After Use of Semitendinosus for Anterior Cruciate Ligament Reconstruction: A Modified Harvesting Technique</t>
  </si>
  <si>
    <t>Ferretti A., Vadalà A., De Carli A., Argento G., Conteduca F., Severini G.</t>
  </si>
  <si>
    <t>Arthroscopy - Journal of Arthroscopic and Related Surgery (2008) 24:7 (786-795). Date of Publication: July 2008</t>
  </si>
  <si>
    <t>10.1016/j.arthro.2008.02.010</t>
  </si>
  <si>
    <t>Ferretti</t>
  </si>
  <si>
    <t>minimizinginternalrotationstrengthdeficitafteruseofsemitendinosusforanteriorcruciateligamentreconstruction:amodifiedharvestingtechnique</t>
  </si>
  <si>
    <t>Ferretti+minimizinginternalrotationstrengthdeficitafteruseofsemitendinosusforanteriorcruciateligamentreconstruction:amodifiedharvestingtechnique+2008</t>
  </si>
  <si>
    <t>https://www.embase.com/search/results?subaction=viewrecord&amp;id=L38660053&amp;from=export</t>
  </si>
  <si>
    <t>Reconstruction of the anterior cruciate ligament</t>
  </si>
  <si>
    <t>Adachi N., Ochi M., Uchio Y., Iwasa J., Kuriwaka M., Ito Y.</t>
  </si>
  <si>
    <t>Journal of Bone and Joint Surgery - Series B (2004) 86:4 (515-520). Date of Publication: May 2004</t>
  </si>
  <si>
    <t>10.1302/0301-620x.86b4.14856</t>
  </si>
  <si>
    <t>Adachi</t>
  </si>
  <si>
    <t>reconstructionoftheanteriorcruciateligament</t>
  </si>
  <si>
    <t>Adachi+reconstructionoftheanteriorcruciateligament+2004</t>
  </si>
  <si>
    <t>https://www.embase.com/search/results?subaction=viewrecord&amp;id=L32184579&amp;from=export</t>
  </si>
  <si>
    <t>Hamstrings vs. patella tendon for anterior cruciate ligament reconstruction: A randomised controlled trial</t>
  </si>
  <si>
    <t>Beard D.J., Anderson J.L., Davies S., Price A.J., Dodd C.A.F.</t>
  </si>
  <si>
    <t>Knee (2001) 8:1 (45-50). Date of Publication: 2001</t>
  </si>
  <si>
    <t>10.1016/S0968-0160(01)00062-X</t>
  </si>
  <si>
    <t>https://www.embase.com/search/results?subaction=viewrecord&amp;id=L2034922817&amp;from=export</t>
  </si>
  <si>
    <t>Anterior Cruciate Ligament Reconstruction Augmentation With Bone Marrow Aspirate Concentrate, Demineralized Bone Matrix, and Suture Tape Shows No Difference in Outcomes—But Faster Functional Recovery—Versus Non-augmented Anterior Cruciate Ligament Reconstruction</t>
  </si>
  <si>
    <t>Lavender C.D., Schaver A.L., Taylor S., Peluso R., Berdis G., Singh V., Cipriani K., Lycans D., Jasko J., Hewett T.E.</t>
  </si>
  <si>
    <t>Arthroscopy - Journal of Arthroscopic and Related Surgery (2025) 41:5 (1496-1508). Date of Publication: 1 May 2025</t>
  </si>
  <si>
    <t>10.1016/j.arthro.2024.06.042</t>
  </si>
  <si>
    <t>Lavender</t>
  </si>
  <si>
    <t>anteriorcruciateligamentreconstructionaugmentationwithbonemarrowaspirateconcentratedemineralizedbonematrixandsuturetapeshowsnodifferenceinoutcomes—butfasterfunctionalrecovery—versusnonaugmentedanteriorcruciateligamentreconstruction</t>
  </si>
  <si>
    <t>Lavender+anteriorcruciateligamentreconstructionaugmentationwithbonemarrowaspirateconcentratedemineralizedbonematrixandsuturetapeshowsnodifferenceinoutcomes—butfasterfunctionalrecovery—versusnonaugmentedanteriorcruciateligamentreconstruction+2025</t>
  </si>
  <si>
    <t>https://www.embase.com/search/results?subaction=viewrecord&amp;id=L2039489736&amp;from=export</t>
  </si>
  <si>
    <t>The effect of exercise rehabilitation on bone mineral density, muscle strength, and physical function outcomes in ACL ruptures: A randomized controlled clinical trial</t>
  </si>
  <si>
    <t>Yue W., Ruilan D., Yunan Z., Wenqiang Y., Shuang R., Xi G., Yingfang A.</t>
  </si>
  <si>
    <t>Sports Medicine and Health Science (2025). Date of Publication: 2025</t>
  </si>
  <si>
    <t>10.1016/j.smhs.2025.03.002</t>
  </si>
  <si>
    <t>Yue</t>
  </si>
  <si>
    <t>theeffectofexerciserehabilitationonbonemineraldensitymusclestrengthandphysicalfunctionoutcomesinaclruptures:arandomizedcontrolledclinicaltrial</t>
  </si>
  <si>
    <t>Yue+theeffectofexerciserehabilitationonbonemineraldensitymusclestrengthandphysicalfunctionoutcomesinaclruptures:arandomizedcontrolledclinicaltrial+2025</t>
  </si>
  <si>
    <t>https://www.embase.com/search/results?subaction=viewrecord&amp;id=L2029372496&amp;from=export</t>
  </si>
  <si>
    <t>Vitamin D as an intervention for improving quadriceps muscle strength in patients after anterior cruciate ligament reconstruction: study protocol for a randomized double-blinded, placebo-controlled clinical trial</t>
  </si>
  <si>
    <t>Ong M.T.-Y., Lu X., Choi B.C.-Y., Wan S.-W., Wang Q., Man G.C.-W., Lui P.P.-Y., Fong D.T.-P., Mok D.K.-W., Yung P.S.-H.</t>
  </si>
  <si>
    <t>Trials (2024) 25:1 Article Number: 251. Date of Publication: 1 Dec 2024</t>
  </si>
  <si>
    <t>10.1186/s13063-024-08094-w</t>
  </si>
  <si>
    <t>Ong</t>
  </si>
  <si>
    <t>vitamindasaninterventionforimprovingquadricepsmusclestrengthinpatientsafteranteriorcruciateligamentreconstruction:studyprotocolforarandomizeddoubleblindedplacebocontrolledclinicaltrial</t>
  </si>
  <si>
    <t>Ong+vitamindasaninterventionforimprovingquadricepsmusclestrengthinpatientsafteranteriorcruciateligamentreconstruction:studyprotocolforarandomizeddoubleblindedplacebocontrolledclinicaltrial+2024</t>
  </si>
  <si>
    <t>https://www.embase.com/search/results?subaction=viewrecord&amp;id=L2031142545&amp;from=export</t>
  </si>
  <si>
    <t>IMPACT OF NEUROMUSCULAR ELECTRICAL STIMULATION (NMES) COMBINED WITH THERAPEUTIC EXERCISE ON POSTOPERATIVE ACL REHABILITATION</t>
  </si>
  <si>
    <t>Khan A.M., Tariq S., Kamran M., Sadiq A., Adnan H., Qazi Z.N., Khan M.</t>
  </si>
  <si>
    <t>Journal of Population Therapeutics and Clinical Pharmacology (2024) 31:9 (645-651). Date of Publication: 2 Sep 2024</t>
  </si>
  <si>
    <t>10.53555/yqb1tm68</t>
  </si>
  <si>
    <t>Khan</t>
  </si>
  <si>
    <t>impactofneuromuscularelectricalstimulation(nmes)combinedwiththerapeuticexerciseonpostoperativeaclrehabilitation</t>
  </si>
  <si>
    <t>Khan+impactofneuromuscularelectricalstimulation(nmes)combinedwiththerapeuticexerciseonpostoperativeaclrehabilitation+2024</t>
  </si>
  <si>
    <t>https://www.embase.com/search/results?subaction=viewrecord&amp;id=L2030479259&amp;from=export</t>
  </si>
  <si>
    <t>Transcutaneous Electrical Nerve Stimulation Provides Early Recovery from Arthrogenic Muscle Inhibition Post-Anterior Cruciate Ligament Reconstruction</t>
  </si>
  <si>
    <t>Khan F.A., Kushwaha S., Vakharia K., Kumar J., BhaVani P., Sinha S.</t>
  </si>
  <si>
    <t>Journal of Arthroscopy and Joint Surgery (2024) 11:1 (22-27). Date of Publication: 1 Jan 2024</t>
  </si>
  <si>
    <t>10.4103/jajs.jajs_137_22</t>
  </si>
  <si>
    <t>transcutaneouselectricalnervestimulationprovidesearlyrecoveryfromarthrogenicmuscleinhibitionpostanteriorcruciateligamentreconstruction</t>
  </si>
  <si>
    <t>Khan+transcutaneouselectricalnervestimulationprovidesearlyrecoveryfromarthrogenicmuscleinhibitionpostanteriorcruciateligamentreconstruction+2024</t>
  </si>
  <si>
    <t>https://www.embase.com/search/results?subaction=viewrecord&amp;id=L624184736&amp;from=export</t>
  </si>
  <si>
    <t>Quadriceps Strength Deficits After a Femoral Nerve Block Versus Adductor Canal Block for Anterior Cruciate Ligament Reconstruction: A Prospective, Single-Blinded, Randomized Trial</t>
  </si>
  <si>
    <t>Runner R.P., Boden S.A., Godfrey W.S., Premkumar A., Samady H., Gottschalk M.B., Xerogeanes J.W.</t>
  </si>
  <si>
    <t>Orthopaedic Journal of Sports Medicine (2018) 6:9. Date of Publication: 1 Sep 2018</t>
  </si>
  <si>
    <t>10.1177/2325967118797990</t>
  </si>
  <si>
    <t>Runner</t>
  </si>
  <si>
    <t>quadricepsstrengthdeficitsafterafemoralnerveblockversusadductorcanalblockforanteriorcruciateligamentreconstruction:aprospectivesingleblindedrandomizedtrial</t>
  </si>
  <si>
    <t>Runner+quadricepsstrengthdeficitsafterafemoralnerveblockversusadductorcanalblockforanteriorcruciateligamentreconstruction:aprospectivesingleblindedrandomizedtrial+2018</t>
  </si>
  <si>
    <t>https://www.embase.com/search/results?subaction=viewrecord&amp;id=L622869866&amp;from=export</t>
  </si>
  <si>
    <t>Effects of preoperative isokinetic eccentric training and whey protein isolate supplement on quadriceps strength and knee function in patients with anterior cruciate ligament rupture</t>
  </si>
  <si>
    <t>Zhang X., Huang H., Yang J., Yu Y., Zhang D., Chang C.</t>
  </si>
  <si>
    <t>Acta Academiae Medicinae Sinicae (2017) 39:6 (792-799). Date of Publication: 20 Dec 2017</t>
  </si>
  <si>
    <t>10.3881/j.issn.1000-503X.2017.06.010</t>
  </si>
  <si>
    <t>effectsofpreoperativeisokineticeccentrictrainingandwheyproteinisolatesupplementonquadricepsstrengthandkneefunctioninpatientswithanteriorcruciateligamentrupture</t>
  </si>
  <si>
    <t>Zhang+effectsofpreoperativeisokineticeccentrictrainingandwheyproteinisolatesupplementonquadricepsstrengthandkneefunctioninpatientswithanteriorcruciateligamentrupture+2017</t>
  </si>
  <si>
    <t>https://www.embase.com/search/results?subaction=viewrecord&amp;id=L34516819&amp;from=export</t>
  </si>
  <si>
    <t>Electromyostimulation under early functional rehabilitation after replacement of the anterior cruciate ligament</t>
  </si>
  <si>
    <t>Staub A., Ullmann P., Winker K.H.</t>
  </si>
  <si>
    <t>Aktuelle Traumatologie (2002) 32:2 (65-72). Date of Publication: 2002</t>
  </si>
  <si>
    <t>10.1055/s-2002-25750</t>
  </si>
  <si>
    <t>Staub</t>
  </si>
  <si>
    <t>electromyostimulationunderearlyfunctionalrehabilitationafterreplacementoftheanteriorcruciateligament</t>
  </si>
  <si>
    <t>Staub+electromyostimulationunderearlyfunctionalrehabilitationafterreplacementoftheanteriorcruciateligament+2002</t>
  </si>
  <si>
    <t>https://www.embase.com/search/results?subaction=viewrecord&amp;id=L16231321&amp;from=export</t>
  </si>
  <si>
    <t>Derotation brace and knee function in patients with anterior cruciate ligament tears</t>
  </si>
  <si>
    <t>Tegner Y., Lysholm J.</t>
  </si>
  <si>
    <t>Arthroscopy (1985) 1:4 (264-267). Date of Publication: 1985</t>
  </si>
  <si>
    <t>10.1016/S0749-8063(85)80095-5</t>
  </si>
  <si>
    <t>Tegner</t>
  </si>
  <si>
    <t>derotationbraceandkneefunctioninpatientswithanteriorcruciateligamenttears</t>
  </si>
  <si>
    <t>Tegner+derotationbraceandkneefunctioninpatientswithanteriorcruciateligamenttears+1985</t>
  </si>
  <si>
    <t>https://www.embase.com/search/results?subaction=viewrecord&amp;id=L2036218176&amp;from=export</t>
  </si>
  <si>
    <t>A PROSPECTIVE STUDY ON THE FUNCTIONAL OUTCOMES OF PRIMARY ANTERIOR CRUCIATE LIGAMENT RECONSTRUCTION TREATED WITH PERONEUS LONGUS AUTOGRAFT</t>
  </si>
  <si>
    <t>Prasad K., Biradar R.K., Patil V.K., Kembhavi R., Prashant K., Khodnapur G.</t>
  </si>
  <si>
    <t>International Journal of Academic Medicine and Pharmacy (2024) 6:5 (477-481). Date of Publication: 2024</t>
  </si>
  <si>
    <t>10.47009/jamp.2024.6.5.90</t>
  </si>
  <si>
    <t>Prasad</t>
  </si>
  <si>
    <t>aprospectivestudyonthefunctionaloutcomesofprimaryanteriorcruciateligamentreconstructiontreatedwithperoneuslongusautograft</t>
  </si>
  <si>
    <t>Prasad+aprospectivestudyonthefunctionaloutcomesofprimaryanteriorcruciateligamentreconstructiontreatedwithperoneuslongusautograft+2024</t>
  </si>
  <si>
    <t>https://www.embase.com/search/results?subaction=viewrecord&amp;id=L2015581725&amp;from=export</t>
  </si>
  <si>
    <t>Determining the Roles of the Anterior Cruciate Ligament, Posterolateral Corner, and Medial Collateral Ligament in Knee Hyperextension Using the Heel-Height Test</t>
  </si>
  <si>
    <t>Perry A.K., Knapik D.M., Gursoy S., Alter T.D., Clapp I.M., Verma N.N., LaPrade R.F., Chahla J.</t>
  </si>
  <si>
    <t>Orthopaedic Journal of Sports Medicine (2022) 10:4. Date of Publication: 8 Apr 2022</t>
  </si>
  <si>
    <t>10.1177/23259671221086669</t>
  </si>
  <si>
    <t>Perry</t>
  </si>
  <si>
    <t>determiningtherolesoftheanteriorcruciateligamentposterolateralcornerandmedialcollateralligamentinkneehyperextensionusingtheheelheighttest</t>
  </si>
  <si>
    <t>Perry+determiningtherolesoftheanteriorcruciateligamentposterolateralcornerandmedialcollateralligamentinkneehyperextensionusingtheheelheighttest+2022</t>
  </si>
  <si>
    <t>https://www.embase.com/search/results?subaction=viewrecord&amp;id=L368314404&amp;from=export</t>
  </si>
  <si>
    <t>Bone tunnel widening with autogenous bone plugs versus bioabsorbable interference screws for secondary fixation in ACL reconstruction</t>
  </si>
  <si>
    <t>Kim S.-J., Bae J.-H., Song S.-H., Lim H.-C.</t>
  </si>
  <si>
    <t>Journal of Bone and Joint Surgery (2013) 95:2 (103-108). Date of Publication: 16 Jan 2013</t>
  </si>
  <si>
    <t>10.2106/JBJS.L.00356</t>
  </si>
  <si>
    <t>Kim</t>
  </si>
  <si>
    <t>bonetunnelwideningwithautogenousboneplugsversusbioabsorbableinterferencescrewsforsecondaryfixationinaclreconstruction</t>
  </si>
  <si>
    <t>Kim+bonetunnelwideningwithautogenousboneplugsversusbioabsorbableinterferencescrewsforsecondaryfixationinaclreconstruction+2013</t>
  </si>
  <si>
    <t>WOS:000454545400001</t>
  </si>
  <si>
    <t>Anatomic single-bundle anterior cruciate ligament reconstruction using a calcium phosphate-hybridized tendon graft: a randomized controlled trial with 2years of follow-up</t>
  </si>
  <si>
    <t>Mutsuzaki, H; Kinugasa, T; Ikeda, K; Sakane, M</t>
  </si>
  <si>
    <t>JOURNAL OF ORTHOPAEDIC SURGERY AND RESEARCH</t>
  </si>
  <si>
    <t>10.1186/s13018-018-1045-1</t>
  </si>
  <si>
    <t>Mutsuzaki</t>
  </si>
  <si>
    <t>anatomicsinglebundleanteriorcruciateligamentreconstructionusingacalciumphosphatehybridizedtendongraft:arandomizedcontrolledtrialwith2yearsoffollowup</t>
  </si>
  <si>
    <t>Mutsuzaki+anatomicsinglebundleanteriorcruciateligamentreconstructionusingacalciumphosphatehybridizedtendongraft:arandomizedcontrolledtrialwith2yearsoffollowup+2018</t>
  </si>
  <si>
    <t>WOS:000227109000002</t>
  </si>
  <si>
    <t>Prospective trial of a treatment algorithm for the management of the anterior cruciate ligament-injured knee</t>
  </si>
  <si>
    <t>Fithian, DC; Paxton, EW; Stone, ML; Luetzow, WF; Csintalan, RP; Phelan, D; Daniel, DM</t>
  </si>
  <si>
    <t>AMERICAN JOURNAL OF SPORTS MEDICINE</t>
  </si>
  <si>
    <t>10.1177/0363546504269590</t>
  </si>
  <si>
    <t>Fithian</t>
  </si>
  <si>
    <t>prospectivetrialofatreatmentalgorithmforthemanagementoftheanteriorcruciateligamentinjuredknee</t>
  </si>
  <si>
    <t>Fithian+prospectivetrialofatreatmentalgorithmforthemanagementoftheanteriorcruciateligamentinjuredknee+2005</t>
  </si>
  <si>
    <t>WOS:000407856600065</t>
  </si>
  <si>
    <t>Translation, cultural adaptation and validation of simplified Chinese version of the anterior cruciate ligament return to sport after injury (ACL-RSI) scale</t>
  </si>
  <si>
    <t>Chen, TW; Zhang, P; Li, YX; Webster, K; Zhang, J; Yao, W; Yin, Y; Ai, CC; Chen, SY</t>
  </si>
  <si>
    <t>PLOS ONE</t>
  </si>
  <si>
    <t>10.1371/journal.pone.0183095</t>
  </si>
  <si>
    <t>translationculturaladaptationandvalidationofsimplifiedchineseversionoftheanteriorcruciateligamentreturntosportafterinjury(aclrsi)scale</t>
  </si>
  <si>
    <t>Chen+translationculturaladaptationandvalidationofsimplifiedchineseversionoftheanteriorcruciateligamentreturntosportafterinjury(aclrsi)scale+2017</t>
  </si>
  <si>
    <t>WOS:000365715800004</t>
  </si>
  <si>
    <t>Rotational laxity after anatomical ACL reconstruction measured by 3-D motion analysis: a prospective randomized clinical trial comparing anatomic and nonanatomic ACL reconstruction techniques</t>
  </si>
  <si>
    <t>Bohn, MB; Sorensen, H; Petersen, MK; Soballe, K; Lind, M</t>
  </si>
  <si>
    <t>KNEE SURGERY SPORTS TRAUMATOLOGY ARTHROSCOPY</t>
  </si>
  <si>
    <t>10.1007/s00167-014-3156-5</t>
  </si>
  <si>
    <t>Bohn</t>
  </si>
  <si>
    <t>rotationallaxityafteranatomicalaclreconstructionmeasuredby3dmotionanalysis:aprospectiverandomizedclinicaltrialcomparinganatomicandnonanatomicaclreconstructiontechniques</t>
  </si>
  <si>
    <t>Bohn+rotationallaxityafteranatomicalaclreconstructionmeasuredby3dmotionanalysis:aprospectiverandomizedclinicaltrialcomparinganatomicandnonanatomicaclreconstructiontechniques+2015</t>
  </si>
  <si>
    <t>WOS:000430823600011</t>
  </si>
  <si>
    <t>Tripled semitendinosus with single harvesting is as effective but less invasive compared to standard gracilis-semitendinosus harvesting</t>
  </si>
  <si>
    <t>Drocco, L; Camazzola, D; Ferracini, R; Lustig, S; Ravera, L; Graziano, E; MassÃ¨, A; Bistolfi, A</t>
  </si>
  <si>
    <t>MLTJ-MUSCLES LIGAMENTS AND TENDONS JOURNAL</t>
  </si>
  <si>
    <t>10.11138/mltj/2017.7.4.564</t>
  </si>
  <si>
    <t>Drocco</t>
  </si>
  <si>
    <t>tripledsemitendinosuswithsingleharvestingisaseffectivebutlessinvasivecomparedtostandardgracilissemitendinosusharvesting</t>
  </si>
  <si>
    <t>Drocco+tripledsemitendinosuswithsingleharvestingisaseffectivebutlessinvasivecomparedtostandardgracilissemitendinosusharvesting+2017</t>
  </si>
  <si>
    <t>WOS:000429453800004</t>
  </si>
  <si>
    <t>Comparison of Clinical Results, Second-Look Arthroscopic Findings, and MRI Findings Between the Transportal and Outside-In Techniques for Double-Bundle Anatomic Anterior Cruciate Ligament Reconstruction A Prospective, Randomized Controlled Trial With a Minimum 2-Year Follow-up</t>
  </si>
  <si>
    <t>Kim, JG; Kang, SH; Kim, JH; Lim, CO; Wang, JH</t>
  </si>
  <si>
    <t>10.1177/0363546517744535</t>
  </si>
  <si>
    <t>comparisonofclinicalresultssecondlookarthroscopicfindingsandmrifindingsbetweenthetransportalandoutsideintechniquesfordoublebundleanatomicanteriorcruciateligamentreconstructionaprospectiverandomizedcontrolledtrialwithaminimum2yearfollowup</t>
  </si>
  <si>
    <t>Kim+comparisonofclinicalresultssecondlookarthroscopicfindingsandmrifindingsbetweenthetransportalandoutsideintechniquesfordoublebundleanatomicanteriorcruciateligamentreconstructionaprospectiverandomizedcontrolledtrialwithaminimum2yearfollowup+2018</t>
  </si>
  <si>
    <t>WOS:000928609800001</t>
  </si>
  <si>
    <t>The effect of hamstring donor-site block for functional outcomes and rehabilitation after anterior cruciate ligament reconstruction</t>
  </si>
  <si>
    <t>Cai, ZJ; Yang, YT; Liu, D; Lu, WH; Pan, LY; He, M; Xie, WQ; Yu, DJ; Li, HZ; Jin, HF; Li, YS; Xiao, WF</t>
  </si>
  <si>
    <t>FRONTIERS IN SURGERY</t>
  </si>
  <si>
    <t>10.3389/fsurg.2023.1003022</t>
  </si>
  <si>
    <t>Cai</t>
  </si>
  <si>
    <t>theeffectofhamstringdonorsiteblockforfunctionaloutcomesandrehabilitationafteranteriorcruciateligamentreconstruction</t>
  </si>
  <si>
    <t>Cai+theeffectofhamstringdonorsiteblockforfunctionaloutcomesandrehabilitationafteranteriorcruciateligamentreconstruction+2023</t>
  </si>
  <si>
    <t>WOS:000441907200014</t>
  </si>
  <si>
    <t>Hamstring Co-Contraction in the Early Stage of Rehabilitation After Anterior Cruciate Ligament Reconstruction: A Longitudinal Study</t>
  </si>
  <si>
    <t>Song, HY; Dai, XS; Li, JH; Zhu, SN</t>
  </si>
  <si>
    <t>AMERICAN JOURNAL OF PHYSICAL MEDICINE &amp; REHABILITATION</t>
  </si>
  <si>
    <t>10.1097/PHM.0000000000000941</t>
  </si>
  <si>
    <t>Song</t>
  </si>
  <si>
    <t>hamstringcocontractionintheearlystageofrehabilitationafteranteriorcruciateligamentreconstruction:alongitudinalstudy</t>
  </si>
  <si>
    <t>Song+hamstringcocontractionintheearlystageofrehabilitationafteranteriorcruciateligamentreconstruction:alongitudinalstudy+2018</t>
  </si>
  <si>
    <t>WOS:001605627700001</t>
  </si>
  <si>
    <t>Enhancing functional recovery after ACL injury. A protocol for a randomized control trial of transcranial direct current stimulation over the motor cortex</t>
  </si>
  <si>
    <t>Vicente-Mampel, J; LÃ³pez-Soler, J; Sevilla-LÃ³pez, P; Ferrer-Torregrosa, J; MartÃ­n-RuÃ­z, J; Jaenada-Carrilero, E; Castillo-Dutor, N; Pascual-Leone, A; Pascual-Leone, N; Baraja-Vegas, L; MuÃ±oz, JMT</t>
  </si>
  <si>
    <t>FRONTIERS IN REHABILITATION SCIENCES</t>
  </si>
  <si>
    <t>10.3389/fresc.2025.1627228</t>
  </si>
  <si>
    <t>Vicente-Mampel</t>
  </si>
  <si>
    <t>enhancingfunctionalrecoveryafteraclinjuryaprotocolforarandomizedcontroltrialoftranscranialdirectcurrentstimulationoverthemotorcortex</t>
  </si>
  <si>
    <t>Vicente-Mampel+enhancingfunctionalrecoveryafteraclinjuryaprotocolforarandomizedcontroltrialoftranscranialdirectcurrentstimulationoverthemotorcortex+2025</t>
  </si>
  <si>
    <t>WOS:001223883300001</t>
  </si>
  <si>
    <t>Periosteal wrapping of the hamstring tendon autograft improves graft healing and prevents tunnel widening after anterior cruciate ligament anatomic reconstruction</t>
  </si>
  <si>
    <t>Helal, A; El-Gebaly, O; Hamed, H; Omran, AM; Elforse, E</t>
  </si>
  <si>
    <t>ARCHIVES OF ORTHOPAEDIC AND TRAUMA SURGERY</t>
  </si>
  <si>
    <t>10.1007/s00402-024-05356-9</t>
  </si>
  <si>
    <t>Helal</t>
  </si>
  <si>
    <t>periostealwrappingofthehamstringtendonautograftimprovesgrafthealingandpreventstunnelwideningafteranteriorcruciateligamentanatomicreconstruction</t>
  </si>
  <si>
    <t>Helal+periostealwrappingofthehamstringtendonautograftimprovesgrafthealingandpreventstunnelwideningafteranteriorcruciateligamentanatomicreconstruction+2024</t>
  </si>
  <si>
    <t>WOS:000394677100015</t>
  </si>
  <si>
    <t>Femoral and Tibial Tunnel Diameter and Bioabsorbable Screw Findings After Double-Bundle ACL Reconstruction in 5-Year Clinical and MRI Follow-up</t>
  </si>
  <si>
    <t>Kiekara, T; Paakkala, A; Suomalainen, P; Huhtala, H; JÃ¤rvelÃ¤, T</t>
  </si>
  <si>
    <t>ORTHOPAEDIC JOURNAL OF SPORTS MEDICINE</t>
  </si>
  <si>
    <t>10.1177/2325967116685525</t>
  </si>
  <si>
    <t>Kiekara</t>
  </si>
  <si>
    <t>femoralandtibialtunneldiameterandbioabsorbablescrewfindingsafterdoublebundleaclreconstructionin5yearclinicalandmrifollowup</t>
  </si>
  <si>
    <t>Kiekara+femoralandtibialtunneldiameterandbioabsorbablescrewfindingsafterdoublebundleaclreconstructionin5yearclinicalandmrifollowup+2017</t>
  </si>
  <si>
    <t>WOS:000424056400030</t>
  </si>
  <si>
    <t>Patient satisfaction with health is substantially improved following ACL reconstruction</t>
  </si>
  <si>
    <t>Minzlaff, P; Heidt, T; Feucht, MJ; Plath, JE; Hinterwimmer, S; Imhoff, AB; Saier, T</t>
  </si>
  <si>
    <t>10.1007/s00167-017-4623-6</t>
  </si>
  <si>
    <t>Minzlaff</t>
  </si>
  <si>
    <t>patientsatisfactionwithhealthissubstantiallyimprovedfollowingaclreconstruction</t>
  </si>
  <si>
    <t>Minzlaff+patientsatisfactionwithhealthissubstantiallyimprovedfollowingaclreconstruction+2018</t>
  </si>
  <si>
    <t>WOS:000489090200019</t>
  </si>
  <si>
    <t>Safety and feasibility of using calcium phosphate hybridization method for quadriceps tendon-bone graft in anterior cruciate ligament reconstruction</t>
  </si>
  <si>
    <t>Mutsuzaki, H; Kinugasa, T; Sakane, M</t>
  </si>
  <si>
    <t>JOURNAL OF ORTHOPAEDICS</t>
  </si>
  <si>
    <t>10.1016/j.jor.2019.04.004</t>
  </si>
  <si>
    <t>safetyandfeasibilityofusingcalciumphosphatehybridizationmethodforquadricepstendonbonegraftinanteriorcruciateligamentreconstruction</t>
  </si>
  <si>
    <t>Mutsuzaki+safetyandfeasibilityofusingcalciumphosphatehybridizationmethodforquadricepstendonbonegraftinanteriorcruciateligamentreconstruction+2019</t>
  </si>
  <si>
    <t>WOS:001607990800001</t>
  </si>
  <si>
    <t>Prehabilitation enhances functional and structural recovery following anterior cruciate ligament reconstruction: A randomized controlled trial</t>
  </si>
  <si>
    <t>Fu, YP; Tian, Y; Zhao, ZW; Li, Z</t>
  </si>
  <si>
    <t>10.1002/ksa.70170</t>
  </si>
  <si>
    <t>Fu</t>
  </si>
  <si>
    <t>prehabilitationenhancesfunctionalandstructuralrecoveryfollowinganteriorcruciateligamentreconstruction:arandomizedcontrolledtrial</t>
  </si>
  <si>
    <t>Fu+prehabilitationenhancesfunctionalandstructuralrecoveryfollowinganteriorcruciateligamentreconstruction:arandomizedcontrolledtrial+2025</t>
  </si>
  <si>
    <t>WOS:000783073800003</t>
  </si>
  <si>
    <t>Effect of water-based walking exercise on rehabilitation of patients following ACL reconstruction: a prospective, randomised, single-blind clinical trial</t>
  </si>
  <si>
    <t>Li, DS; Zhang, Q; Liu, XG; Chen, C; Lu, JN; Ye, DM; Li, YJ; Wang, W; Shen, M</t>
  </si>
  <si>
    <t>PHYSIOTHERAPY</t>
  </si>
  <si>
    <t>10.1016/j.physio.2021.11.003</t>
  </si>
  <si>
    <t>effectofwaterbasedwalkingexerciseonrehabilitationofpatientsfollowingaclreconstruction:aprospectiverandomisedsingleblindclinicaltrial</t>
  </si>
  <si>
    <t>Li+effectofwaterbasedwalkingexerciseonrehabilitationofpatientsfollowingaclreconstruction:aprospectiverandomisedsingleblindclinicaltrial+2022</t>
  </si>
  <si>
    <t>WOS:000346111900002</t>
  </si>
  <si>
    <t>Self-Reported Knee Function Can Identify Athletes Who Fail Return-to-Activity Criteria up to 1 Year After Anterior Cruciate Ligament Reconstruction: A Delaware-Oslo ACL Cohort Study</t>
  </si>
  <si>
    <t>Logerstedt, D; Di Stasi, S; Grindem, H; Lynch, A; Eitzen, I; Engebretsen, L; Risberg, MA; Axe, MJ; Snyder-Mackler, L</t>
  </si>
  <si>
    <t>JOURNAL OF ORTHOPAEDIC &amp; SPORTS PHYSICAL THERAPY</t>
  </si>
  <si>
    <t>10.2519/jospt.2014.4852</t>
  </si>
  <si>
    <t>Logerstedt</t>
  </si>
  <si>
    <t>selfreportedkneefunctioncanidentifyathleteswhofailreturntoactivitycriteriaupto1yearafteranteriorcruciateligamentreconstruction:adelawareosloaclcohortstudy</t>
  </si>
  <si>
    <t>Logerstedt+selfreportedkneefunctioncanidentifyathleteswhofailreturntoactivitycriteriaupto1yearafteranteriorcruciateligamentreconstruction:adelawareosloaclcohortstudy+2014</t>
  </si>
  <si>
    <t>39221503</t>
  </si>
  <si>
    <t>Reduced Knee Flexion Strength 18 Years After ACL Reconstruction With Hamstring Tendon Versus Patellar Tendon</t>
  </si>
  <si>
    <t>Popovic M, Myhre JR, Holen JIH, Gifstad T, Strand IL, Strand T, Mo IF, Fischer-Bredenbeck C, Drogset JO.</t>
  </si>
  <si>
    <t>10.1177/03635465241271524</t>
  </si>
  <si>
    <t>Popovic</t>
  </si>
  <si>
    <t>reducedkneeflexionstrength18yearsafteraclreconstructionwithhamstringtendonversuspatellartendon</t>
  </si>
  <si>
    <t>Popovic+reducedkneeflexionstrength18yearsafteraclreconstructionwithhamstringtendonversuspatellartendon+2024</t>
  </si>
  <si>
    <t>37893482</t>
  </si>
  <si>
    <t>Tubularization of Bone-Tendon-Bone Grafts: Effects on Mechanical Strength and Postoperative Knee Stability in Anterior Cruciate Ligament Reconstruction</t>
  </si>
  <si>
    <t>Obradović M, Ninković S, Gvozdenović N, Tošić M, Milinkov M, Dulić O.</t>
  </si>
  <si>
    <t>Medicina (Kaunas)</t>
  </si>
  <si>
    <t>10.3390/medicina59101764</t>
  </si>
  <si>
    <t>Obradović</t>
  </si>
  <si>
    <t>tubularizationofbonetendonbonegrafts:effectsonmechanicalstrengthandpostoperativekneestabilityinanteriorcruciateligamentreconstruction</t>
  </si>
  <si>
    <t>Obradović+tubularizationofbonetendonbonegrafts:effectsonmechanicalstrengthandpostoperativekneestabilityinanteriorcruciateligamentreconstruction+2023</t>
  </si>
  <si>
    <t>35468330</t>
  </si>
  <si>
    <t>Is contralateral autogenous patellar tendon graft a better choice than ipsilateral for anterior cruciate ligament reconstruction in young sportsmen? A randomized controlled trial</t>
  </si>
  <si>
    <t>de Souza Borges JH, Oliveira M, Junior PL, de Souza Machado R, Lima R, Ramos LA, Cohen M.</t>
  </si>
  <si>
    <t>10.1016/j.knee.2022.03.015</t>
  </si>
  <si>
    <t>de</t>
  </si>
  <si>
    <t>iscontralateralautogenouspatellartendongraftabetterchoicethanipsilateralforanteriorcruciateligamentreconstructioninyoungsportsmen?arandomizedcontrolledtrial</t>
  </si>
  <si>
    <t>de+iscontralateralautogenouspatellartendongraftabetterchoicethanipsilateralforanteriorcruciateligamentreconstructioninyoungsportsmen?arandomizedcontrolledtrial+2022</t>
  </si>
  <si>
    <t>34952186</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</si>
  <si>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</si>
  <si>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Chahal J, Whelan DB, Hoit G, Theodoropoulos J, Ajrawat P, Betsch M, Docter S, Dwyer T.</t>
  </si>
  <si>
    <t>10.1016/j.arthro.2021.12.018</t>
  </si>
  <si>
    <t>Chahal</t>
  </si>
  <si>
    <t>anteriorcruciateligamentpatellartendonautograftfixationat0°versus30°resultsinimprovedactivityscoresandagreaterproportionofpatientsachievingtheminimalclinicalimportantdifferenceforkneeinjuryandosteoarthritisoutcomescorepain:arandomizedcontrolledtrial</t>
  </si>
  <si>
    <t>Chahal+anteriorcruciateligamentpatellartendonautograftfixationat0°versus30°resultsinimprovedactivityscoresandagreaterproportionofpatientsachievingtheminimalclinicalimportantdifferenceforkneeinjuryandosteoarthritisoutcomescorepain:arandomizedcontrolledtrial+2022</t>
  </si>
  <si>
    <t>34601649</t>
  </si>
  <si>
    <t>In vivo knee rotational stability 2 years after the ACL reconstruction using a quadriceps tendon graft with bone block and bone-patellar tendon-bone graft</t>
  </si>
  <si>
    <t>Komzák M, Hart R, Náhlík D, Vysoký R.</t>
  </si>
  <si>
    <t>10.1007/s00402-021-04195-2</t>
  </si>
  <si>
    <t>Komzák</t>
  </si>
  <si>
    <t>invivokneerotationalstability2yearsaftertheaclreconstructionusingaquadricepstendongraftwithboneblockandbonepatellartendonbonegraft</t>
  </si>
  <si>
    <t>Komzák+invivokneerotationalstability2yearsaftertheaclreconstructionusingaquadricepstendongraftwithboneblockandbonepatellartendonbonegraft+2022</t>
  </si>
  <si>
    <t>33945339</t>
  </si>
  <si>
    <t>Validation of a Risk Calculator to Personalize Graft Choice and Reduce Rupture Rates for Anterior Cruciate Ligament Reconstruction</t>
  </si>
  <si>
    <t>Marmura H, Getgood AMJ, Spindler KP, Kattan MW, Briskin I, Bryant DM.</t>
  </si>
  <si>
    <t>10.1177/03635465211010798</t>
  </si>
  <si>
    <t>Marmura</t>
  </si>
  <si>
    <t>validationofariskcalculatortopersonalizegraftchoiceandreduceruptureratesforanteriorcruciateligamentreconstruction</t>
  </si>
  <si>
    <t>Marmura+validationofariskcalculatortopersonalizegraftchoiceandreduceruptureratesforanteriorcruciateligamentreconstruction+2021</t>
  </si>
  <si>
    <t>32504178</t>
  </si>
  <si>
    <t>Quadriceps tendon vs. patellar tendon autograft for ACL reconstruction using a hardware-free press-fit fixation technique: comparable stability, function and return-to-sport level but less donor site morbidity in athletes after 10 years</t>
  </si>
  <si>
    <t>Barié A, Sprinckstub T, Huber J, Jaber A.</t>
  </si>
  <si>
    <t>10.1007/s00402-020-03508-1</t>
  </si>
  <si>
    <t>Barié</t>
  </si>
  <si>
    <t>quadricepstendonvspatellartendonautograftforaclreconstructionusingahardwarefreepressfitfixationtechnique:comparablestabilityfunctionandreturntosportlevelbutlessdonorsitemorbidityinathletesafter10years</t>
  </si>
  <si>
    <t>Barié+quadricepstendonvspatellartendonautograftforaclreconstructionusingahardwarefreepressfitfixationtechnique:comparablestabilityfunctionandreturntosportlevelbutlessdonorsitemorbidityinathletesafter10years+2020</t>
  </si>
  <si>
    <t>32368935</t>
  </si>
  <si>
    <t>A Randomized Controlled Trial of Bone-Patellar Tendon-Bone Anterior Cruciate Ligament Reconstruction With and Without Lateral Extra-articular Tenodesis: 19-Year Clinical and Radiological Follow-up</t>
  </si>
  <si>
    <t>Castoldi M, Magnussen RA, Gunst S, Batailler C, Neyret P, Lustig S, Servien E.</t>
  </si>
  <si>
    <t>10.1177/0363546520914936</t>
  </si>
  <si>
    <t>Castoldi</t>
  </si>
  <si>
    <t>arandomizedcontrolledtrialofbonepatellartendonboneanteriorcruciateligamentreconstructionwithandwithoutlateralextraarticulartenodesis:19yearclinicalandradiologicalfollowup</t>
  </si>
  <si>
    <t>Castoldi+arandomizedcontrolledtrialofbonepatellartendonboneanteriorcruciateligamentreconstructionwithandwithoutlateralextraarticulartenodesis:19yearclinicalandradiologicalfollowup+2020</t>
  </si>
  <si>
    <t>32298131</t>
  </si>
  <si>
    <t>Bridge-Enhanced Anterior Cruciate Ligament Repair Is Not Inferior to Autograft Anterior Cruciate Ligament Reconstruction at 2 Years: Results of a Prospective Randomized Clinical Trial</t>
  </si>
  <si>
    <t>Murray MM, Fleming BC, Badger GJ; BEAR Trial Team; Freiberger C, Henderson R, Barnett S, Kiapour A, Ecklund K, Proffen B, Sant N, Kramer DE, Micheli LJ, Yen YM.</t>
  </si>
  <si>
    <t>10.1177/0363546520913532</t>
  </si>
  <si>
    <t>bridgeenhancedanteriorcruciateligamentrepairisnotinferiortoautograftanteriorcruciateligamentreconstructionat2years:resultsofaprospectiverandomizedclinicaltrial</t>
  </si>
  <si>
    <t>Murray+bridgeenhancedanteriorcruciateligamentrepairisnotinferiortoautograftanteriorcruciateligamentreconstructionat2years:resultsofaprospectiverandomizedclinicaltrial+2020</t>
  </si>
  <si>
    <t>32059954</t>
  </si>
  <si>
    <t>All-Inside Quadrupled Semitendinosus Autograft Shows Stability Equivalent to Patellar Tendon Autograft Anterior Cruciate Ligament Reconstruction: Randomized Controlled Trial in Athletes 24 Years or Younger</t>
  </si>
  <si>
    <t>Smith PA, Cook CS, Bley JA.</t>
  </si>
  <si>
    <t>10.1016/j.arthro.2020.01.048</t>
  </si>
  <si>
    <t>Smith</t>
  </si>
  <si>
    <t>allinsidequadrupledsemitendinosusautograftshowsstabilityequivalenttopatellartendonautograftanteriorcruciateligamentreconstruction:randomizedcontrolledtrialinathletes24yearsoryounger</t>
  </si>
  <si>
    <t>Smith+allinsidequadrupledsemitendinosusautograftshowsstabilityequivalenttopatellartendonautograftanteriorcruciateligamentreconstruction:randomizedcontrolledtrialinathletes24yearsoryounger+2020</t>
  </si>
  <si>
    <t>31169571</t>
  </si>
  <si>
    <t>A Randomized Clinical Trial Comparing Patellar Tendon, Hamstring Tendon, and Double-Bundle ACL Reconstructions: Patient-Reported and Clinical Outcomes at 5-Year Follow-up</t>
  </si>
  <si>
    <t>Mohtadi NG, Chan DS.</t>
  </si>
  <si>
    <t>10.2106/JBJS.18.01322</t>
  </si>
  <si>
    <t>Mohtadi</t>
  </si>
  <si>
    <t>arandomizedclinicaltrialcomparingpatellartendonhamstringtendonanddoublebundleaclreconstructions:patientreportedandclinicaloutcomesat5yearfollowup</t>
  </si>
  <si>
    <t>Mohtadi+arandomizedclinicaltrialcomparingpatellartendonhamstringtendonanddoublebundleaclreconstructions:patientreportedandclinicaloutcomesat5yearfollowup+2019</t>
  </si>
  <si>
    <t>30733025</t>
  </si>
  <si>
    <t>Adductor Canal Nerve Versus Femoral Nerve Blockade for Pain Control and Quadriceps Function Following Anterior Cruciate Ligament Reconstruction With Patellar Tendon Autograft: A Prospective Randomized Trial</t>
  </si>
  <si>
    <t>Bailey L, Griffin J, Elliott M, Wu J, Papavasiliou T, Harner C, Lowe W.</t>
  </si>
  <si>
    <t>10.1016/j.arthro.2018.10.149</t>
  </si>
  <si>
    <t>Bailey</t>
  </si>
  <si>
    <t>adductorcanalnerveversusfemoralnerveblockadeforpaincontrolandquadricepsfunctionfollowinganteriorcruciateligamentreconstructionwithpatellartendonautograft:aprospectiverandomizedtrial</t>
  </si>
  <si>
    <t>Bailey+adductorcanalnerveversusfemoralnerveblockadeforpaincontrolandquadricepsfunctionfollowinganteriorcruciateligamentreconstructionwithpatellartendonautograft:aprospectiverandomizedtrial+2019</t>
  </si>
  <si>
    <t>29741923</t>
  </si>
  <si>
    <t>Effect of Intraoperative Platelet-Rich Plasma Treatment on Postoperative Donor Site Knee Pain in Patellar Tendon Autograft Anterior Cruciate Ligament Reconstruction: A Double-Blind Randomized Controlled Trial</t>
  </si>
  <si>
    <t>Walters BL, Porter DA, Hobart SJ, Bedford BB, Hogan DE, McHugh MM, Klein DA, Harousseau K, Nicholas SJ.</t>
  </si>
  <si>
    <t>10.1177/0363546518769295</t>
  </si>
  <si>
    <t>Walters</t>
  </si>
  <si>
    <t>effectofintraoperativeplateletrichplasmatreatmentonpostoperativedonorsitekneepaininpatellartendonautograftanteriorcruciateligamentreconstruction:adoubleblindrandomizedcontrolledtrial</t>
  </si>
  <si>
    <t>Walters+effectofintraoperativeplateletrichplasmatreatmentonpostoperativedonorsitekneepaininpatellartendonautograftanteriorcruciateligamentreconstruction:adoubleblindrandomizedcontrolledtrial+2018</t>
  </si>
  <si>
    <t>29741911</t>
  </si>
  <si>
    <t>Long-term Comparison of Semitendinosus and Gracilis Tendon Versus Patellar Tendon Autografts for Anterior Cruciate Ligament Reconstruction: A 17-Year Follow-up of a Randomized Controlled Trial</t>
  </si>
  <si>
    <t>Sajovic M, Stropnik D, Skaza K.</t>
  </si>
  <si>
    <t>10.1177/0363546518768768</t>
  </si>
  <si>
    <t>Sajovic</t>
  </si>
  <si>
    <t>longtermcomparisonofsemitendinosusandgracilistendonversuspatellartendonautograftsforanteriorcruciateligamentreconstruction:a17yearfollowupofarandomizedcontrolledtrial</t>
  </si>
  <si>
    <t>Sajovic+longtermcomparisonofsemitendinosusandgracilistendonversuspatellartendonautograftsforanteriorcruciateligamentreconstruction:a17yearfollowupofarandomizedcontrolledtrial+2018</t>
  </si>
  <si>
    <t>27717747</t>
  </si>
  <si>
    <t>Lack of stability at more than 12 months of follow-up after anterior cruciate ligament reconstruction using all-inside quadruple-stranded semitendinosus graft with adjustable cortical button fixation in both femoral and tibial sides</t>
  </si>
  <si>
    <t>Bressy G, Brun V, Ferrier A, Dujardin D, Oubaya N, Morel N, Fontanin N, Ohl X.</t>
  </si>
  <si>
    <t>10.1016/j.otsr.2016.08.011</t>
  </si>
  <si>
    <t>Bressy</t>
  </si>
  <si>
    <t>lackofstabilityatmorethan12monthsoffollowupafteranteriorcruciateligamentreconstructionusingallinsidequadruplestrandedsemitendinosusgraftwithadjustablecorticalbuttonfixationinbothfemoralandtibialsides</t>
  </si>
  <si>
    <t>Bressy+lackofstabilityatmorethan12monthsoffollowupafteranteriorcruciateligamentreconstructionusingallinsidequadruplestrandedsemitendinosusgraftwithadjustablecorticalbuttonfixationinbothfemoralandtibialsides+2016</t>
  </si>
  <si>
    <t>27568219</t>
  </si>
  <si>
    <t>Double-layer versus single-layer bone-patellar tendon-bone anterior cruciate ligament reconstruction: a prospective randomized study with 3-year follow-up</t>
  </si>
  <si>
    <t>Mei X, Zhang Z, Yang J.</t>
  </si>
  <si>
    <t>10.1007/s00402-016-2548-z</t>
  </si>
  <si>
    <t>Mei</t>
  </si>
  <si>
    <t>doublelayerversussinglelayerbonepatellartendonboneanteriorcruciateligamentreconstruction:aprospectiverandomizedstudywith3yearfollowup</t>
  </si>
  <si>
    <t>Mei+doublelayerversussinglelayerbonepatellartendonboneanteriorcruciateligamentreconstruction:aprospectiverandomizedstudywith3yearfollowup+2016</t>
  </si>
  <si>
    <t>27376940</t>
  </si>
  <si>
    <t>Correlation of tunnel widening and tunnel positioning with short-term functional outcomes in single-bundle anterior cruciate ligament reconstruction using patellar tendon versus hamstring graft: a prospective study</t>
  </si>
  <si>
    <t>Biswal UK, Balaji G, Nema S, Poduval M, Menon J, Patro DK.</t>
  </si>
  <si>
    <t>Eur J Orthop Surg Traumatol</t>
  </si>
  <si>
    <t>10.1007/s00590-016-1809-4</t>
  </si>
  <si>
    <t>Biswal</t>
  </si>
  <si>
    <t>correlationoftunnelwideningandtunnelpositioningwithshorttermfunctionaloutcomesinsinglebundleanteriorcruciateligamentreconstructionusingpatellartendonversushamstringgraft:aprospectivestudy</t>
  </si>
  <si>
    <t>Biswal+correlationoftunnelwideningandtunnelpositioningwithshorttermfunctionaloutcomesinsinglebundleanteriorcruciateligamentreconstructionusingpatellartendonversushamstringgraft:aprospectivestudy+2016</t>
  </si>
  <si>
    <t>27371291</t>
  </si>
  <si>
    <t>Anatomic single-bundle anterior cruciate ligament reconstruction improves walking economy: hamstrings tendon versus patellar tendon grafts</t>
  </si>
  <si>
    <t>Iliopoulos E, Galanis N, Zafeiridis A, Iosifidis M, Papadopoulos P, Potoupnis M, Geladas N, Vrabas IS, Kirkos J.</t>
  </si>
  <si>
    <t>10.1007/s00167-016-4229-4</t>
  </si>
  <si>
    <t>Iliopoulos</t>
  </si>
  <si>
    <t>anatomicsinglebundleanteriorcruciateligamentreconstructionimproveswalkingeconomy:hamstringstendonversuspatellartendongrafts</t>
  </si>
  <si>
    <t>Iliopoulos+anatomicsinglebundleanteriorcruciateligamentreconstructionimproveswalkingeconomy:hamstringstendonversuspatellartendongrafts+2017</t>
  </si>
  <si>
    <t>27229354</t>
  </si>
  <si>
    <t>A Randomized Controlled Trial With Mean 16-Year Follow-up Comparing Hamstring and Patellar Tendon Autografts in Anterior Cruciate Ligament Reconstruction</t>
  </si>
  <si>
    <t>Björnsson H, Samuelsson K, Sundemo D, Desai N, Sernert N, Rostgård-Christensen L, Karlsson J, Kartus J.</t>
  </si>
  <si>
    <t>10.1177/0363546516646378</t>
  </si>
  <si>
    <t>Björnsson</t>
  </si>
  <si>
    <t>arandomizedcontrolledtrialwithmean16yearfollowupcomparinghamstringandpatellartendonautograftsinanteriorcruciateligamentreconstruction</t>
  </si>
  <si>
    <t>Björnsson+arandomizedcontrolledtrialwithmean16yearfollowupcomparinghamstringandpatellartendonautograftsinanteriorcruciateligamentreconstruction+2016</t>
  </si>
  <si>
    <t>27159308</t>
  </si>
  <si>
    <t>Effect of Matching or Overconstraining Knee Laxity During Anterior Cruciate Ligament Reconstruction on Knee Osteoarthritis and Clinical Outcomes: A Randomized Controlled Trial With 84-Month Follow-up</t>
  </si>
  <si>
    <t>Akelman MR, Fadale PD, Hulstyn MJ, Shalvoy RM, Garcia A, Chin KE, Duryea J, Badger GJ, Tung GA, Fleming BC.</t>
  </si>
  <si>
    <t>10.1177/0363546516638387</t>
  </si>
  <si>
    <t>Akelman</t>
  </si>
  <si>
    <t>effectofmatchingoroverconstrainingkneelaxityduringanteriorcruciateligamentreconstructiononkneeosteoarthritisandclinicaloutcomes:arandomizedcontrolledtrialwith84monthfollowup</t>
  </si>
  <si>
    <t>Akelman+effectofmatchingoroverconstrainingkneelaxityduringanteriorcruciateligamentreconstructiononkneeosteoarthritisandclinicaloutcomes:arandomizedcontrolledtrialwith84monthfollowup+2016</t>
  </si>
  <si>
    <t>26838934</t>
  </si>
  <si>
    <t>Prospective Randomized Study of Objective and Subjective Clinical Results Between Double-Bundle and Single-Bundle Anterior Cruciate Ligament Reconstruction</t>
  </si>
  <si>
    <t>Sasaki S, Tsuda E, Hiraga Y, Yamamoto Y, Maeda S, Sasaki E, Ishibashi Y.</t>
  </si>
  <si>
    <t>10.1177/0363546515624471</t>
  </si>
  <si>
    <t>Sasaki</t>
  </si>
  <si>
    <t>prospectiverandomizedstudyofobjectiveandsubjectiveclinicalresultsbetweendoublebundleandsinglebundleanteriorcruciateligamentreconstruction</t>
  </si>
  <si>
    <t>Sasaki+prospectiverandomizedstudyofobjectiveandsubjectiveclinicalresultsbetweendoublebundleandsinglebundleanteriorcruciateligamentreconstruction+2016</t>
  </si>
  <si>
    <t>26725050</t>
  </si>
  <si>
    <t>No significant difference in clinical outcome and knee stability between patellar tendon and semitendinosus tendon in anterior cruciate ligament reconstruction</t>
  </si>
  <si>
    <t>Konrads C, Reppenhagen S, Plumhoff P, Hoberg M, Rudert M, Barthel T.</t>
  </si>
  <si>
    <t>10.1007/s00402-015-2386-4</t>
  </si>
  <si>
    <t>Konrads</t>
  </si>
  <si>
    <t>nosignificantdifferenceinclinicaloutcomeandkneestabilitybetweenpatellartendonandsemitendinosustendoninanteriorcruciateligamentreconstruction</t>
  </si>
  <si>
    <t>Konrads+nosignificantdifferenceinclinicaloutcomeandkneestabilitybetweenpatellartendonandsemitendinosustendoninanteriorcruciateligamentreconstruction+2016</t>
  </si>
  <si>
    <t>26578718</t>
  </si>
  <si>
    <t>Comparison of Patellar Tendon and Hamstring Tendon Anterior Cruciate Ligament Reconstruction: A 15-Year Follow-up of a Randomized Controlled Trial</t>
  </si>
  <si>
    <t>Webster KE, Feller JA, Hartnett N, Leigh WB, Richmond AK.</t>
  </si>
  <si>
    <t>10.1177/0363546515611886</t>
  </si>
  <si>
    <t>Webster</t>
  </si>
  <si>
    <t>comparisonofpatellartendonandhamstringtendonanteriorcruciateligamentreconstruction:a15yearfollowupofarandomizedcontrolledtrial</t>
  </si>
  <si>
    <t>Webster+comparisonofpatellartendonandhamstringtendonanteriorcruciateligamentreconstruction:a15yearfollowupofarandomizedcontrolledtrial+2016</t>
  </si>
  <si>
    <t>26164058</t>
  </si>
  <si>
    <t>Reruptures, Reinjuries, and Revisions at a Minimum 2-Year Follow-up: A Randomized Clinical Trial Comparing 3 Graft Types for ACL Reconstruction</t>
  </si>
  <si>
    <t>Mohtadi N, Chan D, Barber R, Paolucci EO.</t>
  </si>
  <si>
    <t>Clin J Sport Med</t>
  </si>
  <si>
    <t>10.1097/JSM.0000000000000209</t>
  </si>
  <si>
    <t>rerupturesreinjuriesandrevisionsataminimum2yearfollowup:arandomizedclinicaltrialcomparing3grafttypesforaclreconstruction</t>
  </si>
  <si>
    <t>Mohtadi+rerupturesreinjuriesandrevisionsataminimum2yearfollowup:arandomizedclinicaltrialcomparing3grafttypesforaclreconstruction+2016</t>
  </si>
  <si>
    <t>25514139</t>
  </si>
  <si>
    <t>A Randomized Clinical Trial Comparing Patellar Tendon, Hamstring Tendon, and Double-Bundle ACL Reconstructions: Patient-Reported and Clinical Outcomes at a Minimal 2-Year Follow-up</t>
  </si>
  <si>
    <t>Mohtadi N, Chan D, Barber R, Oddone Paolucci E.</t>
  </si>
  <si>
    <t>10.1097/JSM.0000000000000165</t>
  </si>
  <si>
    <t>arandomizedclinicaltrialcomparingpatellartendonhamstringtendonanddoublebundleaclreconstructions:patientreportedandclinicaloutcomesataminimal2yearfollowup</t>
  </si>
  <si>
    <t>Mohtadi+arandomizedclinicaltrialcomparingpatellartendonhamstringtendonanddoublebundleaclreconstructions:patientreportedandclinicaloutcomesataminimal2yearfollowup+2015</t>
  </si>
  <si>
    <t>25384473</t>
  </si>
  <si>
    <t>Comparison between two different platelet-rich plasma preparations and control applied during anterior cruciate ligament reconstruction. Is there any evidence to support their use?</t>
  </si>
  <si>
    <t>Valentí Azcárate A, Lamo-Espinosa J, Aquerreta Beola JD, Hernandez Gonzalez M, Mora Gasque G, Valentí Nin JR.</t>
  </si>
  <si>
    <t>10.1016/S0020-1383(14)70008-7</t>
  </si>
  <si>
    <t>Valentí</t>
  </si>
  <si>
    <t>comparisonbetweentwodifferentplateletrichplasmapreparationsandcontrolappliedduringanteriorcruciateligamentreconstructionisthereanyevidencetosupporttheiruse?</t>
  </si>
  <si>
    <t>Valentí+comparisonbetweentwodifferentplateletrichplasmapreparationsandcontrolappliedduringanteriorcruciateligamentreconstructionisthereanyevidencetosupporttheiruse?+2014</t>
  </si>
  <si>
    <t>25192689</t>
  </si>
  <si>
    <t>Anterior cruciate ligament reconstruction and return to sport activity: postural control as the key to success</t>
  </si>
  <si>
    <t>Papalia R, Franceschi F, Tecame A, D'Adamio S, Maffulli N, Denaro V.</t>
  </si>
  <si>
    <t>10.1007/s00264-014-2513-9</t>
  </si>
  <si>
    <t>Papalia</t>
  </si>
  <si>
    <t>anteriorcruciateligamentreconstructionandreturntosportactivity:posturalcontrolasthekeytosuccess</t>
  </si>
  <si>
    <t>Papalia+anteriorcruciateligamentreconstructionandreturntosportactivity:posturalcontrolasthekeytosuccess+2015</t>
  </si>
  <si>
    <t>25128968</t>
  </si>
  <si>
    <t>A comparison of ACL reconstruction using patellar tendon versus hamstring autograft in female patients: a prospective randomised study</t>
  </si>
  <si>
    <t>Kautzner J, Kos P, Hanus M, Trc T, Havlas V.</t>
  </si>
  <si>
    <t>10.1007/s00264-014-2495-7</t>
  </si>
  <si>
    <t>Kautzner</t>
  </si>
  <si>
    <t>acomparisonofaclreconstructionusingpatellartendonversushamstringautograftinfemalepatients:aprospectiverandomisedstudy</t>
  </si>
  <si>
    <t>Kautzner+acomparisonofaclreconstructionusingpatellartendonversushamstringautograftinfemalepatients:aprospectiverandomisedstudy+2015</t>
  </si>
  <si>
    <t>24825597</t>
  </si>
  <si>
    <t>Primary anterior cruciate ligament reconstruction in athletes: a 5-year follow up comparing patellar tendon versus hamstring tendon autograft</t>
  </si>
  <si>
    <t>Leitgeb J, Köttstorfer J, Schuster R, Kovar FM, Platzer P, Aldrian S.</t>
  </si>
  <si>
    <t>Wien Klin Wochenschr</t>
  </si>
  <si>
    <t>10.1007/s00508-014-0550-4</t>
  </si>
  <si>
    <t>Leitgeb</t>
  </si>
  <si>
    <t>primaryanteriorcruciateligamentreconstructioninathletes:a5yearfollowupcomparingpatellartendonversushamstringtendonautograft</t>
  </si>
  <si>
    <t>Leitgeb+primaryanteriorcruciateligamentreconstructioninathletes:a5yearfollowupcomparingpatellartendonversushamstringtendonautograft+2014</t>
  </si>
  <si>
    <t>24756534</t>
  </si>
  <si>
    <t>ACL reconstruction using bone-patella tendon-bone autograft: press-fit technique vs. interference screw fixation</t>
  </si>
  <si>
    <t>Sarzaeem MM, Najafi F, Razi M, Najafi MA.</t>
  </si>
  <si>
    <t>10.1007/s00402-014-1999-3</t>
  </si>
  <si>
    <t>Sarzaeem</t>
  </si>
  <si>
    <t>aclreconstructionusingbonepatellatendonboneautograft:pressfittechniquevsinterferencescrewfixation</t>
  </si>
  <si>
    <t>Sarzaeem+aclreconstructionusingbonepatellatendonboneautograft:pressfittechniquevsinterferencescrewfixation+2014</t>
  </si>
  <si>
    <t>24644301</t>
  </si>
  <si>
    <t>Increased risk of osteoarthritis after anterior cruciate ligament reconstruction: a 14-year follow-up study of a randomized controlled trial</t>
  </si>
  <si>
    <t>Barenius B, Ponzer S, Shalabi A, Bujak R, Norlén L, Eriksson K.</t>
  </si>
  <si>
    <t>10.1177/0363546514526139</t>
  </si>
  <si>
    <t>Barenius</t>
  </si>
  <si>
    <t>increasedriskofosteoarthritisafteranteriorcruciateligamentreconstruction:a14yearfollowupstudyofarandomizedcontrolledtrial</t>
  </si>
  <si>
    <t>Barenius+increasedriskofosteoarthritisafteranteriorcruciateligamentreconstruction:a14yearfollowupstudyofarandomizedcontrolledtrial+2014</t>
  </si>
  <si>
    <t>24630956</t>
  </si>
  <si>
    <t>Is quadriceps tendon a better graft choice than patellar tendon? a prospective randomized study</t>
  </si>
  <si>
    <t>Lund B, Nielsen T, Faunø P, Christiansen SE, Lind M.</t>
  </si>
  <si>
    <t>10.1016/j.arthro.2014.01.012</t>
  </si>
  <si>
    <t>Lund</t>
  </si>
  <si>
    <t>isquadricepstendonabettergraftchoicethanpatellartendon?aprospectiverandomizedstudy</t>
  </si>
  <si>
    <t>Lund+isquadricepstendonabettergraftchoicethanpatellartendon?aprospectiverandomizedstudy+2014</t>
  </si>
  <si>
    <t>24001575</t>
  </si>
  <si>
    <t>Ipsilateral versus contralateral hamstring grafts in anterior cruciate ligament reconstruction: a prospective randomized trial</t>
  </si>
  <si>
    <t>McRae S, Leiter J, McCormack R, Old J, MacDonald P.</t>
  </si>
  <si>
    <t>10.1177/0363546513499140</t>
  </si>
  <si>
    <t>McRae</t>
  </si>
  <si>
    <t>ipsilateralversuscontralateralhamstringgraftsinanteriorcruciateligamentreconstruction:aprospectiverandomizedtrial</t>
  </si>
  <si>
    <t>McRae+ipsilateralversuscontralateralhamstringgraftsinanteriorcruciateligamentreconstruction:aprospectiverandomizedtrial+2013</t>
  </si>
  <si>
    <t>23996068</t>
  </si>
  <si>
    <t>Long-term results of a randomized study on anterior cruciate ligament reconstruction with or without a synthetic degradable augmentation device to support the autograft</t>
  </si>
  <si>
    <t>Peterson L, Eklund U, Engström B, Forssblad M, Saartok T, Valentin A.</t>
  </si>
  <si>
    <t>10.1007/s00167-013-2636-3</t>
  </si>
  <si>
    <t>Peterson</t>
  </si>
  <si>
    <t>longtermresultsofarandomizedstudyonanteriorcruciateligamentreconstructionwithorwithoutasyntheticdegradableaugmentationdevicetosupporttheautograft</t>
  </si>
  <si>
    <t>Peterson+longtermresultsofarandomizedstudyonanteriorcruciateligamentreconstructionwithorwithoutasyntheticdegradableaugmentationdevicetosupporttheautograft+2014</t>
  </si>
  <si>
    <t>23974633</t>
  </si>
  <si>
    <t>Iliotibial band autograft versus bone-patella-tendon-bone autograft, a possible alternative for ACL reconstruction: a 15-year prospective randomized controlled trial</t>
  </si>
  <si>
    <t>Stensbirk F, Thorborg K, Konradsen L, Jørgensen U, Hölmich P.</t>
  </si>
  <si>
    <t>10.1007/s00167-013-2630-9</t>
  </si>
  <si>
    <t>Stensbirk</t>
  </si>
  <si>
    <t>iliotibialbandautograftversusbonepatellatendonboneautograftapossiblealternativeforaclreconstruction:a15yearprospectiverandomizedcontrolledtrial</t>
  </si>
  <si>
    <t>Stensbirk+iliotibialbandautograftversusbonepatellatendonboneautograftapossiblealternativeforaclreconstruction:a15yearprospectiverandomizedcontrolledtrial+2014</t>
  </si>
  <si>
    <t>23807029</t>
  </si>
  <si>
    <t>Brace or no-brace after ACL graft? Four-year results of a prospective clinical trial</t>
  </si>
  <si>
    <t>Mayr HO, Stüeken P, Münch EO, Wolter M, Bernstein A, Suedkamp NP, Stoehr A.</t>
  </si>
  <si>
    <t>10.1007/s00167-013-2564-2</t>
  </si>
  <si>
    <t>braceornobraceafteraclgraft?fouryearresultsofaprospectiveclinicaltrial</t>
  </si>
  <si>
    <t>Mayr+braceornobraceafteraclgraft?fouryearresultsofaprospectiveclinicaltrial+2014</t>
  </si>
  <si>
    <t>23203337</t>
  </si>
  <si>
    <t>Aseptically processed and chemically sterilized BTB allografts for anterior cruciate ligament reconstruction: a prospective randomized study</t>
  </si>
  <si>
    <t>Indelicato PA, Ciccotti MG, Boyd J, Higgins LD, Shaffer BS, Vangsness CT Jr.</t>
  </si>
  <si>
    <t>10.1007/s00167-012-2309-7</t>
  </si>
  <si>
    <t>Indelicato</t>
  </si>
  <si>
    <t>asepticallyprocessedandchemicallysterilizedbtballograftsforanteriorcruciateligamentreconstruction:aprospectiverandomizedstudy</t>
  </si>
  <si>
    <t>Indelicato+asepticallyprocessedandchemicallysterilizedbtballograftsforanteriorcruciateligamentreconstruction:aprospectiverandomizedstudy+2013</t>
  </si>
  <si>
    <t>22425308</t>
  </si>
  <si>
    <t>A randomized controlled trial comparing bone mineral density changes of three different ACL reconstruction techniques</t>
  </si>
  <si>
    <t>Lui PP, Cheng YY, Yung SH, Hung AS, Chan KM.</t>
  </si>
  <si>
    <t>10.1016/j.knee.2012.02.005</t>
  </si>
  <si>
    <t>Lui</t>
  </si>
  <si>
    <t>arandomizedcontrolledtrialcomparingbonemineraldensitychangesofthreedifferentaclreconstructiontechniques</t>
  </si>
  <si>
    <t>Lui+arandomizedcontrolledtrialcomparingbonemineraldensitychangesofthreedifferentaclreconstructiontechniques+2012</t>
  </si>
  <si>
    <t>22407182</t>
  </si>
  <si>
    <t>Long-term follow-up of patellar tendon grafts or hamstring tendon grafts in endoscopic ACL reconstructions</t>
  </si>
  <si>
    <t>Gifstad T, Sole A, Strand T, Uppheim G, Grøntvedt T, Drogset JO.</t>
  </si>
  <si>
    <t>10.1007/s00167-012-1947-0</t>
  </si>
  <si>
    <t>Gifstad</t>
  </si>
  <si>
    <t>longtermfollowupofpatellartendongraftsorhamstringtendongraftsinendoscopicaclreconstructions</t>
  </si>
  <si>
    <t>Gifstad+longtermfollowupofpatellartendongraftsorhamstringtendongraftsinendoscopicaclreconstructions+2013</t>
  </si>
  <si>
    <t>22184280</t>
  </si>
  <si>
    <t>Clinical results and risk factors for reinjury 15 years after anterior cruciate ligament reconstruction: a prospective study of hamstring and patellar tendon grafts</t>
  </si>
  <si>
    <t>Leys T, Salmon L, Waller A, Linklater J, Pinczewski L.</t>
  </si>
  <si>
    <t>10.1177/0363546511430375</t>
  </si>
  <si>
    <t>Leys</t>
  </si>
  <si>
    <t>clinicalresultsandriskfactorsforreinjury15yearsafteranteriorcruciateligamentreconstruction:aprospectivestudyofhamstringandpatellartendongrafts</t>
  </si>
  <si>
    <t>Leys+clinicalresultsandriskfactorsforreinjury15yearsafteranteriorcruciateligamentreconstruction:aprospectivestudyofhamstringandpatellartendongrafts+2012</t>
  </si>
  <si>
    <t>21712483</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</si>
  <si>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</si>
  <si>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</si>
  <si>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10.1177/0363546511411702</t>
  </si>
  <si>
    <t>qualityoflifeandclinicaloutcomecomparisonofsemitendinosusandgracilistendonversuspatellartendonautograftsforanteriorcruciateligamentreconstruction:an11yearfollowupofarandomizedcontrolledtrial</t>
  </si>
  <si>
    <t>Sajovic+qualityoflifeandclinicaloutcomecomparisonofsemitendinosusandgracilistendonversuspatellartendonautograftsforanteriorcruciateligamentreconstruction:an11yearfollowupofarandomizedcontrolledtrial+2011</t>
  </si>
  <si>
    <t>21694588</t>
  </si>
  <si>
    <t>Anterior cruciate ligament reconstruction: a multicenter prospective cohort study evaluating 3 different grafts using same bone drilling method</t>
  </si>
  <si>
    <t>Leal-Blanquet J, Alentorn-Geli E, Tuneu J, Valentí JR, Maestro A.</t>
  </si>
  <si>
    <t>10.1097/JSM.0b013e31822153cb</t>
  </si>
  <si>
    <t>Leal-Blanquet</t>
  </si>
  <si>
    <t>anteriorcruciateligamentreconstruction:amulticenterprospectivecohortstudyevaluating3differentgraftsusingsamebonedrillingmethod</t>
  </si>
  <si>
    <t>Leal-Blanquet+anteriorcruciateligamentreconstruction:amulticenterprospectivecohortstudyevaluating3differentgraftsusingsamebonedrillingmethod+2011</t>
  </si>
  <si>
    <t>21663722</t>
  </si>
  <si>
    <t>Anterior cruciate ligament reconstruction using patellar tendon versus hamstring tendon: a prospective comparative study with 9-year follow-up</t>
  </si>
  <si>
    <t>Wipfler B, Donner S, Zechmann CM, Springer J, Siebold R, Paessler HH.</t>
  </si>
  <si>
    <t>10.1016/j.arthro.2011.01.015</t>
  </si>
  <si>
    <t>Wipfler</t>
  </si>
  <si>
    <t>anteriorcruciateligamentreconstructionusingpatellartendonversushamstringtendon:aprospectivecomparativestudywith9yearfollowup</t>
  </si>
  <si>
    <t>Wipfler+anteriorcruciateligamentreconstructionusingpatellartendonversushamstringtendon:aprospectivecomparativestudywith9yearfollowup+2011</t>
  </si>
  <si>
    <t>21234545</t>
  </si>
  <si>
    <t>A prospective randomized study of ACL-reconstructions using bone-patellar tendon-bone grafts fixed with bioabsorbable or metal interference screws</t>
  </si>
  <si>
    <t>Drogset JO, Straume LG, Bjørkmo I, Myhr G.</t>
  </si>
  <si>
    <t>10.1007/s00167-010-1353-4</t>
  </si>
  <si>
    <t>Drogset</t>
  </si>
  <si>
    <t>aprospectiverandomizedstudyofaclreconstructionsusingbonepatellartendonbonegraftsfixedwithbioabsorbableormetalinterferencescrews</t>
  </si>
  <si>
    <t>Drogset+aprospectiverandomizedstudyofaclreconstructionsusingbonepatellartendonbonegraftsfixedwithbioabsorbableormetalinterferencescrews+2011</t>
  </si>
  <si>
    <t>20668835</t>
  </si>
  <si>
    <t>Single-bundle patellar tendon versus non-anatomical double-bundle hamstrings ACL reconstruction: a prospective randomized study at 8-year minimum follow-up</t>
  </si>
  <si>
    <t>Zaffagnini S, Bruni D, Marcheggiani Muccioli GM, Bonanzinga T, Lopomo N, Bignozzi S, Marcacci M.</t>
  </si>
  <si>
    <t>10.1007/s00167-010-1225-y</t>
  </si>
  <si>
    <t>Zaffagnini</t>
  </si>
  <si>
    <t>singlebundlepatellartendonversusnonanatomicaldoublebundlehamstringsaclreconstruction:aprospectiverandomizedstudyat8yearminimumfollowup</t>
  </si>
  <si>
    <t>Zaffagnini+singlebundlepatellartendonversusnonanatomicaldoublebundlehamstringsaclreconstruction:aprospectiverandomizedstudyat8yearminimumfollowup+2011</t>
  </si>
  <si>
    <t>20566719</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</si>
  <si>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</si>
  <si>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</si>
  <si>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10.1177/0363546510369549</t>
  </si>
  <si>
    <t>qualityoflifeandclinicaloutcomeafteranteriorcruciateligamentreconstructionusingpatellartendongraftorquadrupledsemitendinosusgraft:an8yearfollowupofarandomizedcontrolledtrial</t>
  </si>
  <si>
    <t>Barenius+qualityoflifeandclinicaloutcomeafteranteriorcruciateligamentreconstructionusingpatellartendongraftorquadrupledsemitendinosusgraft:an8yearfollowupofarandomizedcontrolledtrial+2010</t>
  </si>
  <si>
    <t>20401753</t>
  </si>
  <si>
    <t>Anteromedial portal versus transtibial drilling techniques in ACL reconstruction: a blinded cross-sectional study at two- to five-year follow-up</t>
  </si>
  <si>
    <t>Alentorn-Geli E, Samitier G, Alvarez P, Steinbacher G, Cugat R.</t>
  </si>
  <si>
    <t>10.1007/s00264-010-1000-1</t>
  </si>
  <si>
    <t>anteromedialportalversustranstibialdrillingtechniquesinaclreconstruction:ablindedcrosssectionalstudyattwotofiveyearfollowup</t>
  </si>
  <si>
    <t>Alentorn-Geli+anteromedialportalversustranstibialdrillingtechniquesinaclreconstruction:ablindedcrosssectionalstudyattwotofiveyearfollowup+2010</t>
  </si>
  <si>
    <t>20194956</t>
  </si>
  <si>
    <t>Early versus late start of isokinetic hamstring-strengthening exercise after anterior cruciate ligament reconstruction with patellar tendon graft</t>
  </si>
  <si>
    <t>Sekir U, Gur H, Akova B.</t>
  </si>
  <si>
    <t>10.1177/0363546509349490</t>
  </si>
  <si>
    <t>Sekir</t>
  </si>
  <si>
    <t>earlyversuslatestartofisokinetichamstringstrengtheningexerciseafteranteriorcruciateligamentreconstructionwithpatellartendongraft</t>
  </si>
  <si>
    <t>Sekir+earlyversuslatestartofisokinetichamstringstrengtheningexerciseafteranteriorcruciateligamentreconstructionwithpatellartendongraft+2010</t>
  </si>
  <si>
    <t>20097928</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</si>
  <si>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</si>
  <si>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</si>
  <si>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10.1177/0363546509350301</t>
  </si>
  <si>
    <t>Holm</t>
  </si>
  <si>
    <t>nodifferenceinkneefunctionorprevalenceofosteoarthritisafterreconstructionoftheanteriorcruciateligamentwith4strandhamstringautograftversuspatellartendonboneautograft:arandomizedstudywith10yearfollowup</t>
  </si>
  <si>
    <t>Holm+nodifferenceinkneefunctionorprevalenceofosteoarthritisafterreconstructionoftheanteriorcruciateligamentwith4strandhamstringautograftversuspatellartendonboneautograft:arandomizedstudywith10yearfollowup+2010</t>
  </si>
  <si>
    <t>19956928</t>
  </si>
  <si>
    <t>Autologous patellar tendon and quadrupled hamstring grafts in anterior cruciate ligament reconstruction: a prospective randomized multicenter review of different fixation methods</t>
  </si>
  <si>
    <t>Drogset JO, Strand T, Uppheim G, Odegård B, Bøe A, Grøntvedt T.</t>
  </si>
  <si>
    <t>10.1007/s00167-009-0996-5</t>
  </si>
  <si>
    <t>autologouspatellartendonandquadrupledhamstringgraftsinanteriorcruciateligamentreconstruction:aprospectiverandomizedmulticenterreviewofdifferentfixationmethods</t>
  </si>
  <si>
    <t>Drogset+autologouspatellartendonandquadrupledhamstringgraftsinanteriorcruciateligamentreconstruction:aprospectiverandomizedmulticenterreviewofdifferentfixationmethods+2010</t>
  </si>
  <si>
    <t>19861236</t>
  </si>
  <si>
    <t>Arthroscopic anterior cruciate ligament surgery: results of autogenous patellar tendon graft versus the Leeds-Keio synthetic graft five year follow-up of a prospective randomised controlled trial</t>
  </si>
  <si>
    <t>Ghalayini SR, Helm AT, Bonshahi AY, Lavender A, Johnson DS, Smith RB.</t>
  </si>
  <si>
    <t>10.1016/j.knee.2009.09.008</t>
  </si>
  <si>
    <t>Ghalayini</t>
  </si>
  <si>
    <t>arthroscopicanteriorcruciateligamentsurgery:resultsofautogenouspatellartendongraftversustheleedskeiosyntheticgraftfiveyearfollowupofaprospectiverandomisedcontrolledtrial</t>
  </si>
  <si>
    <t>Ghalayini+arthroscopicanteriorcruciateligamentsurgery:resultsofautogenouspatellartendongraftversustheleedskeiosyntheticgraftfiveyearfollowupofaprospectiverandomisedcontrolledtrial+2010</t>
  </si>
  <si>
    <t>19801284</t>
  </si>
  <si>
    <t>Anterior cruciate ligament reconstruction with and without computer navigation: a clinical and magnetic resonance imaging evaluation 2 years after surgery</t>
  </si>
  <si>
    <t>Endele D, Jung C, Becker U, Bauer G, Mauch F.</t>
  </si>
  <si>
    <t>10.1016/j.arthro.2009.05.016</t>
  </si>
  <si>
    <t>Endele</t>
  </si>
  <si>
    <t>anteriorcruciateligamentreconstructionwithandwithoutcomputernavigation:aclinicalandmagneticresonanceimagingevaluation2yearsaftersurgery</t>
  </si>
  <si>
    <t>Endele+anteriorcruciateligamentreconstructionwithandwithoutcomputernavigation:aclinicalandmagneticresonanceimagingevaluation2yearsaftersurgery+2009</t>
  </si>
  <si>
    <t>19684298</t>
  </si>
  <si>
    <t>Patellar tendon versus hamstring tendon autografts for anterior cruciate ligament reconstruction: a randomized controlled trial using similar femoral and tibial fixation methods</t>
  </si>
  <si>
    <t>Taylor DC, DeBerardino TM, Nelson BJ, Duffey M, Tenuta J, Stoneman PD, Sturdivant RX, Mountcastle S.</t>
  </si>
  <si>
    <t>10.1177/0363546509339577</t>
  </si>
  <si>
    <t>Taylor</t>
  </si>
  <si>
    <t>patellartendonversushamstringtendonautograftsforanteriorcruciateligamentreconstruction:arandomizedcontrolledtrialusingsimilarfemoralandtibialfixationmethods</t>
  </si>
  <si>
    <t>Taylor+patellartendonversushamstringtendonautograftsforanteriorcruciateligamentreconstruction:arandomizedcontrolledtrialusingsimilarfemoralandtibialfixationmethods+2009</t>
  </si>
  <si>
    <t>19575180</t>
  </si>
  <si>
    <t>Knee laxity measurements after anterior cruciate ligament reconstruction, using either bone-patellar-tendon-bone or hamstring tendon autografts, with special emphasis on comparison over time</t>
  </si>
  <si>
    <t>Ahldén M, Kartus J, Ejerhed L, Karlsson J, Sernert N.</t>
  </si>
  <si>
    <t>10.1007/s00167-009-0846-5</t>
  </si>
  <si>
    <t>kneelaxitymeasurementsafteranteriorcruciateligamentreconstructionusingeitherbonepatellartendonboneorhamstringtendonautograftswithspecialemphasisoncomparisonovertime</t>
  </si>
  <si>
    <t>Ahldén+kneelaxitymeasurementsafteranteriorcruciateligamentreconstructionusingeitherbonepatellartendonboneorhamstringtendonautograftswithspecialemphasisoncomparisonovertime+2009</t>
  </si>
  <si>
    <t>18989731</t>
  </si>
  <si>
    <t>Comparable results between lateralized single- and double-bundle ACL reconstructions</t>
  </si>
  <si>
    <t>Tsuda E, Ishibashi Y, Fukuda A, Tsukada H, Toh S.</t>
  </si>
  <si>
    <t>10.1007/s11999-008-0604-x</t>
  </si>
  <si>
    <t>Tsuda</t>
  </si>
  <si>
    <t>comparableresultsbetweenlateralizedsingleanddoublebundleaclreconstructions</t>
  </si>
  <si>
    <t>Tsuda+comparableresultsbetweenlateralizedsingleanddoublebundleaclreconstructions+2009</t>
  </si>
  <si>
    <t>18929746</t>
  </si>
  <si>
    <t>[Interest of an iterative specialized rehabilitation after an anterior cruciate ligament reconstruction in high level sport athletes]</t>
  </si>
  <si>
    <t>Laboute E, Savalli L, Lefesvre T, Puig P, Trouve P.</t>
  </si>
  <si>
    <t>Rev Chir Orthop Reparatrice Appar Mot</t>
  </si>
  <si>
    <t>10.1016/j.rco.2008.01.008</t>
  </si>
  <si>
    <t>Laboute</t>
  </si>
  <si>
    <t>interestofaniterativespecializedrehabilitationafterananteriorcruciateligamentreconstructioninhighlevelsportathletes</t>
  </si>
  <si>
    <t>Laboute+interestofaniterativespecializedrehabilitationafterananteriorcruciateligamentreconstructioninhighlevelsportathletes+2008</t>
  </si>
  <si>
    <t>18196393</t>
  </si>
  <si>
    <t>Anterior cruciate ligament reconstruction : quadriceps versus patellar autograft</t>
  </si>
  <si>
    <t>Han HS, Seong SC, Lee S, Lee MC.</t>
  </si>
  <si>
    <t>10.1007/s11999-007-0015-4</t>
  </si>
  <si>
    <t>Han</t>
  </si>
  <si>
    <t>anteriorcruciateligamentreconstruction:quadricepsversuspatellarautograft</t>
  </si>
  <si>
    <t>Han+anteriorcruciateligamentreconstruction:quadricepsversuspatellarautograft+2008</t>
  </si>
  <si>
    <t>17620776</t>
  </si>
  <si>
    <t>Preliminary effects of hyaluronic acid on early rehabilitation of patients with isolated anterior cruciate ligament reconstruction</t>
  </si>
  <si>
    <t>Huang MH, Yang RC, Chou PH.</t>
  </si>
  <si>
    <t>10.1097/JSM.0b013e31812570fa</t>
  </si>
  <si>
    <t>Huang</t>
  </si>
  <si>
    <t>preliminaryeffectsofhyaluronicacidonearlyrehabilitationofpatientswithisolatedanteriorcruciateligamentreconstruction</t>
  </si>
  <si>
    <t>Huang+preliminaryeffectsofhyaluronicacidonearlyrehabilitationofpatientswithisolatedanteriorcruciateligamentreconstruction+2007</t>
  </si>
  <si>
    <t>17431619</t>
  </si>
  <si>
    <t>The effect of graft choice on functional outcome in anterior cruciate ligament reconstruction</t>
  </si>
  <si>
    <t>Sajovic M, Strahovnik A, Komadina R, Dernovsek MZ.</t>
  </si>
  <si>
    <t>10.1007/s00264-007-0341-x</t>
  </si>
  <si>
    <t>theeffectofgraftchoiceonfunctionaloutcomeinanteriorcruciateligamentreconstruction</t>
  </si>
  <si>
    <t>Sajovic+theeffectofgraftchoiceonfunctionaloutcomeinanteriorcruciateligamentreconstruction+2008</t>
  </si>
  <si>
    <t>17293471</t>
  </si>
  <si>
    <t>Patellar tendon or semitendinosus tendon autografts for anterior cruciate ligament reconstruction: a prospective, randomized study with a 7-Year follow-up</t>
  </si>
  <si>
    <t>Lidén M, Ejerhed L, Sernert N, Laxdal G, Kartus J.</t>
  </si>
  <si>
    <t>10.1177/0363546506298275</t>
  </si>
  <si>
    <t>Lidén</t>
  </si>
  <si>
    <t>patellartendonorsemitendinosustendonautograftsforanteriorcruciateligamentreconstruction:aprospectiverandomizedstudywitha7yearfollowup</t>
  </si>
  <si>
    <t>Lidén+patellartendonorsemitendinosustendonautograftsforanteriorcruciateligamentreconstruction:aprospectiverandomizedstudywitha7yearfollowup+2007</t>
  </si>
  <si>
    <t>17261567</t>
  </si>
  <si>
    <t>A 10-year comparison of anterior cruciate ligament reconstructions with hamstring tendon and patellar tendon autograft: a controlled, prospective trial</t>
  </si>
  <si>
    <t>Pinczewski LA, Lyman J, Salmon LJ, Russell VJ, Roe J, Linklater J.</t>
  </si>
  <si>
    <t>10.1177/0363546506296042</t>
  </si>
  <si>
    <t>Pinczewski</t>
  </si>
  <si>
    <t>a10yearcomparisonofanteriorcruciateligamentreconstructionswithhamstringtendonandpatellartendonautograft:acontrolledprospectivetrial</t>
  </si>
  <si>
    <t>Pinczewski+a10yearcomparisonofanteriorcruciateligamentreconstructionswithhamstringtendonandpatellartendonautograft:acontrolledprospectivetrial+2007</t>
  </si>
  <si>
    <t>17251174</t>
  </si>
  <si>
    <t>Effectiveness of reconstruction of the anterior cruciate ligament with quadrupled hamstrings and bone-patellar tendon-bone autografts: an in vivo study comparing tibial internal-external rotation</t>
  </si>
  <si>
    <t>Chouliaras V, Ristanis S, Moraiti C, Stergiou N, Georgoulis AD.</t>
  </si>
  <si>
    <t>10.1177/0363546506296040</t>
  </si>
  <si>
    <t>Chouliaras</t>
  </si>
  <si>
    <t>effectivenessofreconstructionoftheanteriorcruciateligamentwithquadrupledhamstringsandbonepatellartendonboneautografts:aninvivostudycomparingtibialinternalexternalrotation</t>
  </si>
  <si>
    <t>Chouliaras+effectivenessofreconstructionoftheanteriorcruciateligamentwithquadrupledhamstringsandbonepatellartendonboneautografts:aninvivostudycomparingtibialinternalexternalrotation+2007</t>
  </si>
  <si>
    <t>17245238</t>
  </si>
  <si>
    <t>[Intra-articular reconstruction of the anterior cruciate ligament with and without extra-articular supplementation by quadricipital tendon plasty: seven-year follow-up]</t>
  </si>
  <si>
    <t>Giraud B, Besse JL, Cladière F, Ecochard R, Moyen B, Lerat JL.</t>
  </si>
  <si>
    <t>10.1016/s0035-1040(06)75947-5</t>
  </si>
  <si>
    <t>Giraud</t>
  </si>
  <si>
    <t>intraarticularreconstructionoftheanteriorcruciateligamentwithandwithoutextraarticularsupplementationbyquadricipitaltendonplasty:sevenyearfollowup</t>
  </si>
  <si>
    <t>Giraud+intraarticularreconstructionoftheanteriorcruciateligamentwithandwithoutextraarticularsupplementationbyquadricipitaltendonplasty:sevenyearfollowup+2006</t>
  </si>
  <si>
    <t>17219226</t>
  </si>
  <si>
    <t>Early versus late start of open kinetic chain quadriceps exercises after ACL reconstruction with patellar tendon or hamstring grafts: a prospective randomized outcome study</t>
  </si>
  <si>
    <t>Heijne A, Werner S.</t>
  </si>
  <si>
    <t>10.1007/s00167-006-0246-z</t>
  </si>
  <si>
    <t>Heijne</t>
  </si>
  <si>
    <t>earlyversuslatestartofopenkineticchainquadricepsexercisesafteraclreconstructionwithpatellartendonorhamstringgrafts:aprospectiverandomizedoutcomestudy</t>
  </si>
  <si>
    <t>Heijne+earlyversuslatestartofopenkineticchainquadricepsexercisesafteraclreconstructionwithpatellartendonorhamstringgrafts:aprospectiverandomizedoutcomestudy+2007</t>
  </si>
  <si>
    <t>17218661</t>
  </si>
  <si>
    <t>A prospective randomized study of anterior cruciate ligament reconstruction: a comparison of patellar tendon and quadruple-strand semitendinosus/gracilis tendons fixed with bioabsorbable interference screws</t>
  </si>
  <si>
    <t>Maletis GB, Cameron SL, Tengan JJ, Burchette RJ.</t>
  </si>
  <si>
    <t>10.1177/0363546506294361</t>
  </si>
  <si>
    <t>Maletis</t>
  </si>
  <si>
    <t>aprospectiverandomizedstudyofanteriorcruciateligamentreconstruction:acomparisonofpatellartendonandquadruplestrandsemitendinosus/gracilistendonsfixedwithbioabsorbableinterferencescrews</t>
  </si>
  <si>
    <t>Maletis+aprospectiverandomizedstudyofanteriorcruciateligamentreconstruction:acomparisonofpatellartendonandquadruplestrandsemitendinosus/gracilistendonsfixedwithbioabsorbableinterferencescrews+2007</t>
  </si>
  <si>
    <t>17129731</t>
  </si>
  <si>
    <t>A prospective study of 3-day versus 2-week immobilization period after anterior cruciate ligament reconstruction</t>
  </si>
  <si>
    <t>Ito Y, Deie M, Adachi N, Kobayashi K, Kanaya A, Miyamoto A, Nakasa T, Ochi M.</t>
  </si>
  <si>
    <t>10.1016/j.knee.2006.10.004</t>
  </si>
  <si>
    <t>Ito</t>
  </si>
  <si>
    <t>aprospectivestudyof3dayversus2weekimmobilizationperiodafteranteriorcruciateligamentreconstruction</t>
  </si>
  <si>
    <t>Ito+aprospectivestudyof3dayversus2weekimmobilizationperiodafteranteriorcruciateligamentreconstruction+2007</t>
  </si>
  <si>
    <t>16923826</t>
  </si>
  <si>
    <t>A prospective, randomized comparison of semitendinosus and gracilis tendon versus patellar tendon autografts for anterior cruciate ligament reconstruction: five-year follow-up</t>
  </si>
  <si>
    <t>Sajovic M, Vengust V, Komadina R, Tavcar R, Skaza K.</t>
  </si>
  <si>
    <t>10.1177/0363546506290726</t>
  </si>
  <si>
    <t>aprospectiverandomizedcomparisonofsemitendinosusandgracilistendonversuspatellartendonautograftsforanteriorcruciateligamentreconstruction:fiveyearfollowup</t>
  </si>
  <si>
    <t>Sajovic+aprospectiverandomizedcomparisonofsemitendinosusandgracilistendonversuspatellartendonautograftsforanteriorcruciateligamentreconstruction:fiveyearfollowup+2006</t>
  </si>
  <si>
    <t>16552549</t>
  </si>
  <si>
    <t>Randomized prospective study of ACL reconstruction with interference screw fixation in patellar tendon autografts versus femoral metal plate suspension and tibial post fixation in hamstring tendon autografts: 5-year clinical and radiological follow-up results</t>
  </si>
  <si>
    <t>Harilainen A, Linko E, Sandelin J.</t>
  </si>
  <si>
    <t>10.1007/s00167-006-0059-0</t>
  </si>
  <si>
    <t>Harilainen</t>
  </si>
  <si>
    <t>randomizedprospectivestudyofaclreconstructionwithinterferencescrewfixationinpatellartendonautograftsversusfemoralmetalplatesuspensionandtibialpostfixationinhamstringtendonautografts:5yearclinicalandradiologicalfollowupresults</t>
  </si>
  <si>
    <t>Harilainen+randomizedprospectivestudyofaclreconstructionwithinterferencescrewfixationinpatellartendonautograftsversusfemoralmetalplatesuspensionandtibialpostfixationinhamstringtendonautografts:5yearclinicalandradiologicalfollowupresults+2006</t>
  </si>
  <si>
    <t>16496124</t>
  </si>
  <si>
    <t>Factors affecting return to sports after anterior cruciate ligament reconstruction with patellar tendon and hamstring graft: a prospective clinical investigation</t>
  </si>
  <si>
    <t>Gobbi A, Francisco R.</t>
  </si>
  <si>
    <t>10.1007/s00167-006-0050-9</t>
  </si>
  <si>
    <t>factorsaffectingreturntosportsafteranteriorcruciateligamentreconstructionwithpatellartendonandhamstringgraft:aprospectiveclinicalinvestigation</t>
  </si>
  <si>
    <t>Gobbi+factorsaffectingreturntosportsafteranteriorcruciateligamentreconstructionwithpatellartendonandhamstringgraft:aprospectiveclinicalinvestigation+2006</t>
  </si>
  <si>
    <t>16452264</t>
  </si>
  <si>
    <t>Operative and nonoperative treatments of medial collateral ligament rupture with early anterior cruciate ligament reconstruction: a prospective randomized study</t>
  </si>
  <si>
    <t>Halinen J, Lindahl J, Hirvensalo E, Santavirta S.</t>
  </si>
  <si>
    <t>10.1177/0363546505284889</t>
  </si>
  <si>
    <t>Halinen</t>
  </si>
  <si>
    <t>operativeandnonoperativetreatmentsofmedialcollateralligamentrupturewithearlyanteriorcruciateligamentreconstruction:aprospectiverandomizedstudy</t>
  </si>
  <si>
    <t>Halinen+operativeandnonoperativetreatmentsofmedialcollateralligamentrupturewithearlyanteriorcruciateligamentreconstruction:aprospectiverandomizedstudy+2006</t>
  </si>
  <si>
    <t>16430676</t>
  </si>
  <si>
    <t>Post-operative use of knee brace in bone-tendon-bone patellar tendon anterior cruciate ligament reconstruction: 5-year follow-up results of a randomized prospective study</t>
  </si>
  <si>
    <t>Harilainen A, Sandelin J.</t>
  </si>
  <si>
    <t>10.1111/j.1600-0838.2004.00435.x</t>
  </si>
  <si>
    <t>postoperativeuseofkneebraceinbonetendonbonepatellartendonanteriorcruciateligamentreconstruction:5yearfollowupresultsofarandomizedprospectivestudy</t>
  </si>
  <si>
    <t>Harilainen+postoperativeuseofkneebraceinbonetendonbonepatellartendonanteriorcruciateligamentreconstruction:5yearfollowupresultsofarandomizedprospectivestudy+2006</t>
  </si>
  <si>
    <t>16292682</t>
  </si>
  <si>
    <t>A prospective comparison of bone-patellar tendon-bone and hamstring grafts for anterior cruciate ligament reconstruction in female patients</t>
  </si>
  <si>
    <t>Svensson M, Sernert N, Ejerhed L, Karlsson J, Kartus JT.</t>
  </si>
  <si>
    <t>10.1007/s00167-005-0708-8</t>
  </si>
  <si>
    <t>Svensson</t>
  </si>
  <si>
    <t>aprospectivecomparisonofbonepatellartendonboneandhamstringgraftsforanteriorcruciateligamentreconstructioninfemalepatients</t>
  </si>
  <si>
    <t>Svensson+aprospectivecomparisonofbonepatellartendonboneandhamstringgraftsforanteriorcruciateligamentreconstructioninfemalepatients+2006</t>
  </si>
  <si>
    <t>16282583</t>
  </si>
  <si>
    <t>A comparison of bone-patellar tendon-bone and bone-hamstring tendon-bone autografts for anterior cruciate ligament reconstruction</t>
  </si>
  <si>
    <t>Matsumoto A, Yoshiya S, Muratsu H, Yagi M, Iwasaki Y, Kurosaka M, Kuroda R.</t>
  </si>
  <si>
    <t>10.1177/0363546505279919</t>
  </si>
  <si>
    <t>Matsumoto</t>
  </si>
  <si>
    <t>acomparisonofbonepatellartendonboneandbonehamstringtendonboneautograftsforanteriorcruciateligamentreconstruction</t>
  </si>
  <si>
    <t>Matsumoto+acomparisonofbonepatellartendonboneandbonehamstringtendonboneautograftsforanteriorcruciateligamentreconstruction+2006</t>
  </si>
  <si>
    <t>16000666</t>
  </si>
  <si>
    <t>Endoscopic reconstruction of the anterior cruciate ligament using bone-patellar tendon-bone grafts fixed with bioabsorbable or metal interference screws: a prospective randomized study of the clinical outcome</t>
  </si>
  <si>
    <t>Drogset JO, Grøntvedt T, Tegnander A.</t>
  </si>
  <si>
    <t>10.1177/0363546504272264</t>
  </si>
  <si>
    <t>endoscopicreconstructionoftheanteriorcruciateligamentusingbonepatellartendonbonegraftsfixedwithbioabsorbableormetalinterferencescrews:aprospectiverandomizedstudyoftheclinicaloutcome</t>
  </si>
  <si>
    <t>Drogset+endoscopicreconstructionoftheanteriorcruciateligamentusingbonepatellartendonbonegraftsfixedwithbioabsorbableormetalinterferencescrews:aprospectiverandomizedstudyoftheclinicaloutcome+2005</t>
  </si>
  <si>
    <t>15800520</t>
  </si>
  <si>
    <t>Clinical evaluation of arthroscopically assisted anterior cruciate ligament reconstruction: patellar tendon versus gracilis and semitendinosus autograft</t>
  </si>
  <si>
    <t>Ibrahim SA, Al-Kussary IM, Al-Misfer AR, Al-Mutairi HQ, Ghafar SA, El Noor TA.</t>
  </si>
  <si>
    <t>10.1016/j.arthro.2004.12.002</t>
  </si>
  <si>
    <t>clinicalevaluationofarthroscopicallyassistedanteriorcruciateligamentreconstruction:patellartendonversusgracilisandsemitendinosusautograft</t>
  </si>
  <si>
    <t>Ibrahim+clinicalevaluationofarthroscopicallyassistedanteriorcruciateligamentreconstruction:patellartendonversusgracilisandsemitendinosusautograft+2005</t>
  </si>
  <si>
    <t>15716250</t>
  </si>
  <si>
    <t>Rehabilitation after anterior cruciate ligament reconstruction: a prospective, randomized, double-blind comparison of programs administered over 2 different time intervals</t>
  </si>
  <si>
    <t>Beynnon BD, Uh BS, Johnson RJ, Abate JA, Nichols CE, Fleming BC, Poole AR, Roos H.</t>
  </si>
  <si>
    <t>10.1177/0363546504268406</t>
  </si>
  <si>
    <t>Beynnon</t>
  </si>
  <si>
    <t>rehabilitationafteranteriorcruciateligamentreconstruction:aprospectiverandomizeddoubleblindcomparisonofprogramsadministeredover2differenttimeintervals</t>
  </si>
  <si>
    <t>Beynnon+rehabilitationafteranteriorcruciateligamentreconstruction:aprospectiverandomizeddoubleblindcomparisonofprogramsadministeredover2differenttimeintervals+2005</t>
  </si>
  <si>
    <t>15711494</t>
  </si>
  <si>
    <t>[Reliability of the KT-1000 arthrometer (Medmetric) for measuring anterior knee laxity: comparison with Telos in 147 knees]</t>
  </si>
  <si>
    <t>Boyer P, Djian P, Christel P, Paoletti X, Degeorges R.</t>
  </si>
  <si>
    <t>10.1016/s0035-1040(04)70756-4</t>
  </si>
  <si>
    <t>Boyer</t>
  </si>
  <si>
    <t>reliabilityofthekt1000arthrometer(medmetric)formeasuringanteriorkneelaxity:comparisonwithtelosin147knees</t>
  </si>
  <si>
    <t>Boyer+reliabilityofthekt1000arthrometer(medmetric)formeasuringanteriorkneelaxity:comparisonwithtelosin147knees+2004</t>
  </si>
  <si>
    <t>15689862</t>
  </si>
  <si>
    <t>A prospective randomized comparison of bioabsorbable and titanium anterior cruciate ligament interference screws</t>
  </si>
  <si>
    <t>Kaeding C, Farr J, Kavanaugh T, Pedroza A.</t>
  </si>
  <si>
    <t>10.1016/j.arthro.2004.09.012</t>
  </si>
  <si>
    <t>Kaeding</t>
  </si>
  <si>
    <t>aprospectiverandomizedcomparisonofbioabsorbableandtitaniumanteriorcruciateligamentinterferencescrews</t>
  </si>
  <si>
    <t>Kaeding+aprospectiverandomizedcomparisonofbioabsorbableandtitaniumanteriorcruciateligamentinterferencescrews+2005</t>
  </si>
  <si>
    <t>15650664</t>
  </si>
  <si>
    <t>A prospective randomized comparison of bone-patellar tendon-bone and hamstring grafts for anterior cruciate ligament reconstruction</t>
  </si>
  <si>
    <t>Laxdal G, Kartus J, Hansson L, Heidvall M, Ejerhed L, Karlsson J.</t>
  </si>
  <si>
    <t>10.1016/j.arthro.2004.09.014</t>
  </si>
  <si>
    <t>Laxdal</t>
  </si>
  <si>
    <t>aprospectiverandomizedcomparisonofbonepatellartendonboneandhamstringgraftsforanteriorcruciateligamentreconstruction</t>
  </si>
  <si>
    <t>Laxdal+aprospectiverandomizedcomparisonofbonepatellartendonboneandhamstringgraftsforanteriorcruciateligamentreconstruction+2005</t>
  </si>
  <si>
    <t>15611004</t>
  </si>
  <si>
    <t>The influence of supplementary tibial fixation on laxity measurements after anterior cruciate ligament reconstruction with hamstring tendons in female patients</t>
  </si>
  <si>
    <t>Hill PF, Russell VJ, Salmon LJ, Pinczewski LA.</t>
  </si>
  <si>
    <t>10.1177/0363546504268036</t>
  </si>
  <si>
    <t>Hill</t>
  </si>
  <si>
    <t>theinfluenceofsupplementarytibialfixationonlaxitymeasurementsafteranteriorcruciateligamentreconstructionwithhamstringtendonsinfemalepatients</t>
  </si>
  <si>
    <t>Hill+theinfluenceofsupplementarytibialfixationonlaxitymeasurementsafteranteriorcruciateligamentreconstructionwithhamstringtendonsinfemalepatients+2005</t>
  </si>
  <si>
    <t>15572316</t>
  </si>
  <si>
    <t>A prospectively randomized double-blind study on the effect of initial graft tension on knee stability after anterior cruciate ligament reconstruction</t>
  </si>
  <si>
    <t>Nicholas SJ, D'Amato MJ, Mullaney MJ, Tyler TF, Kolstad K, McHugh MP.</t>
  </si>
  <si>
    <t>10.1177/0363546504265924</t>
  </si>
  <si>
    <t>Nicholas</t>
  </si>
  <si>
    <t>aprospectivelyrandomizeddoubleblindstudyontheeffectofinitialgrafttensiononkneestabilityafteranteriorcruciateligamentreconstruction</t>
  </si>
  <si>
    <t>Nicholas+aprospectivelyrandomizeddoubleblindstudyontheeffectofinitialgrafttensiononkneestabilityafteranteriorcruciateligamentreconstruction+2004</t>
  </si>
  <si>
    <t>12897981</t>
  </si>
  <si>
    <t>Can a post-operative brace in slight hyperextension prevent extension deficit after anterior cruciate ligament reconstruction? A prospective randomised study</t>
  </si>
  <si>
    <t>Mikkelsen C, Cerulli G, Lorenzini M, Bergstrand G, Werner S.</t>
  </si>
  <si>
    <t>10.1007/s00167-003-0406-3</t>
  </si>
  <si>
    <t>Mikkelsen</t>
  </si>
  <si>
    <t>canapostoperativebraceinslighthyperextensionpreventextensiondeficitafteranteriorcruciateligamentreconstruction?aprospectiverandomisedstudy</t>
  </si>
  <si>
    <t>Mikkelsen+canapostoperativebraceinslighthyperextensionpreventextensiondeficitafteranteriorcruciateligamentreconstruction?aprospectiverandomisedstudy+2003</t>
  </si>
  <si>
    <t>12860546</t>
  </si>
  <si>
    <t>A randomized comparison of patellar tendon and hamstring tendon anterior cruciate ligament reconstruction</t>
  </si>
  <si>
    <t>Feller JA, Webster KE.</t>
  </si>
  <si>
    <t>10.1177/03635465030310041501</t>
  </si>
  <si>
    <t>Feller</t>
  </si>
  <si>
    <t>arandomizedcomparisonofpatellartendonandhamstringtendonanteriorcruciateligamentreconstruction</t>
  </si>
  <si>
    <t>Feller+arandomizedcomparisonofpatellartendonandhamstringtendonanteriorcruciateligamentreconstruction+2003</t>
  </si>
  <si>
    <t>12734710</t>
  </si>
  <si>
    <t>Reconstruction of acute anterior cruciate ligament injuries: a prospective, randomised study of 40 patients with 7-year follow-up. No advantage of synthetic augmentation compared to a traditional patellar tendon graft</t>
  </si>
  <si>
    <t>Muren O, Dahlstedt L, Dalén N.</t>
  </si>
  <si>
    <t>10.1007/s00402-002-0457-9</t>
  </si>
  <si>
    <t>Muren</t>
  </si>
  <si>
    <t>reconstructionofacuteanteriorcruciateligamentinjuries:aprospectiverandomisedstudyof40patientswith7yearfollowupnoadvantageofsyntheticaugmentationcomparedtoatraditionalpatellartendongraft</t>
  </si>
  <si>
    <t>Muren+reconstructionofacuteanteriorcruciateligamentinjuries:aprospectiverandomisedstudyof40patientswith7yearfollowupnoadvantageofsyntheticaugmentationcomparedtoatraditionalpatellartendongraft+2003</t>
  </si>
  <si>
    <t>12531752</t>
  </si>
  <si>
    <t>Patellar tendon or semitendinosus tendon autografts for anterior cruciate ligament reconstruction? A prospective randomized study with a two-year follow-up</t>
  </si>
  <si>
    <t>Ejerhed L, Kartus J, Sernert N, Köhler K, Karlsson J.</t>
  </si>
  <si>
    <t>10.1177/03635465030310011401</t>
  </si>
  <si>
    <t>patellartendonorsemitendinosustendonautograftsforanteriorcruciateligamentreconstruction?aprospectiverandomizedstudywithatwoyearfollowup</t>
  </si>
  <si>
    <t>Ejerhed+patellartendonorsemitendinosustendonautograftsforanteriorcruciateligamentreconstruction?aprospectiverandomizedstudywithatwoyearfollowup+2003</t>
  </si>
  <si>
    <t>12531751</t>
  </si>
  <si>
    <t>A prospective randomized study of patellar versus hamstring tendon autografts for anterior cruciate ligament reconstruction</t>
  </si>
  <si>
    <t>Jansson KA, Linko E, Sandelin J, Harilainen A.</t>
  </si>
  <si>
    <t>10.1177/03635465030310010501</t>
  </si>
  <si>
    <t>Jansson</t>
  </si>
  <si>
    <t>aprospectiverandomizedstudyofpatellarversushamstringtendonautograftsforanteriorcruciateligamentreconstruction</t>
  </si>
  <si>
    <t>Jansson+aprospectiverandomizedstudyofpatellarversushamstringtendonautograftsforanteriorcruciateligamentreconstruction+2003</t>
  </si>
  <si>
    <t>12435652</t>
  </si>
  <si>
    <t>Anterior cruciate ligament reconstruction with and without a ligament augmentation device : results at 8-Year follow-up</t>
  </si>
  <si>
    <t>Drogset JO, Grøntvedt T.</t>
  </si>
  <si>
    <t>10.1177/03635465020300061601</t>
  </si>
  <si>
    <t>anteriorcruciateligamentreconstructionwithandwithoutaligamentaugmentationdevice:resultsat8yearfollowup</t>
  </si>
  <si>
    <t>Drogset+anteriorcruciateligamentreconstructionwithandwithoutaligamentaugmentationdevice:resultsat8yearfollowup+2002</t>
  </si>
  <si>
    <t>12208905</t>
  </si>
  <si>
    <t>Anterior cruciate ligament replacement: comparison of bone-patellar tendon-bone grafts with two-strand hamstring grafts. A prospective, randomized study</t>
  </si>
  <si>
    <t>Beynnon BD, Johnson RJ, Fleming BC, Kannus P, Kaplan M, Samani J, Renström P.</t>
  </si>
  <si>
    <t>10.2106/00004623-200209000-00001</t>
  </si>
  <si>
    <t>anteriorcruciateligamentreplacement:comparisonofbonepatellartendonbonegraftswithtwostrandhamstringgraftsaprospectiverandomizedstudy</t>
  </si>
  <si>
    <t>Beynnon+anteriorcruciateligamentreplacement:comparisonofbonepatellartendonbonegraftswithtwostrandhamstringgraftsaprospectiverandomizedstudy+2002</t>
  </si>
  <si>
    <t>12130407</t>
  </si>
  <si>
    <t>A five-year comparison of patellar tendon versus four-strand hamstring tendon autograft for arthroscopic reconstruction of the anterior cruciate ligament</t>
  </si>
  <si>
    <t>Pinczewski LA, Deehan DJ, Salmon LJ, Russell VJ, Clingeleffer A.</t>
  </si>
  <si>
    <t>10.1177/03635465020300041201</t>
  </si>
  <si>
    <t>afiveyearcomparisonofpatellartendonversusfourstrandhamstringtendonautograftforarthroscopicreconstructionoftheanteriorcruciateligament</t>
  </si>
  <si>
    <t>Pinczewski+afiveyearcomparisonofpatellartendonversusfourstrandhamstringtendonautograftforarthroscopicreconstructionoftheanteriorcruciateligament+2002</t>
  </si>
  <si>
    <t>12121424</t>
  </si>
  <si>
    <t>Range of motion training in brace vs. plaster immobilization after anterior cruciate ligament reconstruction: a prospective randomized comparison with a 2-year follow-up</t>
  </si>
  <si>
    <t>Henriksson M, Rockborn P, Good L.</t>
  </si>
  <si>
    <t>10.1034/j.1600-0838.2002.120203.x</t>
  </si>
  <si>
    <t>Henriksson</t>
  </si>
  <si>
    <t>rangeofmotiontraininginbracevsplasterimmobilizationafteranteriorcruciateligamentreconstruction:aprospectiverandomizedcomparisonwitha2yearfollowup</t>
  </si>
  <si>
    <t>Henriksson+rangeofmotiontraininginbracevsplasterimmobilizationafteranteriorcruciateligamentreconstruction:aprospectiverandomizedcomparisonwitha2yearfollowup+2002</t>
  </si>
  <si>
    <t>11912091</t>
  </si>
  <si>
    <t>A prospective randomized comparison of patellar tendon versus semitendinosus and gracilis tendon autografts for anterior cruciate ligament reconstruction</t>
  </si>
  <si>
    <t>Shaieb MD, Kan DM, Chang SK, Marumoto JM, Richardson AB.</t>
  </si>
  <si>
    <t>10.1177/03635465020300021201</t>
  </si>
  <si>
    <t>Shaieb</t>
  </si>
  <si>
    <t>aprospectiverandomizedcomparisonofpatellartendonversussemitendinosusandgracilistendonautograftsforanteriorcruciateligamentreconstruction</t>
  </si>
  <si>
    <t>Shaieb+aprospectiverandomizedcomparisonofpatellartendonversussemitendinosusandgracilistendonautograftsforanteriorcruciateligamentreconstruction+2002</t>
  </si>
  <si>
    <t>11798992</t>
  </si>
  <si>
    <t>Single-versus two-incision technique in anterior cruciate ligament replacement: influence on postoperative muscle function</t>
  </si>
  <si>
    <t>Hess T, Duchow J, Roland S, Kohn D.</t>
  </si>
  <si>
    <t>10.1177/03635465020300011801</t>
  </si>
  <si>
    <t>Hess</t>
  </si>
  <si>
    <t>singleversustwoincisiontechniqueinanteriorcruciateligamentreplacement:influenceonpostoperativemusclefunction</t>
  </si>
  <si>
    <t>Hess+singleversustwoincisiontechniqueinanteriorcruciateligamentreplacement:influenceonpostoperativemusclefunction+2002</t>
  </si>
  <si>
    <t>11734484</t>
  </si>
  <si>
    <t>Four-strand hamstring tendon autograft compared with patellar tendon-bone autograft for anterior cruciate ligament reconstruction. A randomized study with two-year follow-up</t>
  </si>
  <si>
    <t>Aune AK, Holm I, Risberg MA, Jensen HK, Steen H.</t>
  </si>
  <si>
    <t>10.1177/03635465010290060901</t>
  </si>
  <si>
    <t>Aune</t>
  </si>
  <si>
    <t>fourstrandhamstringtendonautograftcomparedwithpatellartendonboneautograftforanteriorcruciateligamentreconstructionarandomizedstudywithtwoyearfollowup</t>
  </si>
  <si>
    <t>Aune+fourstrandhamstringtendonautograftcomparedwithpatellartendonboneautograftforanteriorcruciateligamentreconstructionarandomizedstudywithtwoyearfollowup+2001</t>
  </si>
  <si>
    <t>11685356</t>
  </si>
  <si>
    <t>Early post-operative morbidity following anterior cruciate ligament reconstruction: patellar tendon versus hamstring graft</t>
  </si>
  <si>
    <t>Feller JA, Webster KE, Gavin B.</t>
  </si>
  <si>
    <t>10.1007/s001670100216</t>
  </si>
  <si>
    <t>earlypostoperativemorbidityfollowinganteriorcruciateligamentreconstruction:patellartendonversushamstringgraft</t>
  </si>
  <si>
    <t>Feller+earlypostoperativemorbidityfollowinganteriorcruciateligamentreconstruction:patellartendonversushamstringgraft+2001</t>
  </si>
  <si>
    <t>11536090</t>
  </si>
  <si>
    <t>Transcondylar screw fixation in anterior cruciate ligament reconstruction</t>
  </si>
  <si>
    <t>Mariani PP, Camillieri G, Margheritini F.</t>
  </si>
  <si>
    <t>10.1053/jars.2001.25277</t>
  </si>
  <si>
    <t>Mariani</t>
  </si>
  <si>
    <t>transcondylarscrewfixationinanteriorcruciateligamentreconstruction</t>
  </si>
  <si>
    <t>Mariani+transcondylarscrewfixationinanteriorcruciateligamentreconstruction+2001</t>
  </si>
  <si>
    <t>11394593</t>
  </si>
  <si>
    <t>Anterior cruciate ligament reconstruction. A prospective randomized study of three surgical methods</t>
  </si>
  <si>
    <t>Anderson AF, Snyder RB, Lipscomb AB Jr.</t>
  </si>
  <si>
    <t>10.1177/03635465010290030201</t>
  </si>
  <si>
    <t>anteriorcruciateligamentreconstructionaprospectiverandomizedstudyofthreesurgicalmethods</t>
  </si>
  <si>
    <t>Anderson+anteriorcruciateligamentreconstructionaprospectiverandomizedstudyofthreesurgicalmethods+2001</t>
  </si>
  <si>
    <t>11341418</t>
  </si>
  <si>
    <t>A comparison of quadruple semitendinosus and patellar tendon grafts in reconstruction of the anterior cruciate ligament</t>
  </si>
  <si>
    <t>Eriksson K, Anderberg P, Hamberg P, Löfgren AC, Bredenberg M, Westman I, Wredmark T.</t>
  </si>
  <si>
    <t>10.1302/0301-620x.83b3.11685</t>
  </si>
  <si>
    <t>Eriksson</t>
  </si>
  <si>
    <t>acomparisonofquadruplesemitendinosusandpatellartendongraftsinreconstructionoftheanteriorcruciateligament</t>
  </si>
  <si>
    <t>Eriksson+acomparisonofquadruplesemitendinosusandpatellartendongraftsinreconstructionoftheanteriorcruciateligament+2001</t>
  </si>
  <si>
    <t>11032219</t>
  </si>
  <si>
    <t>Primary anterior cruciate ligament reconstruction using the contralateral autogenous patellar tendon</t>
  </si>
  <si>
    <t>Shelbourne KD, Urch SE.</t>
  </si>
  <si>
    <t>10.1177/03635465000280050501</t>
  </si>
  <si>
    <t>Shelbourne</t>
  </si>
  <si>
    <t>primaryanteriorcruciateligamentreconstructionusingthecontralateralautogenouspatellartendon</t>
  </si>
  <si>
    <t>Shelbourne+primaryanteriorcruciateligamentreconstructionusingthecontralateralautogenouspatellartendon+2000</t>
  </si>
  <si>
    <t>10925649</t>
  </si>
  <si>
    <t>[Transplant fixation by anterior cruciate ligament reconstruction. Metal vs. bioabsorbable polyglyconate interference screw. A prospective randomized study of 40 patients]</t>
  </si>
  <si>
    <t>Hackl W, Fink C, Benedetto KP, Hoser C.</t>
  </si>
  <si>
    <t>10.1007/s001130050567</t>
  </si>
  <si>
    <t>Hackl</t>
  </si>
  <si>
    <t>transplantfixationbyanteriorcruciateligamentreconstructionmetalvsbioabsorbablepolyglyconateinterferencescrewaprospectiverandomizedstudyof40patients</t>
  </si>
  <si>
    <t>Hackl+transplantfixationbyanteriorcruciateligamentreconstructionmetalvsbioabsorbablepolyglyconateinterferencescrewaprospectiverandomizedstudyof40patients+2000</t>
  </si>
  <si>
    <t>10525698</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</si>
  <si>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</si>
  <si>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</si>
  <si>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10.1007/s001670050166</t>
  </si>
  <si>
    <t>bonetunnelenlargementafteranteriorcruciateligamentreconstructionwiththehamstringautograftandendobuttonfixationtechniqueaclinicalradiographicandmagneticresonanceimagingstudywith2yearsfollowup</t>
  </si>
  <si>
    <t>Jansson+bonetunnelenlargementafteranteriorcruciateligamentreconstructionwiththehamstringautograftandendobuttonfixationtechniqueaclinicalradiographicandmagneticresonanceimagingstudywith2yearsfollowup+1999</t>
  </si>
  <si>
    <t>10424549</t>
  </si>
  <si>
    <t>Bioabsorbable interference screws for graft fixation in anterior cruciate ligament reconstruction</t>
  </si>
  <si>
    <t>McGuire DA, Barber FA, Elrod BF, Paulos LE.</t>
  </si>
  <si>
    <t>10.1053/ar.1999.v15.015046001</t>
  </si>
  <si>
    <t>McGuire</t>
  </si>
  <si>
    <t>bioabsorbableinterferencescrewsforgraftfixationinanteriorcruciateligamentreconstruction</t>
  </si>
  <si>
    <t>McGuire+bioabsorbableinterferencescrewsforgraftfixationinanteriorcruciateligamentreconstruction+1999</t>
  </si>
  <si>
    <t>9604189</t>
  </si>
  <si>
    <t>Arthroscopic intra- and extra-articular anterior cruciate ligament reconstruction with gracilis and semitendinosus tendons</t>
  </si>
  <si>
    <t>Marcacci M, Zaffagnini S, Iacono F, Neri MP, Loreti I, Petitto A.</t>
  </si>
  <si>
    <t>10.1007/s001670050075</t>
  </si>
  <si>
    <t>arthroscopicintraandextraarticularanteriorcruciateligamentreconstructionwithgracilisandsemitendinosustendons</t>
  </si>
  <si>
    <t>Marcacci+arthroscopicintraandextraarticularanteriorcruciateligamentreconstructionwithgracilisandsemitendinosustendons+1998</t>
  </si>
  <si>
    <t>9127846</t>
  </si>
  <si>
    <t>Use of an extension-assisting brace following anterior cruciate ligament reconstruction</t>
  </si>
  <si>
    <t>Feller J, Bartlett J, Chapman S, Delahunt M.</t>
  </si>
  <si>
    <t>10.1007/s001670050016</t>
  </si>
  <si>
    <t>useofanextensionassistingbracefollowinganteriorcruciateligamentreconstruction</t>
  </si>
  <si>
    <t>Feller+useofanextensionassistingbracefollowinganteriorcruciateligamentreconstruction+1997</t>
  </si>
  <si>
    <t>8947399</t>
  </si>
  <si>
    <t>Proprioception in anterior cruciate ligament-deficient and reconstructed knees</t>
  </si>
  <si>
    <t>MacDonald PB, Hedden D, Pacin O, Sutherland K.</t>
  </si>
  <si>
    <t>10.1177/036354659602400612</t>
  </si>
  <si>
    <t>proprioceptioninanteriorcruciateligamentdeficientandreconstructedknees</t>
  </si>
  <si>
    <t>MacDonald+proprioceptioninanteriorcruciateligamentdeficientandreconstructedknees+1996</t>
  </si>
  <si>
    <t>40834676</t>
  </si>
  <si>
    <t>Prospective, randomized study comparing clinical outcomes when reconstructing ACL with either semitendinosus autograft or the Jewel synthetic standalone device in two separate patient cohorts</t>
  </si>
  <si>
    <t>Kentel M, Krupa S, Reichert P, Korolczuk K, Kentel M, Kentel K, Daszkiewicz M.</t>
  </si>
  <si>
    <t>10.1016/j.knee.2025.07.024</t>
  </si>
  <si>
    <t>Kentel</t>
  </si>
  <si>
    <t>prospectiverandomizedstudycomparingclinicaloutcomeswhenreconstructingaclwitheithersemitendinosusautograftorthejewelsyntheticstandalonedeviceintwoseparatepatientcohorts</t>
  </si>
  <si>
    <t>Kentel+prospectiverandomizedstudycomparingclinicaloutcomeswhenreconstructingaclwitheithersemitendinosusautograftorthejewelsyntheticstandalonedeviceintwoseparatepatientcohorts+2025</t>
  </si>
  <si>
    <t>40476596</t>
  </si>
  <si>
    <t>Comparable Mid- to Long-term Outcomes of Semitendinosus and Semitendinosus/Gracilis Grafts in ACL Reconstruction: Median 8-Year (Range, 5-10 Years) Results From a Randomized Controlled Study</t>
  </si>
  <si>
    <t>Mo IF, Harlem T, Faleide AGH, Strand T, Vindfeld S, Solheim E, Randsborg PH, Inderhaug E.</t>
  </si>
  <si>
    <t>10.1177/03635465251344106</t>
  </si>
  <si>
    <t>Mo</t>
  </si>
  <si>
    <t>comparablemidtolongtermoutcomesofsemitendinosusandsemitendinosus/gracilisgraftsinaclreconstruction:median8year(range510years)resultsfromarandomizedcontrolledstudy</t>
  </si>
  <si>
    <t>Mo+comparablemidtolongtermoutcomesofsemitendinosusandsemitendinosus/gracilisgraftsinaclreconstruction:median8year(range510years)resultsfromarandomizedcontrolledstudy+2025</t>
  </si>
  <si>
    <t>40351242</t>
  </si>
  <si>
    <t>A semitendinosus with adjustable button graft construct in patients undergoing hamstring ACL reconstruction results in improved knee flexor strength symmetry and less donor site pain and morbidity: Outcomes from the DOSTAR randomized controlled trial</t>
  </si>
  <si>
    <t>Lawless AM, Ebert JR, Edwards PK, Malik SS, Davies PSE, D'Alessandro PA.</t>
  </si>
  <si>
    <t>10.1002/ksa.12698</t>
  </si>
  <si>
    <t>Lawless</t>
  </si>
  <si>
    <t>asemitendinosuswithadjustablebuttongraftconstructinpatientsundergoinghamstringaclreconstructionresultsinimprovedkneeflexorstrengthsymmetryandlessdonorsitepainandmorbidity:outcomesfromthedostarrandomizedcontrolledtrial</t>
  </si>
  <si>
    <t>Lawless+asemitendinosuswithadjustablebuttongraftconstructinpatientsundergoinghamstringaclreconstructionresultsinimprovedkneeflexorstrengthsymmetryandlessdonorsitepainandmorbidity:outcomesfromthedostarrandomizedcontrolledtrial+2026</t>
  </si>
  <si>
    <t>39947195</t>
  </si>
  <si>
    <t>Evaluation of the Application of BOth Sides Up Ball Training Combined With Resistance Training in Joint Stability Improvement Following Anterior Cruciate Ligament Reconstruction Surgery in Teenage Athletes</t>
  </si>
  <si>
    <t>Cao X, Liu J, Zhao J, Feng S, Zhao Z.</t>
  </si>
  <si>
    <t>J Sport Rehabil</t>
  </si>
  <si>
    <t>10.1123/jsr.2024-0160</t>
  </si>
  <si>
    <t>Cao</t>
  </si>
  <si>
    <t>evaluationoftheapplicationofbothsidesupballtrainingcombinedwithresistancetraininginjointstabilityimprovementfollowinganteriorcruciateligamentreconstructionsurgeryinteenageathletes</t>
  </si>
  <si>
    <t>Cao+evaluationoftheapplicationofbothsidesupballtrainingcombinedwithresistancetraininginjointstabilityimprovementfollowinganteriorcruciateligamentreconstructionsurgeryinteenageathletes+2025</t>
  </si>
  <si>
    <t>39810716</t>
  </si>
  <si>
    <t>Kneeling tolerance when using quadriceps tendon autograft for anterior cruciate ligament reconstruction is superior to hamstring tendon autograft</t>
  </si>
  <si>
    <t>Calvert ND, Ebert JR, Radic R.</t>
  </si>
  <si>
    <t>10.1002/ksa.12583</t>
  </si>
  <si>
    <t>Calvert</t>
  </si>
  <si>
    <t>kneelingtolerancewhenusingquadricepstendonautograftforanteriorcruciateligamentreconstructionissuperiortohamstringtendonautograft</t>
  </si>
  <si>
    <t>Calvert+kneelingtolerancewhenusingquadricepstendonautograftforanteriorcruciateligamentreconstructionissuperiortohamstringtendonautograft+2025</t>
  </si>
  <si>
    <t>39714511</t>
  </si>
  <si>
    <t>5-years outcomes following arthroscopic anterior cruciate ligament reconstruction comparing quadruple hamstring and peroneus longus tendon autografts: a randomized control trial</t>
  </si>
  <si>
    <t>Butt U, Vuletic F, Shaikh MAA, Amanullah, Rehman GU, Shah IA, Stålman A, Khan ZA.</t>
  </si>
  <si>
    <t>10.1007/s00402-024-05639-1</t>
  </si>
  <si>
    <t>Butt</t>
  </si>
  <si>
    <t>5yearsoutcomesfollowingarthroscopicanteriorcruciateligamentreconstructioncomparingquadruplehamstringandperoneuslongustendonautografts:arandomizedcontroltrial</t>
  </si>
  <si>
    <t>Butt+5yearsoutcomesfollowingarthroscopicanteriorcruciateligamentreconstructioncomparingquadruplehamstringandperoneuslongustendonautografts:arandomizedcontroltrial+2024</t>
  </si>
  <si>
    <t>39526870</t>
  </si>
  <si>
    <t>Early versus delayed start of weight-bearing after arthroscopic anterior cruciate ligament reconstruction with hamstring tendons</t>
  </si>
  <si>
    <t>Yang X, Li Y, He C, Jin T, Huang Y.</t>
  </si>
  <si>
    <t>J Sports Med Phys Fitness</t>
  </si>
  <si>
    <t>10.23736/S0022-4707.24.16134-8</t>
  </si>
  <si>
    <t>Yang</t>
  </si>
  <si>
    <t>earlyversusdelayedstartofweightbearingafterarthroscopicanteriorcruciateligamentreconstructionwithhamstringtendons</t>
  </si>
  <si>
    <t>Yang+earlyversusdelayedstartofweightbearingafterarthroscopicanteriorcruciateligamentreconstructionwithhamstringtendons+2025</t>
  </si>
  <si>
    <t>39343075</t>
  </si>
  <si>
    <t>Medial Collateral Ligament Repair, Isolated Suture-Tape-Bracing and No Repair for Grade III Medial Collateral Ligament Tears During Anterior Cruciate Ligament Reconstruction Have Similar Outcome for Combined Anterior Cruciate Ligament With Medial Collateral Ligament Injury: A 3-Arm Randomized Controlled Trial</t>
  </si>
  <si>
    <t>Ramakanth R, Sundararajan SR, Sujith BSG, D'Souza T, Arumugam P, Rajasekaran S.</t>
  </si>
  <si>
    <t>10.1016/j.arthro.2024.09.023</t>
  </si>
  <si>
    <t>Ramakanth</t>
  </si>
  <si>
    <t>medialcollateralligamentrepairisolatedsuturetapebracingandnorepairforgradeiiimedialcollateralligamenttearsduringanteriorcruciateligamentreconstructionhavesimilaroutcomeforcombinedanteriorcruciateligamentwithmedialcollateralligamentinjury:a3armrandomizedcontrolledtrial</t>
  </si>
  <si>
    <t>Ramakanth+medialcollateralligamentrepairisolatedsuturetapebracingandnorepairforgradeiiimedialcollateralligamenttearsduringanteriorcruciateligamentreconstructionhavesimilaroutcomeforcombinedanteriorcruciateligamentwithmedialcollateralligamentinjury:a3armrandomizedcontrolledtrial+2025</t>
  </si>
  <si>
    <t>38845474</t>
  </si>
  <si>
    <t>ACL Reconstruction Using Quadrupled Semitendinosus Versus Double-Stranded Semitendinosus and Gracilis Autograft: 2-Year Results From a Prospective Randomized Controlled Study</t>
  </si>
  <si>
    <t>Mo IF, Harlem T, Faleide AGH, Strand T, Vindfeld S, Solheim E, Inderhaug E.</t>
  </si>
  <si>
    <t>10.1177/03635465241254048</t>
  </si>
  <si>
    <t>aclreconstructionusingquadrupledsemitendinosusversusdoublestrandedsemitendinosusandgracilisautograft:2yearresultsfromaprospectiverandomizedcontrolledstudy</t>
  </si>
  <si>
    <t>Mo+aclreconstructionusingquadrupledsemitendinosusversusdoublestrandedsemitendinosusandgracilisautograft:2yearresultsfromaprospectiverandomizedcontrolledstudy+2024</t>
  </si>
  <si>
    <t>38752242</t>
  </si>
  <si>
    <t>[Early effectiveness of local injection of multimodal drug cocktail during anterior cruciate ligament reconstruction and its influence on cartilage]</t>
  </si>
  <si>
    <t>Yu H, Dong Z, Shi Z, Li L, Dong K, Liu H, Li Y.</t>
  </si>
  <si>
    <t>Zhongguo Xiu Fu Chong Jian Wai Ke Za Zhi</t>
  </si>
  <si>
    <t>10.7507/1002-1892.202402054</t>
  </si>
  <si>
    <t>Yu</t>
  </si>
  <si>
    <t>earlyeffectivenessoflocalinjectionofmultimodaldrugcocktailduringanteriorcruciateligamentreconstructionanditsinfluenceoncartilage</t>
  </si>
  <si>
    <t>Yu+earlyeffectivenessoflocalinjectionofmultimodaldrugcocktailduringanteriorcruciateligamentreconstructionanditsinfluenceoncartilage+2024</t>
  </si>
  <si>
    <t>38284303</t>
  </si>
  <si>
    <t>A Prospective Randomized Controlled Trial Investigating Quadriceps Versus Hamstring Tendon Autograft in Anterior Cruciate Ligament Reconstruction</t>
  </si>
  <si>
    <t>Ebert JR, Calvert ND, Radic R.</t>
  </si>
  <si>
    <t>10.1177/03635465231222279</t>
  </si>
  <si>
    <t>Ebert</t>
  </si>
  <si>
    <t>aprospectiverandomizedcontrolledtrialinvestigatingquadricepsversushamstringtendonautograftinanteriorcruciateligamentreconstruction</t>
  </si>
  <si>
    <t>Ebert+aprospectiverandomizedcontrolledtrialinvestigatingquadricepsversushamstringtendonautograftinanteriorcruciateligamentreconstruction+2024</t>
  </si>
  <si>
    <t>38066516</t>
  </si>
  <si>
    <t>Two-stage ligament reconstruction with remnant preservation as treatment of knee dislocation</t>
  </si>
  <si>
    <t>Ma W, Yang Y, Ha X.</t>
  </si>
  <si>
    <t>BMC Surg</t>
  </si>
  <si>
    <t>10.1186/s12893-023-02271-5</t>
  </si>
  <si>
    <t>Ma</t>
  </si>
  <si>
    <t>twostageligamentreconstructionwithremnantpreservationastreatmentofkneedislocation</t>
  </si>
  <si>
    <t>Ma+twostageligamentreconstructionwithremnantpreservationastreatmentofkneedislocation+2023</t>
  </si>
  <si>
    <t>37923738</t>
  </si>
  <si>
    <t>Nordic hamstring exercises in functional knee rehabilitation after anterior cruciate ligament reconstruction: a prospective, randomised, controlled study</t>
  </si>
  <si>
    <t>Chen J, Wu T, Guo Y.</t>
  </si>
  <si>
    <t>Sci Rep</t>
  </si>
  <si>
    <t>10.1038/s41598-023-45817-6</t>
  </si>
  <si>
    <t>nordichamstringexercisesinfunctionalkneerehabilitationafteranteriorcruciateligamentreconstruction:aprospectiverandomisedcontrolledstudy</t>
  </si>
  <si>
    <t>Chen+nordichamstringexercisesinfunctionalkneerehabilitationafteranteriorcruciateligamentreconstruction:aprospectiverandomisedcontrolledstudy+2023</t>
  </si>
  <si>
    <t>37873691</t>
  </si>
  <si>
    <t>Increased posterior tibial slope is an independent risk factor of anterior cruciate ligament reconstruction graft rupture irrespective of graft choice</t>
  </si>
  <si>
    <t>Cruz CA, Mannino BJ, Pike A, Thoma D, Lindell K, Kerbel YE, McCadden A, Lopez AJ, Bottoni CR.</t>
  </si>
  <si>
    <t>10.1016/j.jisako.2022.04.002</t>
  </si>
  <si>
    <t>Cruz</t>
  </si>
  <si>
    <t>increasedposteriortibialslopeisanindependentriskfactorofanteriorcruciateligamentreconstructiongraftruptureirrespectiveofgraftchoice</t>
  </si>
  <si>
    <t>Cruz+increasedposteriortibialslopeisanindependentriskfactorofanteriorcruciateligamentreconstructiongraftruptureirrespectiveofgraftchoice+2022</t>
  </si>
  <si>
    <t>37468645</t>
  </si>
  <si>
    <t>A prospective randomized controlled study of hamstring and bone-free quadriceps tendons autografts in arthroscopic ACL reconstruction</t>
  </si>
  <si>
    <t>Tang N, Eren M, Gurpinar T, Ozturkmen Y.</t>
  </si>
  <si>
    <t>10.1007/s00590-023-03636-5</t>
  </si>
  <si>
    <t>Tang</t>
  </si>
  <si>
    <t>aprospectiverandomizedcontrolledstudyofhamstringandbonefreequadricepstendonsautograftsinarthroscopicaclreconstruction</t>
  </si>
  <si>
    <t>Tang+aprospectiverandomizedcontrolledstudyofhamstringandbonefreequadricepstendonsautograftsinarthroscopicaclreconstruction+2024</t>
  </si>
  <si>
    <t>37270112</t>
  </si>
  <si>
    <t>Anterior Cruciate Ligament Reconstruction Plus Lateral Extra-articular Tenodesis Has a Similar Return-to-Sport Rate to Anterior Cruciate Ligament Reconstruction Alone but a Lower Failure Rate</t>
  </si>
  <si>
    <t>Rezansoff A, Firth AD, Bryant DM, Litchfield R, McCormack RG, Heard M, MacDonald PB, Spalding T, Verdonk PCM, Peterson D, Bardana D; STABILITY Study Group; Getgood AMJ.</t>
  </si>
  <si>
    <t>10.1016/j.arthro.2023.05.019</t>
  </si>
  <si>
    <t>Rezansoff</t>
  </si>
  <si>
    <t>anteriorcruciateligamentreconstructionpluslateralextraarticulartenodesishasasimilarreturntosportratetoanteriorcruciateligamentreconstructionalonebutalowerfailurerate</t>
  </si>
  <si>
    <t>Rezansoff+anteriorcruciateligamentreconstructionpluslateralextraarticulartenodesishasasimilarreturntosportratetoanteriorcruciateligamentreconstructionalonebutalowerfailurerate+2024</t>
  </si>
  <si>
    <t>36988698</t>
  </si>
  <si>
    <t>Evaluation the results of anterior cruciate ligament reconstruction with or without using antibiotic solution during graft preparation</t>
  </si>
  <si>
    <t>Mousavi SH, Radi M, Kazemi D, Izadpanah F, Shahrouzian A.</t>
  </si>
  <si>
    <t>10.1007/s00590-023-03522-0</t>
  </si>
  <si>
    <t>Mousavi</t>
  </si>
  <si>
    <t>evaluationtheresultsofanteriorcruciateligamentreconstructionwithorwithoutusingantibioticsolutionduringgraftpreparation</t>
  </si>
  <si>
    <t>Mousavi+evaluationtheresultsofanteriorcruciateligamentreconstructionwithorwithoutusingantibioticsolutionduringgraftpreparation+2023</t>
  </si>
  <si>
    <t>36935576</t>
  </si>
  <si>
    <t>Female Athletes With Better Psychological Readiness Are at Higher Risk for Second ACL Injury After Primary ACL Reconstruction</t>
  </si>
  <si>
    <t>Zarzycki R, Cummer K, Arhos E, Failla M, Capin JJ, Smith AH, Snyder-Mackler L.</t>
  </si>
  <si>
    <t>Sports Health</t>
  </si>
  <si>
    <t>10.1177/19417381231155120</t>
  </si>
  <si>
    <t>Zarzycki</t>
  </si>
  <si>
    <t>femaleathleteswithbetterpsychologicalreadinessareathigherriskforsecondaclinjuryafterprimaryaclreconstruction</t>
  </si>
  <si>
    <t>Zarzycki+femaleathleteswithbetterpsychologicalreadinessareathigherriskforsecondaclinjuryafterprimaryaclreconstruction+2024</t>
  </si>
  <si>
    <t>36856280</t>
  </si>
  <si>
    <t>Anterior Cruciate Ligament Reconstruction Using a 4-Strand Semitendinosus Tendon Graft or a Doubled Semitendinosus and Gracilis Tendon Graft: A 4.5-Year Prospective, Randomized, Double-Blind, Parallel-Group Study</t>
  </si>
  <si>
    <t>Kuliński K, Waśko MK, Tramś E, Malesa K, Pomianowski S, Kamiński R.</t>
  </si>
  <si>
    <t>10.1177/03635465221149738</t>
  </si>
  <si>
    <t>Kuliński</t>
  </si>
  <si>
    <t>anteriorcruciateligamentreconstructionusinga4strandsemitendinosustendongraftoradoubledsemitendinosusandgracilistendongraft:a45yearprospectiverandomizeddoubleblindparallelgroupstudy</t>
  </si>
  <si>
    <t>Kuliński+anteriorcruciateligamentreconstructionusinga4strandsemitendinosustendongraftoradoubledsemitendinosusandgracilistendongraft:a45yearprospectiverandomizeddoubleblindparallelgroupstudy+2023</t>
  </si>
  <si>
    <t>36720663</t>
  </si>
  <si>
    <t>A comparison of the outcomes of anterior curciate ligament reconstruction with large-size graft versus reconstruction with average-size graft combined with extraarticular tenodesis</t>
  </si>
  <si>
    <t>El-Azab H, Moursy M, Mohamed MA, Elsayed M.</t>
  </si>
  <si>
    <t>10.1016/j.injury.2023.01.033</t>
  </si>
  <si>
    <t>El-Azab</t>
  </si>
  <si>
    <t>acomparisonoftheoutcomesofanteriorcurciateligamentreconstructionwithlargesizegraftversusreconstructionwithaveragesizegraftcombinedwithextraarticulartenodesis</t>
  </si>
  <si>
    <t>El-Azab+acomparisonoftheoutcomesofanteriorcurciateligamentreconstructionwithlargesizegraftversusreconstructionwithaveragesizegraftcombinedwithextraarticulartenodesis+2023</t>
  </si>
  <si>
    <t>36646169</t>
  </si>
  <si>
    <t>No increase in adverse events with lateral extra-articular tenodesis augmentation of anterior cruciate ligament reconstruction - Results from the stability randomized trial</t>
  </si>
  <si>
    <t>Heard M, Marmura H, Bryant D, Litchfield R, McCormack R, MacDonald P, Spalding T, Verdonk P, Peterson D, Bardana D, Rezansoff A; STABILITY Study Group; Getgood A.</t>
  </si>
  <si>
    <t>10.1016/j.jisako.2022.12.001</t>
  </si>
  <si>
    <t>Heard</t>
  </si>
  <si>
    <t>noincreaseinadverseeventswithlateralextraarticulartenodesisaugmentationofanteriorcruciateligamentreconstructionresultsfromthestabilityrandomizedtrial</t>
  </si>
  <si>
    <t>Heard+noincreaseinadverseeventswithlateralextraarticulartenodesisaugmentationofanteriorcruciateligamentreconstructionresultsfromthestabilityrandomizedtrial+2023</t>
  </si>
  <si>
    <t>36190389</t>
  </si>
  <si>
    <t>Comparison of Quadriceps and Hamstring Muscle Strength after Exercises with and without Blood Flow Restriction following Anterior Cruciate Ligament Surgery: A Randomized Controlled Trial</t>
  </si>
  <si>
    <t>Vieira de Melo RF, Komatsu WR, Freitas MS, Vieira de Melo ME, Cohen M.</t>
  </si>
  <si>
    <t>J Rehabil Med</t>
  </si>
  <si>
    <t>10.2340/jrm.v54.2550</t>
  </si>
  <si>
    <t>Vieira</t>
  </si>
  <si>
    <t>comparisonofquadricepsandhamstringmusclestrengthafterexerciseswithandwithoutbloodflowrestrictionfollowinganteriorcruciateligamentsurgery:arandomizedcontrolledtrial</t>
  </si>
  <si>
    <t>Vieira+comparisonofquadricepsandhamstringmusclestrengthafterexerciseswithandwithoutbloodflowrestrictionfollowinganteriorcruciateligamentsurgery:arandomizedcontrolledtrial+2022</t>
  </si>
  <si>
    <t>36005281</t>
  </si>
  <si>
    <t>Comparable Instrumented Knee Joint Laxity and Patient-Reported Outcomes After ACL Repair With Dynamic Intraligamentary Stabilization or ACL Reconstruction: 5-Year Results of a Randomized Controlled Trial</t>
  </si>
  <si>
    <t>Glasbrenner J, Raschke MJ, Kittl C, Herbst E, Peez C, Briese T, Michel PA, Herbort M, Kösters C, Schliemann B.</t>
  </si>
  <si>
    <t>10.1177/03635465221117777</t>
  </si>
  <si>
    <t>Glasbrenner</t>
  </si>
  <si>
    <t>comparableinstrumentedkneejointlaxityandpatientreportedoutcomesafteraclrepairwithdynamicintraligamentarystabilizationoraclreconstruction:5yearresultsofarandomizedcontrolledtrial</t>
  </si>
  <si>
    <t>Glasbrenner+comparableinstrumentedkneejointlaxityandpatientreportedoutcomesafteraclrepairwithdynamicintraligamentarystabilizationoraclreconstruction:5yearresultsofarandomizedcontrolledtrial+2022</t>
  </si>
  <si>
    <t>35507037</t>
  </si>
  <si>
    <t>No differences found in long-term outcomes of a randomized controlled trial comparing ipsilateral versus contralateral hamstring graft in ACL reconstruction</t>
  </si>
  <si>
    <t>Beaudoin A, Ogborn D, McRae S, Larose G, Brown H, McCormack R, MacDonald P.</t>
  </si>
  <si>
    <t>10.1007/s00167-022-06980-x</t>
  </si>
  <si>
    <t>Beaudoin</t>
  </si>
  <si>
    <t>nodifferencesfoundinlongtermoutcomesofarandomizedcontrolledtrialcomparingipsilateralversuscontralateralhamstringgraftinaclreconstruction</t>
  </si>
  <si>
    <t>Beaudoin+nodifferencesfoundinlongtermoutcomesofarandomizedcontrolledtrialcomparingipsilateralversuscontralateralhamstringgraftinaclreconstruction+2022</t>
  </si>
  <si>
    <t>34348704</t>
  </si>
  <si>
    <t>Immediate and 6-week effects of wearing a knee sleeve following anterior cruciate ligament reconstruction: a cross-over laboratory and randomised clinical trial</t>
  </si>
  <si>
    <t>Sole G, Lamb P, Pataky T, Klima S, Navarre P, Hammer N.</t>
  </si>
  <si>
    <t>10.1186/s12891-021-04540-x</t>
  </si>
  <si>
    <t>Sole</t>
  </si>
  <si>
    <t>immediateand6weekeffectsofwearingakneesleevefollowinganteriorcruciateligamentreconstruction:acrossoverlaboratoryandrandomisedclinicaltrial</t>
  </si>
  <si>
    <t>Sole+immediateand6weekeffectsofwearingakneesleevefollowinganteriorcruciateligamentreconstruction:acrossoverlaboratoryandrandomisedclinicaltrial+2021</t>
  </si>
  <si>
    <t>33742222</t>
  </si>
  <si>
    <t>Quadriceps and hamstring tendon autografts in ACL reconstruction yield comparably good results in a prospective, randomized controlled trial</t>
  </si>
  <si>
    <t>Horstmann H, Petri M, Tegtbur U, Felmet G, Krettek C, Jagodzinski M.</t>
  </si>
  <si>
    <t>10.1007/s00402-021-03862-8</t>
  </si>
  <si>
    <t>Horstmann</t>
  </si>
  <si>
    <t>quadricepsandhamstringtendonautograftsinaclreconstructionyieldcomparablygoodresultsinaprospectiverandomizedcontrolledtrial</t>
  </si>
  <si>
    <t>Horstmann+quadricepsandhamstringtendonautograftsinaclreconstructionyieldcomparablygoodresultsinaprospectiverandomizedcontrolledtrial+2022</t>
  </si>
  <si>
    <t>33634332</t>
  </si>
  <si>
    <t>Original study: early patient-reported functional outcome of all-inside ACL reconstruction as compared to anteromedial portal technique</t>
  </si>
  <si>
    <t>Kulshrestha V, Sood M, Kumar S, Kawale A.</t>
  </si>
  <si>
    <t>10.1007/s00590-021-02912-6</t>
  </si>
  <si>
    <t>Kulshrestha</t>
  </si>
  <si>
    <t>originalstudy:earlypatientreportedfunctionaloutcomeofallinsideaclreconstructionascomparedtoanteromedialportaltechnique</t>
  </si>
  <si>
    <t>Kulshrestha+originalstudy:earlypatientreportedfunctionaloutcomeofallinsideaclreconstructionascomparedtoanteromedialportaltechnique+2021</t>
  </si>
  <si>
    <t>33463428</t>
  </si>
  <si>
    <t>Comparison of the outcomes of isolated anterior cruciate ligament reconstruction and combined anterolateral ligament suture tape augmentation and anterior cruciate ligament reconstruction</t>
  </si>
  <si>
    <t>Erden T, Toker B, Toprak A, Taşer Ö.</t>
  </si>
  <si>
    <t>Jt Dis Relat Surg</t>
  </si>
  <si>
    <t>10.5606/ehc.2020.78201</t>
  </si>
  <si>
    <t>Erden</t>
  </si>
  <si>
    <t>comparisonoftheoutcomesofisolatedanteriorcruciateligamentreconstructionandcombinedanterolateralligamentsuturetapeaugmentationandanteriorcruciateligamentreconstruction</t>
  </si>
  <si>
    <t>Erden+comparisonoftheoutcomesofisolatedanteriorcruciateligamentreconstructionandcombinedanterolateralligamentsuturetapeaugmentationandanteriorcruciateligamentreconstruction+2021</t>
  </si>
  <si>
    <t>32909826</t>
  </si>
  <si>
    <t>Maturity Progression of the Entire Anterior Cruciate Ligament Graft of Insertion-Preserved Hamstring Tendons by 5 Years: A Prospective Randomized Controlled Study Based on Magnetic Resonance Imaging Evaluation</t>
  </si>
  <si>
    <t>Zhang Y, Liu S, Chen Q, Hu Y, Sun Y, Chen J.</t>
  </si>
  <si>
    <t>10.1177/0363546520951507</t>
  </si>
  <si>
    <t>maturityprogressionoftheentireanteriorcruciateligamentgraftofinsertionpreservedhamstringtendonsby5years:aprospectiverandomizedcontrolledstudybasedonmagneticresonanceimagingevaluation</t>
  </si>
  <si>
    <t>Zhang+maturityprogressionoftheentireanteriorcruciateligamentgraftofinsertionpreservedhamstringtendonsby5years:aprospectiverandomizedcontrolledstudybasedonmagneticresonanceimagingevaluation+2020</t>
  </si>
  <si>
    <t>32828934</t>
  </si>
  <si>
    <t>Five-Strand Versus Four-Strand Hamstring Autografts in Anterior Cruciate Ligament Reconstruction-A Prospective Randomized Controlled Study</t>
  </si>
  <si>
    <t>Krishna L, Chan CX, Lokaiah L, Chinnasamy D, Goyal S, Wang M, Singh A.</t>
  </si>
  <si>
    <t>10.1016/j.arthro.2020.08.012</t>
  </si>
  <si>
    <t>Krishna</t>
  </si>
  <si>
    <t>fivestrandversusfourstrandhamstringautograftsinanteriorcruciateligamentreconstructionaprospectiverandomizedcontrolledstudy</t>
  </si>
  <si>
    <t>Krishna+fivestrandversusfourstrandhamstringautograftsinanteriorcruciateligamentreconstructionaprospectiverandomizedcontrolledstudy+2021</t>
  </si>
  <si>
    <t>32699919</t>
  </si>
  <si>
    <t>ACL reconstruction using a quadruple semitendinosus graft with cortical fixations gives suitable isokinetic and clinical outcomes after 2 years</t>
  </si>
  <si>
    <t>Roger J, Bertani A, Vigouroux F, Mottier F, Gaillard R, Have L, Rongièras F.</t>
  </si>
  <si>
    <t>10.1007/s00167-020-06121-2</t>
  </si>
  <si>
    <t>Roger</t>
  </si>
  <si>
    <t>aclreconstructionusingaquadruplesemitendinosusgraftwithcorticalfixationsgivessuitableisokineticandclinicaloutcomesafter2years</t>
  </si>
  <si>
    <t>Roger+aclreconstructionusingaquadruplesemitendinosusgraftwithcorticalfixationsgivessuitableisokineticandclinicaloutcomesafter2years+2020</t>
  </si>
  <si>
    <t>32589515</t>
  </si>
  <si>
    <t>Females Have Earlier Muscle Strength and Functional Recovery After Bridge-Enhanced Anterior Cruciate Ligament Repair</t>
  </si>
  <si>
    <t>Barnett S, Badger GJ, Kiapour A, Yen YM, Henderson R, Freiberger C, Proffen B, Sant N, Trainor B, Fleming BC, Micheli LJ, Murray MM, Kramer DE.</t>
  </si>
  <si>
    <t>Tissue Eng Part A</t>
  </si>
  <si>
    <t>10.1089/ten.tea.2020.0057</t>
  </si>
  <si>
    <t>Barnett</t>
  </si>
  <si>
    <t>femaleshaveearliermusclestrengthandfunctionalrecoveryafterbridgeenhancedanteriorcruciateligamentrepair</t>
  </si>
  <si>
    <t>Barnett+femaleshaveearliermusclestrengthandfunctionalrecoveryafterbridgeenhancedanteriorcruciateligamentrepair+2020</t>
  </si>
  <si>
    <t>32302205</t>
  </si>
  <si>
    <t>Bioabsorbable Versus Titanium Screws in Anterior Cruciate Ligament Reconstruction Using Hamstring Autograft: A Prospective, Randomized Controlled Trial With 13-Year Follow-up</t>
  </si>
  <si>
    <t>Sundaraj K, Salmon LJ, Heath EL, Winalski CS, Colak C, Vasanji A, Roe JP, Pinczewski LA.</t>
  </si>
  <si>
    <t>10.1177/0363546520911024</t>
  </si>
  <si>
    <t>Sundaraj</t>
  </si>
  <si>
    <t>bioabsorbableversustitaniumscrewsinanteriorcruciateligamentreconstructionusinghamstringautograft:aprospectiverandomizedcontrolledtrialwith13yearfollowup</t>
  </si>
  <si>
    <t>Sundaraj+bioabsorbableversustitaniumscrewsinanteriorcruciateligamentreconstructionusinghamstringautograft:aprospectiverandomizedcontrolledtrialwith13yearfollowup+2020</t>
  </si>
  <si>
    <t>32182127</t>
  </si>
  <si>
    <t>Modified Iliotibial Band Tenodesis Is Indicated to Correct Intraoperative Residual Pivot Shift After Anterior Cruciate Ligament Reconstruction Using an Autologous Hamstring Tendon Graft: A Prospective Randomized Controlled Trial</t>
  </si>
  <si>
    <t>Porter M, Shadbolt B.</t>
  </si>
  <si>
    <t>10.1177/0363546520910148</t>
  </si>
  <si>
    <t>Porter</t>
  </si>
  <si>
    <t>modifiediliotibialbandtenodesisisindicatedtocorrectintraoperativeresidualpivotshiftafteranteriorcruciateligamentreconstructionusinganautologoushamstringtendongraft:aprospectiverandomizedcontrolledtrial</t>
  </si>
  <si>
    <t>Porter+modifiediliotibialbandtenodesisisindicatedtocorrectintraoperativeresidualpivotshiftafteranteriorcruciateligamentreconstructionusinganautologoushamstringtendongraft:aprospectiverandomizedcontrolledtrial+2020</t>
  </si>
  <si>
    <t>32125668</t>
  </si>
  <si>
    <t>Effects of Autograft Types on Muscle Strength and Functional Capacity in Patients Having Anterior Cruciate Ligament Reconstruction: A Randomized Controlled Trial</t>
  </si>
  <si>
    <t>Sinding KS, Nielsen TG, Hvid LG, Lind M, Dalgas U.</t>
  </si>
  <si>
    <t>Sports Med</t>
  </si>
  <si>
    <t>10.1007/s40279-020-01276-x</t>
  </si>
  <si>
    <t>Sinding</t>
  </si>
  <si>
    <t>effectsofautografttypesonmusclestrengthandfunctionalcapacityinpatientshavinganteriorcruciateligamentreconstruction:arandomizedcontrolledtrial</t>
  </si>
  <si>
    <t>Sinding+effectsofautografttypesonmusclestrengthandfunctionalcapacityinpatientshavinganteriorcruciateligamentreconstruction:arandomizedcontrolledtrial+2020</t>
  </si>
  <si>
    <t>31967599</t>
  </si>
  <si>
    <t>Anterior cruciate ligament injuries treated with quadriceps tendon autograft versus hamstring autograft: A randomized controlled trial</t>
  </si>
  <si>
    <t>Vilchez-Cavazos F, Dávila-Martínez A, Garza-Castro S, Simental-Mendía M, Garay-Mendoza D, Tamez-Mata Y, Peña-Martínez V, Acosta-Olivo C.</t>
  </si>
  <si>
    <t>Cir Cir</t>
  </si>
  <si>
    <t>10.24875/CIRU.19001001</t>
  </si>
  <si>
    <t>Vilchez-Cavazos</t>
  </si>
  <si>
    <t>anteriorcruciateligamentinjuriestreatedwithquadricepstendonautograftversushamstringautograft:arandomizedcontrolledtrial</t>
  </si>
  <si>
    <t>Vilchez-Cavazos+anteriorcruciateligamentinjuriestreatedwithquadricepstendonautograftversushamstringautograft:arandomizedcontrolledtrial+2020</t>
  </si>
  <si>
    <t>31704697</t>
  </si>
  <si>
    <t>Quadriceps tendon grafts does not cause patients to have inferior subjective outcome after anterior cruciate ligament (ACL) reconstruction than do hamstring grafts: a 2-year prospective randomised controlled trial</t>
  </si>
  <si>
    <t>Lind M, Nielsen TG, Soerensen OG, Mygind-Klavsen B, Faunø P.</t>
  </si>
  <si>
    <t>Br J Sports Med</t>
  </si>
  <si>
    <t>10.1136/bjsports-2019-101000</t>
  </si>
  <si>
    <t>Lind</t>
  </si>
  <si>
    <t>quadricepstendongraftsdoesnotcausepatientstohaveinferiorsubjectiveoutcomeafteranteriorcruciateligament(acl)reconstructionthandohamstringgrafts:a2yearprospectiverandomisedcontrolledtrial</t>
  </si>
  <si>
    <t>Lind+quadricepstendongraftsdoesnotcausepatientstohaveinferiorsubjectiveoutcomeafteranteriorcruciateligament(acl)reconstructionthandohamstringgrafts:a2yearprospectiverandomisedcontrolledtrial+2020</t>
  </si>
  <si>
    <t>31512448</t>
  </si>
  <si>
    <t>[Effect of isokinetic training of thigh muscle group on graft remodeling after anterior cruciate ligament reconstruction]</t>
  </si>
  <si>
    <t>Liu H, Lu W, Liang D, Geng H, Zhu W, Ouyang K, Li H, Peng L, Feng W, Zhong M, Chen K, Li Y, Deng Z, Wang D.</t>
  </si>
  <si>
    <t>10.7507/1002-1892.201902059</t>
  </si>
  <si>
    <t>Liu</t>
  </si>
  <si>
    <t>effectofisokinetictrainingofthighmusclegroupongraftremodelingafteranteriorcruciateligamentreconstruction</t>
  </si>
  <si>
    <t>Liu+effectofisokinetictrainingofthighmusclegroupongraftremodelingafteranteriorcruciateligamentreconstruction+2019</t>
  </si>
  <si>
    <t>31306589</t>
  </si>
  <si>
    <t>A Randomized Controlled Trial of PEEK Versus Titanium Interference Screws for Anterior Cruciate Ligament Reconstruction With 2-Year Follow-up</t>
  </si>
  <si>
    <t>Shumborski S, Heath E, Salmon LJ, Roe JP, Linklater JP, Facek M, Pinczewski LA.</t>
  </si>
  <si>
    <t>10.1177/0363546519861530</t>
  </si>
  <si>
    <t>Shumborski</t>
  </si>
  <si>
    <t>arandomizedcontrolledtrialofpeekversustitaniuminterferencescrewsforanteriorcruciateligamentreconstructionwith2yearfollowup</t>
  </si>
  <si>
    <t>Shumborski+arandomizedcontrolledtrialofpeekversustitaniuminterferencescrewsforanteriorcruciateligamentreconstructionwith2yearfollowup+2019</t>
  </si>
  <si>
    <t>30888448</t>
  </si>
  <si>
    <t>Superior knee flexor strength at 2 years with all-inside short-graft anterior cruciate ligament reconstruction vs a conventional hamstring technique</t>
  </si>
  <si>
    <t>Kouloumentas P, Kavroudakis E, Charalampidis E, Kavroudakis D, Triantafyllopoulos GK.</t>
  </si>
  <si>
    <t>10.1007/s00167-019-05456-9</t>
  </si>
  <si>
    <t>Kouloumentas</t>
  </si>
  <si>
    <t>superiorkneeflexorstrengthat2yearswithallinsideshortgraftanteriorcruciateligamentreconstructionvsaconventionalhamstringtechnique</t>
  </si>
  <si>
    <t>Kouloumentas+superiorkneeflexorstrengthat2yearswithallinsideshortgraftanteriorcruciateligamentreconstructionvsaconventionalhamstringtechnique+2019</t>
  </si>
  <si>
    <t>30882683</t>
  </si>
  <si>
    <t>Single-tunnel anatomic double-bundle anterior cruciate ligament reconstruction has the same effectiveness as double femoral, double tibial tunnel: A prospective randomized study</t>
  </si>
  <si>
    <t>Xiang X, Qu Z, Sun H, Ma X, Wang W, Huang L.</t>
  </si>
  <si>
    <t>Medicine (Baltimore)</t>
  </si>
  <si>
    <t>10.1097/MD.0000000000014851</t>
  </si>
  <si>
    <t>Xiang</t>
  </si>
  <si>
    <t>singletunnelanatomicdoublebundleanteriorcruciateligamentreconstructionhasthesameeffectivenessasdoublefemoraldoubletibialtunnel:aprospectiverandomizedstudy</t>
  </si>
  <si>
    <t>Xiang+singletunnelanatomicdoublebundleanteriorcruciateligamentreconstructionhasthesameeffectivenessasdoublefemoraldoubletibialtunnel:aprospectiverandomizedstudy+2019</t>
  </si>
  <si>
    <t>30822124</t>
  </si>
  <si>
    <t>Acute Anterior Cruciate Ligament Rupture: Repair or Reconstruction? Two-Year Results of a Randomized Controlled Clinical Trial</t>
  </si>
  <si>
    <t>Hoogeslag RAG, Brouwer RW, Boer BC, de Vries AJ, Huis In 't Veld R.</t>
  </si>
  <si>
    <t>10.1177/0363546519825878</t>
  </si>
  <si>
    <t>Hoogeslag</t>
  </si>
  <si>
    <t>acuteanteriorcruciateligamentrupture:repairorreconstruction?twoyearresultsofarandomizedcontrolledclinicaltrial</t>
  </si>
  <si>
    <t>Hoogeslag+acuteanteriorcruciateligamentrupture:repairorreconstruction?twoyearresultsofarandomizedcontrolledclinicaltrial+2019</t>
  </si>
  <si>
    <t>29959448</t>
  </si>
  <si>
    <t>Cross-education improves quadriceps strength recovery after ACL reconstruction: a randomized controlled trial</t>
  </si>
  <si>
    <t>Harput G, Ulusoy B, Yildiz TI, Demirci S, Eraslan L, Turhan E, Tunay VB.</t>
  </si>
  <si>
    <t>10.1007/s00167-018-5040-1</t>
  </si>
  <si>
    <t>Harput</t>
  </si>
  <si>
    <t>crosseducationimprovesquadricepsstrengthrecoveryafteraclreconstruction:arandomizedcontrolledtrial</t>
  </si>
  <si>
    <t>Harput+crosseducationimprovesquadricepsstrengthrecoveryafteraclreconstruction:arandomizedcontrolledtrial+2019</t>
  </si>
  <si>
    <t>29776815</t>
  </si>
  <si>
    <t>Strength recovery after anterior cruciate ligament reconstruction with quadriceps tendon versus hamstring tendon autografts in soccer players: A randomized controlled trial</t>
  </si>
  <si>
    <t>Martin-Alguacil JL, Arroyo-Morales M, Martín-Gomez JL, Monje-Cabrera IM, Abellán-Guillén JF, Esparza-Ros F, Lozano ML, Cantarero-Villanueva I.</t>
  </si>
  <si>
    <t>10.1016/j.knee.2018.03.011</t>
  </si>
  <si>
    <t>Martin-Alguacil</t>
  </si>
  <si>
    <t>strengthrecoveryafteranteriorcruciateligamentreconstructionwithquadricepstendonversushamstringtendonautograftsinsoccerplayers:arandomizedcontrolledtrial</t>
  </si>
  <si>
    <t>Martin-Alguacil+strengthrecoveryafteranteriorcruciateligamentreconstructionwithquadricepstendonversushamstringtendonautograftsinsoccerplayers:arandomizedcontrolledtrial+2018</t>
  </si>
  <si>
    <t>29730208</t>
  </si>
  <si>
    <t>The Effect of Cartilage Fragments on Femoral Tunnel Widening After Anterior Cruciate Ligament Reconstruction: A Prospective Randomized Controlled Study</t>
  </si>
  <si>
    <t>Zhang C, Pan J, Chen JD, Zhang YJ, Gu PC, Lin XJ, Cai YZ.</t>
  </si>
  <si>
    <t>10.1016/j.arthro.2018.03.011</t>
  </si>
  <si>
    <t>theeffectofcartilagefragmentsonfemoraltunnelwideningafteranteriorcruciateligamentreconstruction:aprospectiverandomizedcontrolledstudy</t>
  </si>
  <si>
    <t>Zhang+theeffectofcartilagefragmentsonfemoraltunnelwideningafteranteriorcruciateligamentreconstruction:aprospectiverandomizedcontrolledstudy+2018</t>
  </si>
  <si>
    <t>29678170</t>
  </si>
  <si>
    <t>Self-reported functional recovery after reconstruction versus repair in acute anterior cruciate ligament rupture (ROTOR): a randomized controlled clinical trial</t>
  </si>
  <si>
    <t>Boer BC, Hoogeslag RAG, Brouwer RW, Demmer A, Huis In 't Veld RMHA.</t>
  </si>
  <si>
    <t>10.1186/s12891-018-2028-4</t>
  </si>
  <si>
    <t>Boer</t>
  </si>
  <si>
    <t>selfreportedfunctionalrecoveryafterreconstructionversusrepairinacuteanteriorcruciateligamentrupture(rotor):arandomizedcontrolledclinicaltrial</t>
  </si>
  <si>
    <t>Boer+selfreportedfunctionalrecoveryafterreconstructionversusrepairinacuteanteriorcruciateligamentrupture(rotor):arandomizedcontrolledclinicaltrial+2018</t>
  </si>
  <si>
    <t>29443537</t>
  </si>
  <si>
    <t>A Randomized Clinical Trial to Evaluate Attached Hamstring Anterior Cruciate Ligament Graft Maturity With Magnetic Resonance Imaging</t>
  </si>
  <si>
    <t>Liu S, Li H, Tao H, Sun Y, Chen S, Chen J.</t>
  </si>
  <si>
    <t>10.1177/0363546517752918</t>
  </si>
  <si>
    <t>arandomizedclinicaltrialtoevaluateattachedhamstringanteriorcruciateligamentgraftmaturitywithmagneticresonanceimaging</t>
  </si>
  <si>
    <t>Liu+arandomizedclinicaltrialtoevaluateattachedhamstringanteriorcruciateligamentgraftmaturitywithmagneticresonanceimaging+2018</t>
  </si>
  <si>
    <t>29421837</t>
  </si>
  <si>
    <t>All-Inside Single-Bundle Reconstruction of the Anterior Cruciate Ligament with the Anterior Half of the Peroneus Longus Tendon Compared to the Semitendinosus Tendon: A Two-Year Follow-Up Study</t>
  </si>
  <si>
    <t>Bi M, Zhao C, Zhang S, Yao B, Hong Z, Bi Q.</t>
  </si>
  <si>
    <t>10.1055/s-0038-1627466</t>
  </si>
  <si>
    <t>Bi</t>
  </si>
  <si>
    <t>allinsidesinglebundlereconstructionoftheanteriorcruciateligamentwiththeanteriorhalfoftheperoneuslongustendoncomparedtothesemitendinosustendon:atwoyearfollowupstudy</t>
  </si>
  <si>
    <t>Bi+allinsidesinglebundlereconstructionoftheanteriorcruciateligamentwiththeanteriorhalfoftheperoneuslongustendoncomparedtothesemitendinosustendon:atwoyearfollowupstudy+2018</t>
  </si>
  <si>
    <t>28969952</t>
  </si>
  <si>
    <t>Outcome of Hamstring Autograft With Preserved Insertions Compared With Free Hamstring Autograft in Anterior Cruciate Ligament Surgery at 2-Year Follow-up</t>
  </si>
  <si>
    <t>Gupta R, Bahadur R, Malhotra A, Masih GD, Sood M, Gupta P, Mathur VK.</t>
  </si>
  <si>
    <t>10.1016/j.arthro.2017.06.040</t>
  </si>
  <si>
    <t>outcomeofhamstringautograftwithpreservedinsertionscomparedwithfreehamstringautograftinanteriorcruciateligamentsurgeryat2yearfollowup</t>
  </si>
  <si>
    <t>Gupta+outcomeofhamstringautograftwithpreservedinsertionscomparedwithfreehamstringautograftinanteriorcruciateligamentsurgeryat2yearfollowup+2017</t>
  </si>
  <si>
    <t>28840325</t>
  </si>
  <si>
    <t>Tunnel widening after single- versus double-bundle anterior cruciate ligament reconstruction: a randomized 8-year follow-up study</t>
  </si>
  <si>
    <t>Beyaz S, Güler ÜÖ, Demir Ş, Yüksel S, Çınar BM, Özkoç G, Akpınar S.</t>
  </si>
  <si>
    <t>10.1007/s00402-017-2774-z</t>
  </si>
  <si>
    <t>Beyaz</t>
  </si>
  <si>
    <t>tunnelwideningaftersingleversusdoublebundleanteriorcruciateligamentreconstruction:arandomized8yearfollowupstudy</t>
  </si>
  <si>
    <t>Beyaz+tunnelwideningaftersingleversusdoublebundleanteriorcruciateligamentreconstruction:arandomized8yearfollowupstudy+2017</t>
  </si>
  <si>
    <t>28801704</t>
  </si>
  <si>
    <t>No clinical differences between anteromedial portal and transtibial technique for femoral tunnel positioning in anterior cruciate ligament reconstruction: a prospective randomized, controlled trial</t>
  </si>
  <si>
    <t>MacDonald P, Kim C, McRae S, Leiter J, Khan R, Whelan D.</t>
  </si>
  <si>
    <t>10.1007/s00167-017-4664-x</t>
  </si>
  <si>
    <t>noclinicaldifferencesbetweenanteromedialportalandtranstibialtechniqueforfemoraltunnelpositioninginanteriorcruciateligamentreconstruction:aprospectiverandomizedcontrolledtrial</t>
  </si>
  <si>
    <t>MacDonald+noclinicaldifferencesbetweenanteromedialportalandtranstibialtechniqueforfemoraltunnelpositioninginanteriorcruciateligamentreconstruction:aprospectiverandomizedcontrolledtrial+2018</t>
  </si>
  <si>
    <t>28674740</t>
  </si>
  <si>
    <t>Changes in gait pattern and early functional results after ACL repair are comparable to those of ACL reconstruction</t>
  </si>
  <si>
    <t>Schliemann B, Glasbrenner J, Rosenbaum D, Lammers K, Herbort M, Domnick C, Raschke MJ, Kösters C.</t>
  </si>
  <si>
    <t>10.1007/s00167-017-4618-3</t>
  </si>
  <si>
    <t>Schliemann</t>
  </si>
  <si>
    <t>changesingaitpatternandearlyfunctionalresultsafteraclrepairarecomparabletothoseofaclreconstruction</t>
  </si>
  <si>
    <t>Schliemann+changesingaitpatternandearlyfunctionalresultsafteraclrepairarecomparabletothoseofaclreconstruction+2018</t>
  </si>
  <si>
    <t>28241715</t>
  </si>
  <si>
    <t>[A prospective randomized control trial of arthroscopic surgery for stable ramp lesion of the medial meniscus]</t>
  </si>
  <si>
    <t>Liu X, Feng H, Hong L, Zhang H.</t>
  </si>
  <si>
    <t>Zhonghua Wai Ke Za Zhi</t>
  </si>
  <si>
    <t>10.3760/cma.j.issn.0529-5815.2017.03.001</t>
  </si>
  <si>
    <t>aprospectiverandomizedcontroltrialofarthroscopicsurgeryforstableramplesionofthemedialmeniscus</t>
  </si>
  <si>
    <t>Liu+aprospectiverandomizedcontroltrialofarthroscopicsurgeryforstableramplesionofthemedialmeniscus+2017</t>
  </si>
  <si>
    <t>27876265</t>
  </si>
  <si>
    <t>A prospective randomized comparison of two distinct allogenic tissue constructs for anterior cruciate ligament reconstruction</t>
  </si>
  <si>
    <t>Rose MB, Domes C, Farooqi M, Crawford DC.</t>
  </si>
  <si>
    <t>10.1016/j.knee.2016.08.011</t>
  </si>
  <si>
    <t>Rose</t>
  </si>
  <si>
    <t>aprospectiverandomizedcomparisonoftwodistinctallogenictissueconstructsforanteriorcruciateligamentreconstruction</t>
  </si>
  <si>
    <t>Rose+aprospectiverandomizedcomparisonoftwodistinctallogenictissueconstructsforanteriorcruciateligamentreconstruction+2016</t>
  </si>
  <si>
    <t>27784622</t>
  </si>
  <si>
    <t>Kinesio taping as a treatment method in the acute phase of ACL reconstruction: A double-blind, placebo-controlled study</t>
  </si>
  <si>
    <t>Balki S, Göktaş HE, Öztemur Z.</t>
  </si>
  <si>
    <t>10.1016/j.aott.2016.03.005</t>
  </si>
  <si>
    <t>Balki</t>
  </si>
  <si>
    <t>kinesiotapingasatreatmentmethodintheacutephaseofaclreconstruction:adoubleblindplacebocontrolledstudy</t>
  </si>
  <si>
    <t>Balki+kinesiotapingasatreatmentmethodintheacutephaseofaclreconstruction:adoubleblindplacebocontrolledstudy+2016</t>
  </si>
  <si>
    <t>27388213</t>
  </si>
  <si>
    <t>Hamstring graft tibial insertion preservation versus detachment in anterior cruciate ligament reconstruction: a prospective randomized comparative study</t>
  </si>
  <si>
    <t>Ruffilli A, Pagliazzi G, Ferranti E, Busacca M, Capannelli D, Buda R.</t>
  </si>
  <si>
    <t>10.1007/s00590-016-1812-9</t>
  </si>
  <si>
    <t>Ruffilli</t>
  </si>
  <si>
    <t>hamstringgrafttibialinsertionpreservationversusdetachmentinanteriorcruciateligamentreconstruction:aprospectiverandomizedcomparativestudy</t>
  </si>
  <si>
    <t>Ruffilli+hamstringgrafttibialinsertionpreservationversusdetachmentinanteriorcruciateligamentreconstruction:aprospectiverandomizedcomparativestudy+2016</t>
  </si>
  <si>
    <t>27343215</t>
  </si>
  <si>
    <t>Comparison Between Single- and Double-Bundle Anterior Cruciate Ligament Reconstruction With 6- to 8-Stranded Hamstring Autograft: A Prospective, Randomized Clinical Trial</t>
  </si>
  <si>
    <t>Liu Y, Cui G, Yan H, Yang Y, Ao Y.</t>
  </si>
  <si>
    <t>10.1177/0363546516650876</t>
  </si>
  <si>
    <t>comparisonbetweensingleanddoublebundleanteriorcruciateligamentreconstructionwith6to8strandedhamstringautograft:aprospectiverandomizedclinicaltrial</t>
  </si>
  <si>
    <t>Liu+comparisonbetweensingleanddoublebundleanteriorcruciateligamentreconstructionwith6to8strandedhamstringautograft:aprospectiverandomizedclinicaltrial+2016</t>
  </si>
  <si>
    <t>27120190</t>
  </si>
  <si>
    <t>Resorbable screw and sheath versus resorbable interference screw and staples for ACL reconstruction: a comparison of two tibial fixation methods</t>
  </si>
  <si>
    <t>Carulli C, Matassi F, Soderi S, Sirleo L, Munz G, Innocenti M.</t>
  </si>
  <si>
    <t>10.1007/s00167-016-4135-9</t>
  </si>
  <si>
    <t>Carulli</t>
  </si>
  <si>
    <t>resorbablescrewandsheathversusresorbableinterferencescrewandstaplesforaclreconstruction:acomparisonoftwotibialfixationmethods</t>
  </si>
  <si>
    <t>Carulli+resorbablescrewandsheathversusresorbableinterferencescrewandstaplesforaclreconstruction:acomparisonoftwotibialfixationmethods+2017</t>
  </si>
  <si>
    <t>26980844</t>
  </si>
  <si>
    <t>A Randomized Clinical Trial to Assess the Clinical Effectiveness of a Measured Objective Tensioning Device in Hamstring Anterior Cruciate Ligament Reconstruction</t>
  </si>
  <si>
    <t>Grunau PD, Arneja S, Leith JM.</t>
  </si>
  <si>
    <t>10.1177/0363546516634021</t>
  </si>
  <si>
    <t>Grunau</t>
  </si>
  <si>
    <t>arandomizedclinicaltrialtoassesstheclinicaleffectivenessofameasuredobjectivetensioningdeviceinhamstringanteriorcruciateligamentreconstruction</t>
  </si>
  <si>
    <t>Grunau+arandomizedclinicaltrialtoassesstheclinicaleffectivenessofameasuredobjectivetensioningdeviceinhamstringanteriorcruciateligamentreconstruction+2016</t>
  </si>
  <si>
    <t>26948548</t>
  </si>
  <si>
    <t>Comparison of Anatomic Double- and Single-Bundle Techniques for Anterior Cruciate Ligament Reconstruction Using Hamstring Tendon Autografts: A Prospective Randomized Study With 5-Year Clinical and Radiographic Follow-up</t>
  </si>
  <si>
    <t>Karikis I, Desai N, Sernert N, Rostgard-Christensen L, Kartus J.</t>
  </si>
  <si>
    <t>10.1177/0363546515626543</t>
  </si>
  <si>
    <t>comparisonofanatomicdoubleandsinglebundletechniquesforanteriorcruciateligamentreconstructionusinghamstringtendonautografts:aprospectiverandomizedstudywith5yearclinicalandradiographicfollowup</t>
  </si>
  <si>
    <t>Karikis+comparisonofanatomicdoubleandsinglebundletechniquesforanteriorcruciateligamentreconstructionusinghamstringtendonautografts:aprospectiverandomizedstudywith5yearclinicalandradiographicfollowup+2016</t>
  </si>
  <si>
    <t>26321112</t>
  </si>
  <si>
    <t>Single-Bundle Versus Double-Bundle Anterior Cruciate Ligament Reconstruction: A Comparative 2-Year Follow-up</t>
  </si>
  <si>
    <t>Mayr HO, Benecke P, Hoell A, Schmitt-Sody M, Bernstein A, Suedkamp NP, Stoehr A.</t>
  </si>
  <si>
    <t>10.1016/j.arthro.2015.06.029</t>
  </si>
  <si>
    <t>singlebundleversusdoublebundleanteriorcruciateligamentreconstruction:acomparative2yearfollowup</t>
  </si>
  <si>
    <t>Mayr+singlebundleversusdoublebundleanteriorcruciateligamentreconstruction:acomparative2yearfollowup+2016</t>
  </si>
  <si>
    <t>26231151</t>
  </si>
  <si>
    <t>The effectiveness of Pilates for partial anterior cruciate ligament injury</t>
  </si>
  <si>
    <t>Çelik D, Turkel N.</t>
  </si>
  <si>
    <t>10.1007/s00167-015-3718-1</t>
  </si>
  <si>
    <t>Çelik</t>
  </si>
  <si>
    <t>theeffectivenessofpilatesforpartialanteriorcruciateligamentinjury</t>
  </si>
  <si>
    <t>Çelik+theeffectivenessofpilatesforpartialanteriorcruciateligamentinjury+2017</t>
  </si>
  <si>
    <t>26109611</t>
  </si>
  <si>
    <t>Bioabsorbable Versus Titanium Screws in Anterior Cruciate Ligament Reconstruction Using Hamstring Autograft: A Prospective, Blinded, Randomized Controlled Trial With 5-Year Follow-up</t>
  </si>
  <si>
    <t>Arama Y, Salmon LJ, Sri-Ram K, Linklater J, Roe JP, Pinczewski LA.</t>
  </si>
  <si>
    <t>10.1177/0363546515588926</t>
  </si>
  <si>
    <t>Arama</t>
  </si>
  <si>
    <t>bioabsorbableversustitaniumscrewsinanteriorcruciateligamentreconstructionusinghamstringautograft:aprospectiveblindedrandomizedcontrolledtrialwith5yearfollowup</t>
  </si>
  <si>
    <t>Arama+bioabsorbableversustitaniumscrewsinanteriorcruciateligamentreconstructionusinghamstringautograft:aprospectiveblindedrandomizedcontrolledtrialwith5yearfollowup+2015</t>
  </si>
  <si>
    <t>26051483</t>
  </si>
  <si>
    <t>Post-operative bracing after ACL reconstruction has no effect on knee joint effusion. A prospective, randomized study</t>
  </si>
  <si>
    <t>Lindström M, Wredmark T, Wretling ML, Henriksson M, Felländer-Tsai L.</t>
  </si>
  <si>
    <t>10.1016/j.knee.2015.04.015</t>
  </si>
  <si>
    <t>Lindström</t>
  </si>
  <si>
    <t>postoperativebracingafteraclreconstructionhasnoeffectonkneejointeffusionaprospectiverandomizedstudy</t>
  </si>
  <si>
    <t>Lindström+postoperativebracingafteraclreconstructionhasnoeffectonkneejointeffusionaprospectiverandomizedstudy+2015</t>
  </si>
  <si>
    <t>25646363</t>
  </si>
  <si>
    <t>Effect of posterolateral bundle graft fixation angles on clinical outcomes in double-bundle anterior cruciate ligament reconstruction: a randomized controlled trial</t>
  </si>
  <si>
    <t>Koga H, Muneta T, Yagishita K, Watanabe T, Mochizuki T, Horie M, Nakamura T, Otabe K, Sekiya I.</t>
  </si>
  <si>
    <t>10.1177/0363546514567069</t>
  </si>
  <si>
    <t>Koga</t>
  </si>
  <si>
    <t>effectofposterolateralbundlegraftfixationanglesonclinicaloutcomesindoublebundleanteriorcruciateligamentreconstruction:arandomizedcontrolledtrial</t>
  </si>
  <si>
    <t>Koga+effectofposterolateralbundlegraftfixationanglesonclinicaloutcomesindoublebundleanteriorcruciateligamentreconstruction:arandomizedcontrolledtrial+2015</t>
  </si>
  <si>
    <t>25630275</t>
  </si>
  <si>
    <t>A new technique in double-bundle anterior cruciate ligament reconstruction with implant-free tibial fixation</t>
  </si>
  <si>
    <t>Sacramento SN, Magalhães E, Christel P, Ingham S, Fukuda TY.</t>
  </si>
  <si>
    <t>10.1007/s00167-014-3430-6</t>
  </si>
  <si>
    <t>Sacramento</t>
  </si>
  <si>
    <t>anewtechniqueindoublebundleanteriorcruciateligamentreconstructionwithimplantfreetibialfixation</t>
  </si>
  <si>
    <t>Sacramento+anewtechniqueindoublebundleanteriorcruciateligamentreconstructionwithimplantfreetibialfixation+2016</t>
  </si>
  <si>
    <t>25381471</t>
  </si>
  <si>
    <t>A comparison of acute and chronic anterior cruciate ligament reconstruction using LARS artificial ligaments: a randomized prospective study with a 5-year follow-up</t>
  </si>
  <si>
    <t>Chen J, Gu A, Jiang H, Zhang W, Yu X.</t>
  </si>
  <si>
    <t>10.1007/s00402-014-2108-3</t>
  </si>
  <si>
    <t>acomparisonofacuteandchronicanteriorcruciateligamentreconstructionusinglarsartificialligaments:arandomizedprospectivestudywitha5yearfollowup</t>
  </si>
  <si>
    <t>Chen+acomparisonofacuteandchronicanteriorcruciateligamentreconstructionusinglarsartificialligaments:arandomizedprospectivestudywitha5yearfollowup+2015</t>
  </si>
  <si>
    <t>25349264</t>
  </si>
  <si>
    <t>Intratunnel versus extratunnel autologous hamstring double-bundle graft for anterior cruciate ligament reconstruction: a comparison of 2 femoral fixation procedures</t>
  </si>
  <si>
    <t>Ibrahim SA, Abdul Ghafar S, Marwan Y, Mahgoub AM, Al Misfer A, Farouk H, Wagdy M, Alherran H, Khirait S.</t>
  </si>
  <si>
    <t>10.1177/0363546514554189</t>
  </si>
  <si>
    <t>intratunnelversusextratunnelautologoushamstringdoublebundlegraftforanteriorcruciateligamentreconstruction:acomparisonof2femoralfixationprocedures</t>
  </si>
  <si>
    <t>Ibrahim+intratunnelversusextratunnelautologoushamstringdoublebundlegraftforanteriorcruciateligamentreconstruction:acomparisonof2femoralfixationprocedures+2015</t>
  </si>
  <si>
    <t>25242512</t>
  </si>
  <si>
    <t>Mid- to long-term results of single-bundle versus double-bundle anterior cruciate ligament reconstruction: randomized controlled trial</t>
  </si>
  <si>
    <t>10.1016/j.arthro.2014.07.020</t>
  </si>
  <si>
    <t>midtolongtermresultsofsinglebundleversusdoublebundleanteriorcruciateligamentreconstruction:randomizedcontrolledtrial</t>
  </si>
  <si>
    <t>Koga+midtolongtermresultsofsinglebundleversusdoublebundleanteriorcruciateligamentreconstruction:randomizedcontrolledtrial+2015</t>
  </si>
  <si>
    <t>24901918</t>
  </si>
  <si>
    <t>The effect of progressive eccentric and concentric training on functional performance after autogenous hamstring anterior cruciate ligament reconstruction: a randomized controlled study</t>
  </si>
  <si>
    <t>Kınıklı GI, Yüksel I, Baltacı G, Atay OA.</t>
  </si>
  <si>
    <t>10.3944/AOTT.2014.13.0111</t>
  </si>
  <si>
    <t>Kınıklı</t>
  </si>
  <si>
    <t>theeffectofprogressiveeccentricandconcentrictrainingonfunctionalperformanceafterautogenoushamstringanteriorcruciateligamentreconstruction:arandomizedcontrolledstudy</t>
  </si>
  <si>
    <t>Kınıklı+theeffectofprogressiveeccentricandconcentrictrainingonfunctionalperformanceafterautogenoushamstringanteriorcruciateligamentreconstruction:arandomizedcontrolledstudy+2014</t>
  </si>
  <si>
    <t>24582053</t>
  </si>
  <si>
    <t>Reduction of tunnel enlargement with use of autologous ruptured tissue in anterior cruciate ligament reconstruction: a pilot clinical trial</t>
  </si>
  <si>
    <t>Matsumoto T, Kuroda R, Matsushita T, Araki D, Hoshino Y, Nagamune K, Kurosaka M.</t>
  </si>
  <si>
    <t>10.1016/j.arthro.2013.12.014</t>
  </si>
  <si>
    <t>reductionoftunnelenlargementwithuseofautologousrupturedtissueinanteriorcruciateligamentreconstruction:apilotclinicaltrial</t>
  </si>
  <si>
    <t>Matsumoto+reductionoftunnelenlargementwithuseofautologousrupturedtissueinanteriorcruciateligamentreconstruction:apilotclinicaltrial+2014</t>
  </si>
  <si>
    <t>24560350</t>
  </si>
  <si>
    <t>Shockwave therapy improves anterior cruciate ligament reconstruction</t>
  </si>
  <si>
    <t>Wang CJ, Ko JY, Chou WY, Hsu SL, Ko SF, Huang CC, Chang HW.</t>
  </si>
  <si>
    <t>J Surg Res</t>
  </si>
  <si>
    <t>10.1016/j.jss.2014.01.050</t>
  </si>
  <si>
    <t>shockwavetherapyimprovesanteriorcruciateligamentreconstruction</t>
  </si>
  <si>
    <t>Wang+shockwavetherapyimprovesanteriorcruciateligamentreconstruction+2014</t>
  </si>
  <si>
    <t>24531357</t>
  </si>
  <si>
    <t>Role of gracilis harvesting in four-strand hamstring tendon anterior cruciate ligament reconstruction: a double-blinded prospective randomized clinical trial</t>
  </si>
  <si>
    <t>Karimi-Mobarakeh M, Mardani-Kivi M, Mortazavi A, Saheb-Ekhtiari K, Hashemi-Motlagh K.</t>
  </si>
  <si>
    <t>10.1007/s00167-014-2890-z</t>
  </si>
  <si>
    <t>Karimi-Mobarakeh</t>
  </si>
  <si>
    <t>roleofgracilisharvestinginfourstrandhamstringtendonanteriorcruciateligamentreconstruction:adoubleblindedprospectiverandomizedclinicaltrial</t>
  </si>
  <si>
    <t>Karimi-Mobarakeh+roleofgracilisharvestinginfourstrandhamstringtendonanteriorcruciateligamentreconstruction:adoubleblindedprospectiverandomizedclinicaltrial+2015</t>
  </si>
  <si>
    <t>24005332</t>
  </si>
  <si>
    <t>Femoral fixation of hamstring tendon grafts in ACL reconstructions: the 2-year follow-up results of a prospective randomized controlled study</t>
  </si>
  <si>
    <t>Gifstad T, Drogset JO, Grøntvedt T, Hortemo GS.</t>
  </si>
  <si>
    <t>10.1007/s00167-013-2652-3</t>
  </si>
  <si>
    <t>femoralfixationofhamstringtendongraftsinaclreconstructions:the2yearfollowupresultsofaprospectiverandomizedcontrolledstudy</t>
  </si>
  <si>
    <t>Gifstad+femoralfixationofhamstringtendongraftsinaclreconstructions:the2yearfollowupresultsofaprospectiverandomizedcontrolledstudy+2014</t>
  </si>
  <si>
    <t>23793303</t>
  </si>
  <si>
    <t>Prospective clinical comparisons of semitendinosus versus semitendinosus and gracilis tendon autografts for anatomic double-bundle anterior cruciate ligament reconstruction</t>
  </si>
  <si>
    <t>Inagaki Y, Kondo E, Kitamura N, Onodera J, Yagi T, Tanaka Y, Yasuda K.</t>
  </si>
  <si>
    <t>J Orthop Sci</t>
  </si>
  <si>
    <t>10.1007/s00776-013-0427-9</t>
  </si>
  <si>
    <t>Inagaki</t>
  </si>
  <si>
    <t>prospectiveclinicalcomparisonsofsemitendinosusversussemitendinosusandgracilistendonautograftsforanatomicdoublebundleanteriorcruciateligamentreconstruction</t>
  </si>
  <si>
    <t>Inagaki+prospectiveclinicalcomparisonsofsemitendinosusversussemitendinosusandgracilistendonautograftsforanatomicdoublebundleanteriorcruciateligamentreconstruction+2013</t>
  </si>
  <si>
    <t>23579334</t>
  </si>
  <si>
    <t>The effects of early aggressive rehabilitation on outcomes after anterior cruciate ligament reconstruction using autologous hamstring tendon: a randomized clinical trial</t>
  </si>
  <si>
    <t>Christensen JC, Goldfine LR, West HS.</t>
  </si>
  <si>
    <t>10.1123/jsr.22.3.191</t>
  </si>
  <si>
    <t>Christensen</t>
  </si>
  <si>
    <t>theeffectsofearlyaggressiverehabilitationonoutcomesafteranteriorcruciateligamentreconstructionusingautologoushamstringtendon:arandomizedclinicaltrial</t>
  </si>
  <si>
    <t>Christensen+theeffectsofearlyaggressiverehabilitationonoutcomesafteranteriorcruciateligamentreconstructionusingautologoushamstringtendon:arandomizedclinicaltrial+2013</t>
  </si>
  <si>
    <t>23460328</t>
  </si>
  <si>
    <t>The effect of early whole-body vibration therapy on neuromuscular control after anterior cruciate ligament reconstruction: a randomized controlled trial</t>
  </si>
  <si>
    <t>Fu CL, Yung SH, Law KY, Leung KH, Lui PY, Siu HK, Chan KM.</t>
  </si>
  <si>
    <t>10.1177/0363546513476473</t>
  </si>
  <si>
    <t>theeffectofearlywholebodyvibrationtherapyonneuromuscularcontrolafteranteriorcruciateligamentreconstruction:arandomizedcontrolledtrial</t>
  </si>
  <si>
    <t>Fu+theeffectofearlywholebodyvibrationtherapyonneuromuscularcontrolafteranteriorcruciateligamentreconstruction:arandomizedcontrolledtrial+2013</t>
  </si>
  <si>
    <t>23423316</t>
  </si>
  <si>
    <t>Open kinetic chain exercises in a restricted range of motion after anterior cruciate ligament reconstruction: a randomized controlled clinical trial</t>
  </si>
  <si>
    <t>Fukuda TY, Fingerhut D, Moreira VC, Camarini PM, Scodeller NF, Duarte A Jr, Martinelli M, Bryk FF.</t>
  </si>
  <si>
    <t>10.1177/0363546513476482</t>
  </si>
  <si>
    <t>Fukuda</t>
  </si>
  <si>
    <t>openkineticchainexercisesinarestrictedrangeofmotionafteranteriorcruciateligamentreconstruction:arandomizedcontrolledclinicaltrial</t>
  </si>
  <si>
    <t>Fukuda+openkineticchainexercisesinarestrictedrangeofmotionafteranteriorcruciateligamentreconstruction:arandomizedcontrolledclinicaltrial+2013</t>
  </si>
  <si>
    <t>23307675</t>
  </si>
  <si>
    <t>The impact of platelet-rich plasma on the prevention of tunnel widening in anterior cruciate ligament reconstruction using quadrupled autologous hamstring tendon: a randomised clinical trial</t>
  </si>
  <si>
    <t>Mirzatolooei F, Alamdari MT, Khalkhali HR.</t>
  </si>
  <si>
    <t>Bone Joint J</t>
  </si>
  <si>
    <t>10.1302/0301-620X.95B1.30487</t>
  </si>
  <si>
    <t>theimpactofplateletrichplasmaonthepreventionoftunnelwideninginanteriorcruciateligamentreconstructionusingquadrupledautologoushamstringtendon:arandomisedclinicaltrial</t>
  </si>
  <si>
    <t>Mirzatolooei+theimpactofplateletrichplasmaonthepreventionoftunnelwideninginanteriorcruciateligamentreconstructionusingquadrupledautologoushamstringtendon:arandomisedclinicaltrial+2013</t>
  </si>
  <si>
    <t>23276416</t>
  </si>
  <si>
    <t>Does press-fit technique reduce tunnel volume enlargement after anterior cruciate ligament reconstruction with autologous hamstring tendons? A prospective randomized computed tomography study</t>
  </si>
  <si>
    <t>Hwang DH, Shetty GM, Kim JI, Kwon JH, Song JK, Muñoz M, Lee JS, Nha KW.</t>
  </si>
  <si>
    <t>10.1016/j.arthro.2012.07.007</t>
  </si>
  <si>
    <t>Hwang</t>
  </si>
  <si>
    <t>doespressfittechniquereducetunnelvolumeenlargementafteranteriorcruciateligamentreconstructionwithautologoushamstringtendons?aprospectiverandomizedcomputedtomographystudy</t>
  </si>
  <si>
    <t>Hwang+doespressfittechniquereducetunnelvolumeenlargementafteranteriorcruciateligamentreconstructionwithautologoushamstringtendons?aprospectiverandomizedcomputedtomographystudy+2013</t>
  </si>
  <si>
    <t>23276415</t>
  </si>
  <si>
    <t>Randomized controlled trial of osteoconductive fixation screws for anterior cruciate ligament reconstruction: a comparison of the Calaxo and Milagro screws</t>
  </si>
  <si>
    <t>Bourke HE, Salmon LJ, Waller A, Winalski CS, Williams HA, Linklater JM, Vasanji A, Roe JP, Pinczewski LA.</t>
  </si>
  <si>
    <t>10.1016/j.arthro.2012.10.021</t>
  </si>
  <si>
    <t>Bourke</t>
  </si>
  <si>
    <t>randomizedcontrolledtrialofosteoconductivefixationscrewsforanteriorcruciateligamentreconstruction:acomparisonofthecalaxoandmilagroscrews</t>
  </si>
  <si>
    <t>Bourke+randomizedcontrolledtrialofosteoconductivefixationscrewsforanteriorcruciateligamentreconstruction:acomparisonofthecalaxoandmilagroscrews+2013</t>
  </si>
  <si>
    <t>23242378</t>
  </si>
  <si>
    <t>The effect of remnant preservation on tibial tunnel enlargement in ACL reconstruction with hamstring autograft: a prospective randomized controlled trial</t>
  </si>
  <si>
    <t>Zhang Q, Zhang S, Cao X, Liu L, Liu Y, Li R.</t>
  </si>
  <si>
    <t>10.1007/s00167-012-2341-7</t>
  </si>
  <si>
    <t>theeffectofremnantpreservationontibialtunnelenlargementinaclreconstructionwithhamstringautograft:aprospectiverandomizedcontrolledtrial</t>
  </si>
  <si>
    <t>Zhang+theeffectofremnantpreservationontibialtunnelenlargementinaclreconstructionwithhamstringautograft:aprospectiverandomizedcontrolledtrial+2014</t>
  </si>
  <si>
    <t>22713551</t>
  </si>
  <si>
    <t>Effect of calcium phosphate-hybridized tendon graft in anterior cruciate ligament reconstruction: a randomized controlled trial</t>
  </si>
  <si>
    <t>Mutsuzaki H, Kanamori A, Ikeda K, Hioki S, Kinugasa T, Sakane M.</t>
  </si>
  <si>
    <t>10.1177/0363546512449618</t>
  </si>
  <si>
    <t>effectofcalciumphosphatehybridizedtendongraftinanteriorcruciateligamentreconstruction:arandomizedcontrolledtrial</t>
  </si>
  <si>
    <t>Mutsuzaki+effectofcalciumphosphatehybridizedtendongraftinanteriorcruciateligamentreconstruction:arandomizedcontrolledtrial+2012</t>
  </si>
  <si>
    <t>22273781</t>
  </si>
  <si>
    <t>Comparison of anterior and rotatory laxity using navigation between single- and double-bundle ACL reconstruction: prospective randomized trial</t>
  </si>
  <si>
    <t>Lee S, Kim H, Jang J, Seong SC, Lee MC.</t>
  </si>
  <si>
    <t>10.1007/s00167-012-1880-2</t>
  </si>
  <si>
    <t>comparisonofanteriorandrotatorylaxityusingnavigationbetweensingleanddoublebundleaclreconstruction:prospectiverandomizedtrial</t>
  </si>
  <si>
    <t>Lee+comparisonofanteriorandrotatorylaxityusingnavigationbetweensingleanddoublebundleaclreconstruction:prospectiverandomizedtrial+2012</t>
  </si>
  <si>
    <t>21624672</t>
  </si>
  <si>
    <t>Tunnel widening after anterior cruciate ligament reconstruction: a prospective randomized computed tomography--based study comparing 2 different femoral fixation methods for hamstring graft</t>
  </si>
  <si>
    <t>Sabat D, Kundu K, Arora S, Kumar V.</t>
  </si>
  <si>
    <t>10.1016/j.arthro.2011.02.009</t>
  </si>
  <si>
    <t>Sabat</t>
  </si>
  <si>
    <t>tunnelwideningafteranteriorcruciateligamentreconstruction:aprospectiverandomizedcomputedtomographybasedstudycomparing2differentfemoralfixationmethodsforhamstringgraft</t>
  </si>
  <si>
    <t>Sabat+tunnelwideningafteranteriorcruciateligamentreconstruction:aprospectiverandomizedcomputedtomographybasedstudycomparing2differentfemoralfixationmethodsforhamstringgraft+2011</t>
  </si>
  <si>
    <t>20575918</t>
  </si>
  <si>
    <t>Prospective randomized comparison of endobutton versus cross-pin femoral fixation in hamstring anterior cruciate ligament reconstruction with 2-year follow-up</t>
  </si>
  <si>
    <t>Price R, Stoney J, Brown G.</t>
  </si>
  <si>
    <t>ANZ J Surg</t>
  </si>
  <si>
    <t>10.1111/j.1445-2197.2009.05128.x</t>
  </si>
  <si>
    <t>Price</t>
  </si>
  <si>
    <t>prospectiverandomizedcomparisonofendobuttonversuscrosspinfemoralfixationinhamstringanteriorcruciateligamentreconstructionwith2yearfollowup</t>
  </si>
  <si>
    <t>Price+prospectiverandomizedcomparisonofendobuttonversuscrosspinfemoralfixationinhamstringanteriorcruciateligamentreconstructionwith2yearfollowup+2010</t>
  </si>
  <si>
    <t>20517680</t>
  </si>
  <si>
    <t>The effect of platelet-derived growth factors on knee stability after anterior cruciate ligament reconstruction: a prospective randomized clinical study</t>
  </si>
  <si>
    <t>Vogrin M, Rupreht M, Crnjac A, Dinevski D, Krajnc Z, Recnik G.</t>
  </si>
  <si>
    <t>10.1007/s00508-010-1340-2</t>
  </si>
  <si>
    <t>Vogrin</t>
  </si>
  <si>
    <t>theeffectofplateletderivedgrowthfactorsonkneestabilityafteranteriorcruciateligamentreconstruction:aprospectiverandomizedclinicalstudy</t>
  </si>
  <si>
    <t>Vogrin+theeffectofplateletderivedgrowthfactorsonkneestabilityafteranteriorcruciateligamentreconstruction:aprospectiverandomizedclinicalstudy+2010</t>
  </si>
  <si>
    <t>20392970</t>
  </si>
  <si>
    <t>A long-term, prospective, randomized study comparing biodegradable and metal interference screws in anterior cruciate ligament reconstruction surgery: radiographic results and clinical outcome</t>
  </si>
  <si>
    <t>Stener S, Ejerhed L, Sernert N, Laxdal G, Rostgård-Christensen L, Kartus J.</t>
  </si>
  <si>
    <t>10.1177/0363546510361952</t>
  </si>
  <si>
    <t>Stener</t>
  </si>
  <si>
    <t>alongtermprospectiverandomizedstudycomparingbiodegradableandmetalinterferencescrewsinanteriorcruciateligamentreconstructionsurgery:radiographicresultsandclinicaloutcome</t>
  </si>
  <si>
    <t>Stener+alongtermprospectiverandomizedstudycomparingbiodegradableandmetalinterferencescrewsinanteriorcruciateligamentreconstructionsurgery:radiographicresultsandclinicaloutcome+2010</t>
  </si>
  <si>
    <t>20357328</t>
  </si>
  <si>
    <t>A comparison of early and delayed arthroscopically-assisted reconstruction of the anterior cruciate ligament using hamstring autograft</t>
  </si>
  <si>
    <t>Raviraj A, Anand A, Kodikal G, Chandrashekar M, Pai S.</t>
  </si>
  <si>
    <t>10.1302/0301-620X.92B4.22973</t>
  </si>
  <si>
    <t>Raviraj</t>
  </si>
  <si>
    <t>acomparisonofearlyanddelayedarthroscopicallyassistedreconstructionoftheanteriorcruciateligamentusinghamstringautograft</t>
  </si>
  <si>
    <t>Raviraj+acomparisonofearlyanddelayedarthroscopicallyassistedreconstructionoftheanteriorcruciateligamentusinghamstringautograft+2010</t>
  </si>
  <si>
    <t>20044497</t>
  </si>
  <si>
    <t>Biodegradable screw versus a press-fit bone plug fixation for hamstring anterior cruciate ligament reconstruction: a prospective randomized study</t>
  </si>
  <si>
    <t>Jagodzinski M, Geiges B, von Falck C, Knobloch K, Haasper C, Brand J, Hankemeier S, Krettek C, Meller R.</t>
  </si>
  <si>
    <t>10.1177/0363546509350325</t>
  </si>
  <si>
    <t>Jagodzinski</t>
  </si>
  <si>
    <t>biodegradablescrewversusapressfitboneplugfixationforhamstringanteriorcruciateligamentreconstruction:aprospectiverandomizedstudy</t>
  </si>
  <si>
    <t>Jagodzinski+biodegradablescrewversusapressfitboneplugfixationforhamstringanteriorcruciateligamentreconstruction:aprospectiverandomizedstudy+2010</t>
  </si>
  <si>
    <t>19557391</t>
  </si>
  <si>
    <t>Double-bundle versus single-bundle ACL reconstruction using the horizontal femoral position: a prospective, randomized study</t>
  </si>
  <si>
    <t>Sastre S, Popescu D, Núñez M, Pomes J, Tomas X, Peidro L.</t>
  </si>
  <si>
    <t>10.1007/s00167-009-0844-7</t>
  </si>
  <si>
    <t>Sastre</t>
  </si>
  <si>
    <t>doublebundleversussinglebundleaclreconstructionusingthehorizontalfemoralposition:aprospectiverandomizedstudy</t>
  </si>
  <si>
    <t>Sastre+doublebundleversussinglebundleaclreconstructionusingthehorizontalfemoralposition:aprospectiverandomizedstudy+2010</t>
  </si>
  <si>
    <t>19486478</t>
  </si>
  <si>
    <t>Tibial translation and muscle activation during rehabilitation exercises 5 weeks after anterior cruciate ligament reconstruction</t>
  </si>
  <si>
    <t>Tagesson S, Oberg B, Kvist J.</t>
  </si>
  <si>
    <t>10.1111/j.1600-0838.2009.00903.x</t>
  </si>
  <si>
    <t>Tagesson</t>
  </si>
  <si>
    <t>tibialtranslationandmuscleactivationduringrehabilitationexercises5weeksafteranteriorcruciateligamentreconstruction</t>
  </si>
  <si>
    <t>Tagesson+tibialtranslationandmuscleactivationduringrehabilitationexercises5weeksafteranteriorcruciateligamentreconstruction+2010</t>
  </si>
  <si>
    <t>19483077</t>
  </si>
  <si>
    <t>Bioresorbable pins and interference screws for fixation of hamstring tendon grafts in anterior cruciate ligament reconstruction surgery: a randomized controlled trial</t>
  </si>
  <si>
    <t>Stengel D, Casper D, Bauwens K, Ekkernkamp A, Wich M.</t>
  </si>
  <si>
    <t>10.1177/0363546509333008</t>
  </si>
  <si>
    <t>Stengel</t>
  </si>
  <si>
    <t>bioresorbablepinsandinterferencescrewsforfixationofhamstringtendongraftsinanteriorcruciateligamentreconstructionsurgery:arandomizedcontrolledtrial</t>
  </si>
  <si>
    <t>Stengel+bioresorbablepinsandinterferencescrewsforfixationofhamstringtendongraftsinanteriorcruciateligamentreconstructionsurgery:arandomizedcontrolledtrial+2009</t>
  </si>
  <si>
    <t>18762911</t>
  </si>
  <si>
    <t>Comparison of the bioabsorbable and metal screw fixation after ACL reconstruction with a hamstring autograft in MRI and clinical outcome: a prospective randomized study</t>
  </si>
  <si>
    <t>Moisala AS, Järvelä T, Paakkala A, Paakkala T, Kannus P, Järvinen M.</t>
  </si>
  <si>
    <t>10.1007/s00167-008-0593-z</t>
  </si>
  <si>
    <t>Moisala</t>
  </si>
  <si>
    <t>comparisonofthebioabsorbableandmetalscrewfixationafteraclreconstructionwithahamstringautograftinmriandclinicaloutcome:aprospectiverandomizedstudy</t>
  </si>
  <si>
    <t>Moisala+comparisonofthebioabsorbableandmetalscrewfixationafteraclreconstructionwithahamstringautograftinmriandclinicaloutcome:aprospectiverandomizedstudy+2008</t>
  </si>
  <si>
    <t>18589271</t>
  </si>
  <si>
    <t>Bioabsorbable versus titanium interference screws with hamstring autograft in anterior cruciate ligament reconstruction: a prospective randomized trial with 2-year follow-up</t>
  </si>
  <si>
    <t>Myers P, Logan M, Stokes A, Boyd K, Watts M.</t>
  </si>
  <si>
    <t>10.1016/j.arthro.2008.02.011</t>
  </si>
  <si>
    <t>Myers</t>
  </si>
  <si>
    <t>bioabsorbableversustitaniuminterferencescrewswithhamstringautograftinanteriorcruciateligamentreconstruction:aprospectiverandomizedtrialwith2yearfollowup</t>
  </si>
  <si>
    <t>Myers+bioabsorbableversustitaniuminterferencescrewswithhamstringautograftinanteriorcruciateligamentreconstruction:aprospectiverandomizedtrialwith2yearfollowup+2008</t>
  </si>
  <si>
    <t>18490472</t>
  </si>
  <si>
    <t>Prospective clinical comparisons of anatomic double-bundle versus single-bundle anterior cruciate ligament reconstruction procedures in 328 consecutive patients</t>
  </si>
  <si>
    <t>Kondo E, Yasuda K, Azuma H, Tanabe Y, Yagi T.</t>
  </si>
  <si>
    <t>10.1177/0363546508317123</t>
  </si>
  <si>
    <t>Kondo</t>
  </si>
  <si>
    <t>prospectiveclinicalcomparisonsofanatomicdoublebundleversussinglebundleanteriorcruciateligamentreconstructionproceduresin328consecutivepatients</t>
  </si>
  <si>
    <t>Kondo+prospectiveclinicalcomparisonsofanatomicdoublebundleversussinglebundleanteriorcruciateligamentreconstructionproceduresin328consecutivepatients+2008</t>
  </si>
  <si>
    <t>18385980</t>
  </si>
  <si>
    <t>Effects of biophysical stimulation in patients undergoing arthroscopic reconstruction of anterior cruciate ligament: prospective, randomized and double blind study</t>
  </si>
  <si>
    <t>Benazzo F, Zanon G, Pederzini L, Modonesi F, Cardile C, Falez F, Ciolli L, La Cava F, Giannini S, Buda R, Setti S, Caruso G, Massari L.</t>
  </si>
  <si>
    <t>10.1007/s00167-008-0519-9</t>
  </si>
  <si>
    <t>Benazzo</t>
  </si>
  <si>
    <t>effectsofbiophysicalstimulationinpatientsundergoingarthroscopicreconstructionofanteriorcruciateligament:prospectiverandomizedanddoubleblindstudy</t>
  </si>
  <si>
    <t>Benazzo+effectsofbiophysicalstimulationinpatientsundergoingarthroscopicreconstructionofanteriorcruciateligament:prospectiverandomizedanddoubleblindstudy+2008</t>
  </si>
  <si>
    <t>18367398</t>
  </si>
  <si>
    <t>No difference in clinical results between femoral transfixation and bio-interference screw fixation in hamstring tendon ACL reconstruction. A preliminary study</t>
  </si>
  <si>
    <t>Capuano L, Hardy P, Longo UG, Denaro V, Maffulli N.</t>
  </si>
  <si>
    <t>10.1016/j.knee.2008.02.003</t>
  </si>
  <si>
    <t>Capuano</t>
  </si>
  <si>
    <t>nodifferenceinclinicalresultsbetweenfemoraltransfixationandbiointerferencescrewfixationinhamstringtendonaclreconstructionapreliminarystudy</t>
  </si>
  <si>
    <t>Capuano+nodifferenceinclinicalresultsbetweenfemoraltransfixationandbiointerferencescrewfixationinhamstringtendonaclreconstructionapreliminarystudy+2008</t>
  </si>
  <si>
    <t>18237696</t>
  </si>
  <si>
    <t>Prospective randomized comparison of double-bundle versus single-bundle anterior cruciate ligament reconstruction</t>
  </si>
  <si>
    <t>Siebold R, Dehler C, Ellert T.</t>
  </si>
  <si>
    <t>10.1016/j.arthro.2007.11.013</t>
  </si>
  <si>
    <t>Siebold</t>
  </si>
  <si>
    <t>prospectiverandomizedcomparisonofdoublebundleversussinglebundleanteriorcruciateligamentreconstruction</t>
  </si>
  <si>
    <t>Siebold+prospectiverandomizedcomparisonofdoublebundleversussinglebundleanteriorcruciateligamentreconstruction+2008</t>
  </si>
  <si>
    <t>18212347</t>
  </si>
  <si>
    <t>Postoperative range of motion following anterior cruciate ligament reconstruction using autograft hamstrings: a prospective, randomized clinical trial of early versus delayed reconstructions</t>
  </si>
  <si>
    <t>Bottoni CR, Liddell TR, Trainor TJ, Freccero DM, Lindell KK.</t>
  </si>
  <si>
    <t>10.1177/0363546507312164</t>
  </si>
  <si>
    <t>Bottoni</t>
  </si>
  <si>
    <t>postoperativerangeofmotionfollowinganteriorcruciateligamentreconstructionusingautografthamstrings:aprospectiverandomizedclinicaltrialofearlyversusdelayedreconstructions</t>
  </si>
  <si>
    <t>Bottoni+postoperativerangeofmotionfollowinganteriorcruciateligamentreconstructionusingautografthamstrings:aprospectiverandomizedclinicaltrialofearlyversusdelayedreconstructions+2008</t>
  </si>
  <si>
    <t>18208432</t>
  </si>
  <si>
    <t>ST/G ACL reconstruction: double strand plus extra-articular sling vs double bundle, randomized study at 3-year follow-up</t>
  </si>
  <si>
    <t>Zaffagnini S, Bruni D, Russo A, Takazawa Y, Lo Presti M, Giordano G, Marcacci M.</t>
  </si>
  <si>
    <t>10.1111/j.1600-0838.2007.00697.x</t>
  </si>
  <si>
    <t>st/gaclreconstruction:doublestrandplusextraarticularslingvsdoublebundlerandomizedstudyat3yearfollowup</t>
  </si>
  <si>
    <t>Zaffagnini+st/gaclreconstruction:doublestrandplusextraarticularslingvsdoublebundlerandomizedstudyat3yearfollowup+2008</t>
  </si>
  <si>
    <t>18193194</t>
  </si>
  <si>
    <t>Reconstruction of the ACL with a semitendinosus tendon graft: a prospective randomized single blinded comparison of double-bundle versus single-bundle technique in male athletes</t>
  </si>
  <si>
    <t>Streich NA, Friedrich K, Gotterbarm T, Schmitt H.</t>
  </si>
  <si>
    <t>10.1007/s00167-007-0480-z</t>
  </si>
  <si>
    <t>Streich</t>
  </si>
  <si>
    <t>reconstructionoftheaclwithasemitendinosustendongraft:aprospectiverandomizedsingleblindedcomparisonofdoublebundleversussinglebundletechniqueinmaleathletes</t>
  </si>
  <si>
    <t>Streich+reconstructionoftheaclwithasemitendinosustendongraft:aprospectiverandomizedsingleblindedcomparisonofdoublebundleversussinglebundletechniqueinmaleathletes+2008</t>
  </si>
  <si>
    <t>18192493</t>
  </si>
  <si>
    <t>A randomized controlled trial comparing the effectiveness of functional knee brace and neoprene sleeve use after anterior cruciate ligament reconstruction</t>
  </si>
  <si>
    <t>Birmingham TB, Bryant DM, Giffin JR, Litchfield RB, Kramer JF, Donner A, Fowler PJ.</t>
  </si>
  <si>
    <t>10.1177/0363546507311601</t>
  </si>
  <si>
    <t>Birmingham</t>
  </si>
  <si>
    <t>arandomizedcontrolledtrialcomparingtheeffectivenessoffunctionalkneebraceandneoprenesleeveuseafteranteriorcruciateligamentreconstruction</t>
  </si>
  <si>
    <t>Birmingham+arandomizedcontrolledtrialcomparingtheeffectivenessoffunctionalkneebraceandneoprenesleeveuseafteranteriorcruciateligamentreconstruction+2008</t>
  </si>
  <si>
    <t>18063177</t>
  </si>
  <si>
    <t>Does the position of the femoral tunnel affect the laxity or clinical outcome of the anterior cruciate ligament-reconstructed knee? A clinical, prospective, randomized, double-blind study</t>
  </si>
  <si>
    <t>Jepsen CF, Lundberg-Jensen AK, Faunoe P.</t>
  </si>
  <si>
    <t>10.1016/j.arthro.2007.09.010</t>
  </si>
  <si>
    <t>Jepsen</t>
  </si>
  <si>
    <t>doesthepositionofthefemoraltunnelaffectthelaxityorclinicaloutcomeoftheanteriorcruciateligamentreconstructedknee?aclinicalprospectiverandomizeddoubleblindstudy</t>
  </si>
  <si>
    <t>Jepsen+doesthepositionofthefemoraltunnelaffectthelaxityorclinicaloutcomeoftheanteriorcruciateligamentreconstructedknee?aclinicalprospectiverandomizeddoubleblindstudy+2007</t>
  </si>
  <si>
    <t>17940146</t>
  </si>
  <si>
    <t>A comprehensive rehabilitation program with quadriceps strengthening in closed versus open kinetic chain exercise in patients with anterior cruciate ligament deficiency: a randomized clinical trial evaluating dynamic tibial translation and muscle function</t>
  </si>
  <si>
    <t>Tagesson S, Oberg B, Good L, Kvist J.</t>
  </si>
  <si>
    <t>10.1177/0363546507307867</t>
  </si>
  <si>
    <t>acomprehensiverehabilitationprogramwithquadricepsstrengtheninginclosedversusopenkineticchainexerciseinpatientswithanteriorcruciateligamentdeficiency:arandomizedclinicaltrialevaluatingdynamictibialtranslationandmusclefunction</t>
  </si>
  <si>
    <t>Tagesson+acomprehensiverehabilitationprogramwithquadricepsstrengtheninginclosedversusopenkineticchainexerciseinpatientswithanteriorcruciateligamentdeficiency:arandomizedclinicaltrialevaluatingdynamictibialtranslationandmusclefunction+2008</t>
  </si>
  <si>
    <t>17940145</t>
  </si>
  <si>
    <t>Double-bundle anterior cruciate ligament reconstruction using hamstring autografts and bioabsorbable interference screw fixation: prospective, randomized, clinical study with 2-year results</t>
  </si>
  <si>
    <t>Järvelä T, Moisala AS, Sihvonen R, Järvelä S, Kannus P, Järvinen M.</t>
  </si>
  <si>
    <t>10.1177/0363546507308360</t>
  </si>
  <si>
    <t>doublebundleanteriorcruciateligamentreconstructionusinghamstringautograftsandbioabsorbableinterferencescrewfixation:prospectiverandomizedclinicalstudywith2yearresults</t>
  </si>
  <si>
    <t>Järvelä+doublebundleanteriorcruciateligamentreconstructionusinghamstringautograftsandbioabsorbableinterferencescrewfixation:prospectiverandomizedclinicalstudywith2yearresults+2008</t>
  </si>
  <si>
    <t>17934715</t>
  </si>
  <si>
    <t>Arthroscopic ACL reconstruction with Delta plasty: an innovative approach with hamstrings' transfer and double tibial tunnel</t>
  </si>
  <si>
    <t>Papachristou G, Sourlas J, Plessas S, Papachristou K.</t>
  </si>
  <si>
    <t>10.1007/s00167-007-0426-5</t>
  </si>
  <si>
    <t>Papachristou</t>
  </si>
  <si>
    <t>arthroscopicaclreconstructionwithdeltaplasty:aninnovativeapproachwithhamstrings'transferanddoubletibialtunnel</t>
  </si>
  <si>
    <t>Papachristou+arthroscopicaclreconstructionwithdeltaplasty:aninnovativeapproachwithhamstrings'transferanddoubletibialtunnel+2008</t>
  </si>
  <si>
    <t>17905952</t>
  </si>
  <si>
    <t>Anterior cruciate ligament reconstruction using autologous double hamstrings: a comparison of standard versus minimal debridement techniques using MRI to assess revascularisation. A randomised prospective study with a one-year follow-up</t>
  </si>
  <si>
    <t>Gohil S, Annear PO, Breidahl W.</t>
  </si>
  <si>
    <t>10.1302/0301-620X.89B9.19339</t>
  </si>
  <si>
    <t>Gohil</t>
  </si>
  <si>
    <t>anteriorcruciateligamentreconstructionusingautologousdoublehamstrings:acomparisonofstandardversusminimaldebridementtechniquesusingmritoassessrevascularisationarandomisedprospectivestudywithaoneyearfollowup</t>
  </si>
  <si>
    <t>Gohil+anteriorcruciateligamentreconstructionusingautologousdoublehamstrings:acomparisonofstandardversusminimaldebridementtechniquesusingmritoassessrevascularisationarandomisedprospectivestudywithaoneyearfollowup+2007</t>
  </si>
  <si>
    <t>17637413</t>
  </si>
  <si>
    <t>Double-bundle anterior cruciate ligament reconstruction: four versus eight strands of hamstring tendon graft</t>
  </si>
  <si>
    <t>Zhao J, He Y, Wang J.</t>
  </si>
  <si>
    <t>10.1016/j.arthro.2007.01.022</t>
  </si>
  <si>
    <t>doublebundleanteriorcruciateligamentreconstruction:fourversuseightstrandsofhamstringtendongraft</t>
  </si>
  <si>
    <t>Zhao+doublebundleanteriorcruciateligamentreconstruction:fourversuseightstrandsofhamstringtendongraft+2007</t>
  </si>
  <si>
    <t>17560476</t>
  </si>
  <si>
    <t>A prospective randomized study of 4-strand semitendinosus tendon anterior cruciate ligament reconstruction comparing single-bundle and double-bundle techniques</t>
  </si>
  <si>
    <t>Muneta T, Koga H, Mochizuki T, Ju YJ, Hara K, Nimura A, Yagishita K, Sekiya I.</t>
  </si>
  <si>
    <t>10.1016/j.arthro.2007.04.010</t>
  </si>
  <si>
    <t>Muneta</t>
  </si>
  <si>
    <t>aprospectiverandomizedstudyof4strandsemitendinosustendonanteriorcruciateligamentreconstructioncomparingsinglebundleanddoublebundletechniques</t>
  </si>
  <si>
    <t>Muneta+aprospectiverandomizedstudyof4strandsemitendinosustendonanteriorcruciateligamentreconstructioncomparingsinglebundleanddoublebundletechniques+2007</t>
  </si>
  <si>
    <t>17216271</t>
  </si>
  <si>
    <t>Double-bundle versus single-bundle anterior cruciate ligament reconstruction: a prospective, randomize clinical study</t>
  </si>
  <si>
    <t>Järvelä T.</t>
  </si>
  <si>
    <t>10.1007/s00167-006-0254-z</t>
  </si>
  <si>
    <t>doublebundleversussinglebundleanteriorcruciateligamentreconstruction:aprospectiverandomizeclinicalstudy</t>
  </si>
  <si>
    <t>Järvelä+doublebundleversussinglebundleanteriorcruciateligamentreconstruction:aprospectiverandomizeclinicalstudy+2007</t>
  </si>
  <si>
    <t>16685087</t>
  </si>
  <si>
    <t>Biodegradable and metallic interference screws in anterior cruciate ligament reconstruction surgery using hamstring tendon grafts: prospective randomized study of radiographic results and clinical outcome</t>
  </si>
  <si>
    <t>Laxdal G, Kartus J, Eriksson BI, Faxén E, Sernert N, Karlsson J.</t>
  </si>
  <si>
    <t>10.1177/0363546506288014</t>
  </si>
  <si>
    <t>biodegradableandmetallicinterferencescrewsinanteriorcruciateligamentreconstructionsurgeryusinghamstringtendongrafts:prospectiverandomizedstudyofradiographicresultsandclinicaloutcome</t>
  </si>
  <si>
    <t>Laxdal+biodegradableandmetallicinterferencescrewsinanteriorcruciateligamentreconstructionsurgeryusinghamstringtendongrafts:prospectiverandomizedstudyofradiographicresultsandclinicaloutcome+2006</t>
  </si>
  <si>
    <t>16517306</t>
  </si>
  <si>
    <t>Clinical evaluation of anatomic double-bundle anterior cruciate ligament reconstruction procedure using hamstring tendon grafts: comparisons among 3 different procedures</t>
  </si>
  <si>
    <t>Yasuda K, Kondo E, Ichiyama H, Tanabe Y, Tohyama H.</t>
  </si>
  <si>
    <t>10.1016/j.arthro.2005.12.017</t>
  </si>
  <si>
    <t>clinicalevaluationofanatomicdoublebundleanteriorcruciateligamentreconstructionprocedureusinghamstringtendongrafts:comparisonsamong3differentprocedures</t>
  </si>
  <si>
    <t>Yasuda+clinicalevaluationofanatomicdoublebundleanteriorcruciateligamentreconstructionprocedureusinghamstringtendongrafts:comparisonsamong3differentprocedures+2006</t>
  </si>
  <si>
    <t>16465537</t>
  </si>
  <si>
    <t>Prospective randomized clinical comparison of femoral transfixation versus bioscrew fixation in hamstring tendon ACL reconstruction--a preliminary report</t>
  </si>
  <si>
    <t>Rose T, Hepp P, Venus J, Stockmar C, Josten C, Lill H.</t>
  </si>
  <si>
    <t>10.1007/s00167-006-0034-9</t>
  </si>
  <si>
    <t>prospectiverandomizedclinicalcomparisonoffemoraltransfixationversusbioscrewfixationinhamstringtendonaclreconstructionapreliminaryreport</t>
  </si>
  <si>
    <t>Rose+prospectiverandomizedclinicalcomparisonoffemoraltransfixationversusbioscrewfixationinhamstringtendonaclreconstructionapreliminaryreport+2006</t>
  </si>
  <si>
    <t>16325084</t>
  </si>
  <si>
    <t>Tunnel widening after hamstring anterior cruciate ligament reconstruction is influenced by the type of graft fixation used: a prospective randomized study</t>
  </si>
  <si>
    <t>Fauno P, Kaalund S.</t>
  </si>
  <si>
    <t>10.1016/j.arthro.2005.08.023</t>
  </si>
  <si>
    <t>Fauno</t>
  </si>
  <si>
    <t>tunnelwideningafterhamstringanteriorcruciateligamentreconstructionisinfluencedbythetypeofgraftfixationused:aprospectiverandomizedstudy</t>
  </si>
  <si>
    <t>Fauno+tunnelwideningafterhamstringanteriorcruciateligamentreconstructionisinfluencedbythetypeofgraftfixationused:aprospectiverandomizedstudy+2005</t>
  </si>
  <si>
    <t>16167266</t>
  </si>
  <si>
    <t>[Subsequent treatment of surgically managed, fresh, anterior cruciate ligament ruptures--a randomized, prospective study]</t>
  </si>
  <si>
    <t>Pförringer W, Kremer C.</t>
  </si>
  <si>
    <t>Sportverletz Sportschaden</t>
  </si>
  <si>
    <t>10.1055/s-2005-858472</t>
  </si>
  <si>
    <t>Pförringer</t>
  </si>
  <si>
    <t>subsequenttreatmentofsurgicallymanagedfreshanteriorcruciateligamentrupturesarandomizedprospectivestudy</t>
  </si>
  <si>
    <t>Pförringer+subsequenttreatmentofsurgicallymanagedfreshanteriorcruciateligamentrupturesarandomizedprospectivestudy+2005</t>
  </si>
  <si>
    <t>15756179</t>
  </si>
  <si>
    <t>Hamstring anterior cruciate ligament reconstruction: is it necessary to sacrifice the gracilis?</t>
  </si>
  <si>
    <t>Gobbi A, Domzalski M, Pascual J, Zanazzo M.</t>
  </si>
  <si>
    <t>10.1016/j.arthro.2004.10.016</t>
  </si>
  <si>
    <t>hamstringanteriorcruciateligamentreconstruction:isitnecessarytosacrificethegracilis?</t>
  </si>
  <si>
    <t>Gobbi+hamstringanteriorcruciateligamentreconstruction:isitnecessarytosacrificethegracilis?+2005</t>
  </si>
  <si>
    <t>15723704</t>
  </si>
  <si>
    <t>Resorbable screws versus pins for optimal transplant fixation (SPOT) in anterior cruciate ligament replacement with autologous hamstring grafts: rationale and design of a randomized, controlled, patient and investigator blinded trial [ISRCTN17384369]</t>
  </si>
  <si>
    <t>Stengel D, Matthes G, Seifert J, Tober V, Mutze S, Rademacher G, Ekkernkamp A, Bauwens K, Wich M, Casper D; SPOT Group.</t>
  </si>
  <si>
    <t>10.1186/1471-2482-5-1</t>
  </si>
  <si>
    <t>resorbablescrewsversuspinsforoptimaltransplantfixation(spot)inanteriorcruciateligamentreplacementwithautologoushamstringgrafts:rationaleanddesignofarandomizedcontrolledpatientandinvestigatorblindedtrialisrctn17384369</t>
  </si>
  <si>
    <t>Stengel+resorbablescrewsversuspinsforoptimaltransplantfixation(spot)inanteriorcruciateligamentreplacementwithautologoushamstringgrafts:rationaleanddesignofarandomizedcontrolledpatientandinvestigatorblindedtrialisrctn17384369+2005</t>
  </si>
  <si>
    <t>15650663</t>
  </si>
  <si>
    <t>Cross-pin femoral fixation versus metal interference screw fixation in anterior cruciate ligament reconstruction with hamstring tendons: results of a controlled prospective randomized study with 2-year follow-up</t>
  </si>
  <si>
    <t>Harilainen A, Sandelin J, Jansson KA.</t>
  </si>
  <si>
    <t>10.1016/j.arthro.2004.09.013</t>
  </si>
  <si>
    <t>crosspinfemoralfixationversusmetalinterferencescrewfixationinanteriorcruciateligamentreconstructionwithhamstringtendons:resultsofacontrolledprospectiverandomizedstudywith2yearfollowup</t>
  </si>
  <si>
    <t>Harilainen+crosspinfemoralfixationversusmetalinterferencescrewfixationinanteriorcruciateligamentreconstructionwithhamstringtendons:resultsofacontrolledprospectiverandomizedstudywith2yearfollowup+2005</t>
  </si>
  <si>
    <t>14754739</t>
  </si>
  <si>
    <t>Augmentation of femoral fixation in hamstring anterior cruciate ligament reconstruction with a bioabsorbable bead: a prospective single-blind randomized clinical trial</t>
  </si>
  <si>
    <t>Arneja S, Froese W, MacDonald P.</t>
  </si>
  <si>
    <t>10.1177/0095399703258675</t>
  </si>
  <si>
    <t>Arneja</t>
  </si>
  <si>
    <t>augmentationoffemoralfixationinhamstringanteriorcruciateligamentreconstructionwithabioabsorbablebead:aprospectivesingleblindrandomizedclinicaltrial</t>
  </si>
  <si>
    <t>Arneja+augmentationoffemoralfixationinhamstringanteriorcruciateligamentreconstructionwithabioabsorbablebead:aprospectivesingleblindrandomizedclinicaltrial+2004</t>
  </si>
  <si>
    <t>12793556</t>
  </si>
  <si>
    <t>Outcome after reconstruction of the anterior cruciate ligament in athletic patients. A comparison of early versus delayed surgery</t>
  </si>
  <si>
    <t>Meighan AA, Keating JF, Will E.</t>
  </si>
  <si>
    <t>10.1302/0301-620x.85b4.13743</t>
  </si>
  <si>
    <t>Meighan</t>
  </si>
  <si>
    <t>outcomeafterreconstructionoftheanteriorcruciateligamentinathleticpatientsacomparisonofearlyversusdelayedsurgery</t>
  </si>
  <si>
    <t>Meighan+outcomeafterreconstructionoftheanteriorcruciateligamentinathleticpatientsacomparisonofearlyversusdelayedsurgery+2003</t>
  </si>
  <si>
    <t>11877607</t>
  </si>
  <si>
    <t>Anterior cruciate ligament reconstruction using four-strand semitendinosus and gracilis tendon grafts and metal interference screw fixation</t>
  </si>
  <si>
    <t>Colombet P, Allard M, Bousquet V, de Lavigne C, Flurin PH, Lachaud C.</t>
  </si>
  <si>
    <t>10.1053/jars.2002.30637</t>
  </si>
  <si>
    <t>Colombet</t>
  </si>
  <si>
    <t>anteriorcruciateligamentreconstructionusingfourstrandsemitendinosusandgracilistendongraftsandmetalinterferencescrewfixation</t>
  </si>
  <si>
    <t>Colombet+anteriorcruciateligamentreconstructionusingfourstrandsemitendinosusandgracilistendongraftsandmetalinterferencescrewfixation+2002</t>
  </si>
  <si>
    <t>11568194</t>
  </si>
  <si>
    <t>Arthroscopically assisted reconstruction of the anterior cruciate ligament. A follow-up report</t>
  </si>
  <si>
    <t>O'Neill DB.</t>
  </si>
  <si>
    <t>10.2106/00004623-200109000-00006</t>
  </si>
  <si>
    <t>O'Neill</t>
  </si>
  <si>
    <t>arthroscopicallyassistedreconstructionoftheanteriorcruciateligamentafollowupreport</t>
  </si>
  <si>
    <t>O'Neill+arthroscopicallyassistedreconstructionoftheanteriorcruciateligamentafollowupreport+2001</t>
  </si>
  <si>
    <t>11147151</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</si>
  <si>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</si>
  <si>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</si>
  <si>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10.1007/s001670000143</t>
  </si>
  <si>
    <t>closedkineticchainalonecomparedtocombinedopenandclosedkineticchainexercisesforquadricepsstrengtheningafteranteriorcruciateligamentreconstructionwithrespecttoreturntosports:aprospectivematchedfollowupstudy</t>
  </si>
  <si>
    <t>Mikkelsen+closedkineticchainalonecomparedtocombinedopenandclosedkineticchainexercisesforquadricepsstrengtheningafteranteriorcruciateligamentreconstructionwithrespecttoreturntosports:aprospectivematchedfollowupstudy+2000</t>
  </si>
  <si>
    <t>8947397</t>
  </si>
  <si>
    <t>The effect of tourniquet use in anterior cruciate ligament reconstruction. A prospective, randomized study</t>
  </si>
  <si>
    <t>Arciero RA, Scoville CR, Hayda RA, Snyder RJ.</t>
  </si>
  <si>
    <t>10.1177/036354659602400610</t>
  </si>
  <si>
    <t>Arciero</t>
  </si>
  <si>
    <t>theeffectoftourniquetuseinanteriorcruciateligamentreconstructionaprospectiverandomizedstudy</t>
  </si>
  <si>
    <t>Arciero+theeffectoftourniquetuseinanteriorcruciateligamentreconstructionaprospectiverandomizedstudy+1996</t>
  </si>
  <si>
    <t>7827632</t>
  </si>
  <si>
    <t>Anterior tibial translation during progressive loading of the ACL-deficient knee during weight-bearing and nonweight-bearing isometric exercise</t>
  </si>
  <si>
    <t>Yack HJ, Riley LM, Whieldon TR.</t>
  </si>
  <si>
    <t>J Orthop Sports Phys Ther</t>
  </si>
  <si>
    <t>10.2519/jospt.1994.20.5.247</t>
  </si>
  <si>
    <t>Yack</t>
  </si>
  <si>
    <t>anteriortibialtranslationduringprogressiveloadingoftheacldeficientkneeduringweightbearingandnonweightbearingisometricexercise</t>
  </si>
  <si>
    <t>Yack+anteriortibialtranslationduringprogressiveloadingoftheacldeficientkneeduringweightbearingandnonweightbearingisometricexercise+1994</t>
  </si>
  <si>
    <t>40944765</t>
  </si>
  <si>
    <t>Quadriceps versus hamstrings autograft in anterior cruciate ligament reconstruction: a randomized control trial</t>
  </si>
  <si>
    <t>Yadav AK, Sharma A, Paul N, Bhakhar A, Sarkar B, Azam MQ.</t>
  </si>
  <si>
    <t>10.1007/s00590-025-04510-2</t>
  </si>
  <si>
    <t>Yadav</t>
  </si>
  <si>
    <t>quadricepsversushamstringsautograftinanteriorcruciateligamentreconstruction:arandomizedcontroltrial</t>
  </si>
  <si>
    <t>Yadav+quadricepsversushamstringsautograftinanteriorcruciateligamentreconstruction:arandomizedcontroltrial+2025</t>
  </si>
  <si>
    <t>39385323</t>
  </si>
  <si>
    <t>Which technique provides more benefits in return to sports and clinical outcomes after anterior cruciate ligament reconstruction: Double-bundle or single-bundle? A randomized controlled study</t>
  </si>
  <si>
    <t>Wang X, Xu Z, Song S, Mao Z, Huang X, Luo M, Zhou X, Xu B, Ye J, Song Y, Yu J.</t>
  </si>
  <si>
    <t>Chin Med J (Engl)</t>
  </si>
  <si>
    <t>10.1097/CM9.0000000000003267</t>
  </si>
  <si>
    <t>whichtechniqueprovidesmorebenefitsinreturntosportsandclinicaloutcomesafteranteriorcruciateligamentreconstruction:doublebundleorsinglebundle?arandomizedcontrolledstudy</t>
  </si>
  <si>
    <t>Wang+whichtechniqueprovidesmorebenefitsinreturntosportsandclinicaloutcomesafteranteriorcruciateligamentreconstruction:doublebundleorsinglebundle?arandomizedcontrolledstudy+2025</t>
  </si>
  <si>
    <t>36096886</t>
  </si>
  <si>
    <t>Effect of pulsed electromagnetic field as an intervention for patients with quadriceps weakness after anterior cruciate ligament reconstruction: a double-blinded, randomized-controlled trial</t>
  </si>
  <si>
    <t>Ong MT, Man GC, Lau LC, He X, Qiu J, Wang Q, Chow MC, Choi BC, Yu M, Yung PS.</t>
  </si>
  <si>
    <t>Trials</t>
  </si>
  <si>
    <t>10.1186/s13063-022-06674-2</t>
  </si>
  <si>
    <t>effectofpulsedelectromagneticfieldasaninterventionforpatientswithquadricepsweaknessafteranteriorcruciateligamentreconstruction:adoubleblindedrandomizedcontrolledtrial</t>
  </si>
  <si>
    <t>Ong+effectofpulsedelectromagneticfieldasaninterventionforpatientswithquadricepsweaknessafteranteriorcruciateligamentreconstruction:adoubleblindedrandomizedcontrolledtrial+2022</t>
  </si>
  <si>
    <t>35486517</t>
  </si>
  <si>
    <t>Acute Anterior Cruciate Ligament Rupture: Repair or Reconstruction? Five-Year Results of a Randomized Controlled Clinical Trial</t>
  </si>
  <si>
    <t>Hoogeslag RAG, Huis In 't Veld R, Brouwer RW, de Graaff F, Verdonschot N.</t>
  </si>
  <si>
    <t>10.1177/03635465221090527</t>
  </si>
  <si>
    <t>acuteanteriorcruciateligamentrupture:repairorreconstruction?fiveyearresultsofarandomizedcontrolledclinicaltrial</t>
  </si>
  <si>
    <t>Hoogeslag+acuteanteriorcruciateligamentrupture:repairorreconstruction?fiveyearresultsofarandomizedcontrolledclinicaltrial+2022</t>
  </si>
  <si>
    <t>34814896</t>
  </si>
  <si>
    <t>Quadriceps muscle strength recovery with the use of high tone power therapy after anterior cruciate ligament reconstruction: a randomized controlled trial</t>
  </si>
  <si>
    <t>Ogrodzka-Ciechanowicz K, Głąb G, Ślusarski J, Gądek A.</t>
  </si>
  <si>
    <t>10.1186/s12891-021-04862-w</t>
  </si>
  <si>
    <t>Ogrodzka-Ciechanowicz</t>
  </si>
  <si>
    <t>quadricepsmusclestrengthrecoverywiththeuseofhightonepowertherapyafteranteriorcruciateligamentreconstruction:arandomizedcontrolledtrial</t>
  </si>
  <si>
    <t>Ogrodzka-Ciechanowicz+quadricepsmusclestrengthrecoverywiththeuseofhightonepowertherapyafteranteriorcruciateligamentreconstruction:arandomizedcontrolledtrial+2021</t>
  </si>
  <si>
    <t>34542671</t>
  </si>
  <si>
    <t>Contralateral strength training attenuates muscle performance loss following anterior cruciate ligament (ACL) reconstruction: a randomised-controlled trial</t>
  </si>
  <si>
    <t>Minshull C, Gallacher P, Roberts S, Barnett A, Kuiper JH, Bailey A.</t>
  </si>
  <si>
    <t>Eur J Appl Physiol</t>
  </si>
  <si>
    <t>10.1007/s00421-021-04812-3</t>
  </si>
  <si>
    <t>Minshull</t>
  </si>
  <si>
    <t>contralateralstrengthtrainingattenuatesmuscleperformancelossfollowinganteriorcruciateligament(acl)reconstruction:arandomisedcontrolledtrial</t>
  </si>
  <si>
    <t>Minshull+contralateralstrengthtrainingattenuatesmuscleperformancelossfollowinganteriorcruciateligament(acl)reconstruction:arandomisedcontrolledtrial+2021</t>
  </si>
  <si>
    <t>33970295</t>
  </si>
  <si>
    <t>Anatomic single vs. double-bundle ACL reconstruction: a randomized clinical trial-Part 1: clinical outcomes</t>
  </si>
  <si>
    <t>Irrgang JJ, Tashman S, Patterson CG, Musahl V, West R, Oostdyk A, Galvin B, Poploski K, Fu FH.</t>
  </si>
  <si>
    <t>10.1007/s00167-021-06585-w</t>
  </si>
  <si>
    <t>Irrgang</t>
  </si>
  <si>
    <t>anatomicsinglevsdoublebundleaclreconstruction:arandomizedclinicaltrialpart1:clinicaloutcomes</t>
  </si>
  <si>
    <t>Irrgang+anatomicsinglevsdoublebundleaclreconstruction:arandomizedclinicaltrialpart1:clinicaloutcomes+2021</t>
  </si>
  <si>
    <t>32152642</t>
  </si>
  <si>
    <t>Impact of whey protein isolate and eccentric training on quadriceps mass and strength in patients with anterior cruciate ligament rupture: A randomized controlled trial</t>
  </si>
  <si>
    <t>Zhang X, Huang H, Yu Y, Yang J, Liang Z, Chang C.</t>
  </si>
  <si>
    <t>10.2340/16501977-2664</t>
  </si>
  <si>
    <t>impactofwheyproteinisolateandeccentrictrainingonquadricepsmassandstrengthinpatientswithanteriorcruciateligamentrupture:arandomizedcontrolledtrial</t>
  </si>
  <si>
    <t>Zhang+impactofwheyproteinisolateandeccentrictrainingonquadricepsmassandstrengthinpatientswithanteriorcruciateligamentrupture:arandomizedcontrolledtrial+2020</t>
  </si>
  <si>
    <t>31351901</t>
  </si>
  <si>
    <t>Isokinetic eccentric training is more effective than constant load eccentric training for quadriceps rehabilitation following anterior cruciate ligament reconstruction: a randomized controlled trial</t>
  </si>
  <si>
    <t>Vidmar MF, Baroni BM, Michelin AF, Mezzomo M, Lugokenski R, Pimentel GL, Silva MF.</t>
  </si>
  <si>
    <t>Braz J Phys Ther</t>
  </si>
  <si>
    <t>10.1016/j.bjpt.2019.07.003</t>
  </si>
  <si>
    <t>Vidmar</t>
  </si>
  <si>
    <t>isokineticeccentrictrainingismoreeffectivethanconstantloadeccentrictrainingforquadricepsrehabilitationfollowinganteriorcruciateligamentreconstruction:arandomizedcontrolledtrial</t>
  </si>
  <si>
    <t>Vidmar+isokineticeccentrictrainingismoreeffectivethanconstantloadeccentrictrainingforquadricepsrehabilitationfollowinganteriorcruciateligamentreconstruction:arandomizedcontrolledtrial+2020</t>
  </si>
  <si>
    <t>28224443</t>
  </si>
  <si>
    <t>Report of the Clinical and Functional Primary Outcomes in Men of the ACL-SPORTS Trial: Similar Outcomes in Men Receiving Secondary Prevention With and Without Perturbation Training 1 and 2 Years After ACL Reconstruction</t>
  </si>
  <si>
    <t>Arundale AJH, Cummer K, Capin JJ, Zarzycki R, Snyder-Mackler L.</t>
  </si>
  <si>
    <t>10.1007/s11999-017-5280-2</t>
  </si>
  <si>
    <t>Arundale</t>
  </si>
  <si>
    <t>reportoftheclinicalandfunctionalprimaryoutcomesinmenoftheaclsportstrial:similaroutcomesinmenreceivingsecondarypreventionwithandwithoutperturbationtraining1and2yearsafteraclreconstruction</t>
  </si>
  <si>
    <t>Arundale+reportoftheclinicalandfunctionalprimaryoutcomesinmenoftheaclsportstrial:similaroutcomesinmenreceivingsecondarypreventionwithandwithoutperturbationtraining1and2yearsafteraclreconstruction+2017</t>
  </si>
  <si>
    <t>26797700</t>
  </si>
  <si>
    <t>Low- Versus High-Intensity Plyometric Exercise During Rehabilitation After Anterior Cruciate Ligament Reconstruction</t>
  </si>
  <si>
    <t>Chmielewski TL, George SZ, Tillman SM, Moser MW, Lentz TA, Indelicato PA, Trumble TN, Shuster JJ, Cicuttini FM, Leeuwenburgh C.</t>
  </si>
  <si>
    <t>10.1177/0363546515620583</t>
  </si>
  <si>
    <t>Chmielewski</t>
  </si>
  <si>
    <t>lowversushighintensityplyometricexerciseduringrehabilitationafteranteriorcruciateligamentreconstruction</t>
  </si>
  <si>
    <t>Chmielewski+lowversushighintensityplyometricexerciseduringrehabilitationafteranteriorcruciateligamentreconstruction+2016</t>
  </si>
  <si>
    <t>8047560</t>
  </si>
  <si>
    <t>Comparison of the effects of exercise in water and on land on the rehabilitation of patients with intra-articular anterior cruciate ligament reconstructions</t>
  </si>
  <si>
    <t>Tovin BJ, Wolf SL, Greenfield BH, Crouse J, Woodfin BA.</t>
  </si>
  <si>
    <t>Phys Ther</t>
  </si>
  <si>
    <t>10.1093/ptj/74.8.710</t>
  </si>
  <si>
    <t>Tovin</t>
  </si>
  <si>
    <t>comparisonoftheeffectsofexerciseinwaterandonlandontherehabilitationofpatientswithintraarticularanteriorcruciateligamentreconstructions</t>
  </si>
  <si>
    <t>Tovin+comparisonoftheeffectsofexerciseinwaterandonlandontherehabilitationofpatientswithintraarticularanteriorcruciateligamentreconstructions+1994</t>
  </si>
  <si>
    <t>https://www.embase.com/search/results?subaction=viewrecord&amp;id=L2042382214&amp;from=export</t>
  </si>
  <si>
    <t>Anterior cruciate ligament reconstruction combined with anterolateral ligament reconstruction using hamstring autograft versus anterior cruciate ligament reconstruction using bone–patellar tendon–bone autograft: a randomised controlled trial with 5-year follow-up</t>
  </si>
  <si>
    <t>Sonnery-Cottet B., Carrozzo A., Poilvache H., Fayard J.-M., Freychet B., Thaunat M., Vieira T.D., Saithna A.</t>
  </si>
  <si>
    <t>The Lancet Regional Health - Europe (2026) 62 Article Number: 101561. Date of Publication: 1 Mar 2026</t>
  </si>
  <si>
    <t>10.1016/j.lanepe.2025.101561</t>
  </si>
  <si>
    <t>Sonnery-Cottet</t>
  </si>
  <si>
    <t>anteriorcruciateligamentreconstructioncombinedwithanterolateralligamentreconstructionusinghamstringautograftversusanteriorcruciateligamentreconstructionusingbone–patellartendon–boneautograft:arandomisedcontrolledtrialwith5yearfollowup</t>
  </si>
  <si>
    <t>Sonnery-Cottet+anteriorcruciateligamentreconstructioncombinedwithanterolateralligamentreconstructionusinghamstringautograftversusanteriorcruciateligamentreconstructionusingbone–patellartendon–boneautograft:arandomisedcontrolledtrialwith5yearfollowup+2026</t>
  </si>
  <si>
    <t>https://www.embase.com/search/results?subaction=viewrecord&amp;id=L2033011534&amp;from=export</t>
  </si>
  <si>
    <t>Long-term Outcomes After Anterior Cruciate Ligament Reconstruction With 3 Different Surgical Techniques: A Prospective Randomized Clinical and Radiographic Evaluation at a Minimum of 20 Years’ Follow-up</t>
  </si>
  <si>
    <t>Lucidi G.A., Agostinone P., Di Paolo S., Dal Fabbro G., Serra M., Viotto M., Grassi A., Zaffagnini S.</t>
  </si>
  <si>
    <t>Orthopaedic Journal of Sports Medicine (2025) 13:1. Date of Publication: 1 Jan 2025</t>
  </si>
  <si>
    <t>10.1177/23259671241302348</t>
  </si>
  <si>
    <t>Lucidi</t>
  </si>
  <si>
    <t>longtermoutcomesafteranteriorcruciateligamentreconstructionwith3differentsurgicaltechniques:aprospectiverandomizedclinicalandradiographicevaluationataminimumof20years’followup</t>
  </si>
  <si>
    <t>Lucidi+longtermoutcomesafteranteriorcruciateligamentreconstructionwith3differentsurgicaltechniques:aprospectiverandomizedclinicalandradiographicevaluationataminimumof20years’followup+2025</t>
  </si>
  <si>
    <t>https://www.embase.com/search/results?subaction=viewrecord&amp;id=L2042010517&amp;from=export</t>
  </si>
  <si>
    <t>Clinical and functional comparison of bone–patellar tendon–bone and hamstring tendon autografts in anterior cruciate ligament reconstruction: A randomized controlled trial</t>
  </si>
  <si>
    <t>Elazab A.M.A., Reda W., Soliman A.E.M.E., Gad A.M.</t>
  </si>
  <si>
    <t>Apunts Sports Medicine (2025) Article Number: 100507. Date of Publication: 2025</t>
  </si>
  <si>
    <t>10.1016/j.apunsm.2025.100507</t>
  </si>
  <si>
    <t>Elazab</t>
  </si>
  <si>
    <t>clinicalandfunctionalcomparisonofbone–patellartendon–boneandhamstringtendonautograftsinanteriorcruciateligamentreconstruction:arandomizedcontrolledtrial</t>
  </si>
  <si>
    <t>Elazab+clinicalandfunctionalcomparisonofbone–patellartendon–boneandhamstringtendonautograftsinanteriorcruciateligamentreconstruction:arandomizedcontrolledtrial+2025</t>
  </si>
  <si>
    <t>https://www.embase.com/search/results?subaction=viewrecord&amp;id=L2026647031&amp;from=export</t>
  </si>
  <si>
    <t>Augmentation of ACL Autograft Reconstruction With an Amnion Collagen Matrix Wrap and Bone Marrow Aspirate Concentrate: A Pilot Randomized Controlled Trial With 2-Year Follow-up</t>
  </si>
  <si>
    <t>Anz A.W., Jordan S.E., Ostrander R.V., Branch E.A., Denney T.S., Cohen A., Andrews J.R.</t>
  </si>
  <si>
    <t>Orthopaedic Journal of Sports Medicine (2023) 11:11. Date of Publication: 1 Nov 2023</t>
  </si>
  <si>
    <t>10.1177/23259671231210035</t>
  </si>
  <si>
    <t>Anz</t>
  </si>
  <si>
    <t>augmentationofaclautograftreconstructionwithanamnioncollagenmatrixwrapandbonemarrowaspirateconcentrate:apilotrandomizedcontrolledtrialwith2yearfollowup</t>
  </si>
  <si>
    <t>Anz+augmentationofaclautograftreconstructionwithanamnioncollagenmatrixwrapandbonemarrowaspirateconcentrate:apilotrandomizedcontrolledtrialwith2yearfollowup+2023</t>
  </si>
  <si>
    <t>https://www.embase.com/search/results?subaction=viewrecord&amp;id=L2021343972&amp;from=export</t>
  </si>
  <si>
    <t>Patient Decision Making in Anterior Cruciate Ligament Reconstruction: A Discrete Choice Experiment Examining Graft Preference</t>
  </si>
  <si>
    <t>Sonnier J.H., Paul R.W., Sando H.E., Hall A.T., Tjoumakaris F.P., Cohen S.B., Freedman K.B.</t>
  </si>
  <si>
    <t>Orthopaedic Journal of Sports Medicine (2023) 11:2. Date of Publication: 1 Feb 2023</t>
  </si>
  <si>
    <t>10.1177/23259671221144983</t>
  </si>
  <si>
    <t>Sonnier</t>
  </si>
  <si>
    <t>patientdecisionmakinginanteriorcruciateligamentreconstruction:adiscretechoiceexperimentexamininggraftpreference</t>
  </si>
  <si>
    <t>Sonnier+patientdecisionmakinginanteriorcruciateligamentreconstruction:adiscretechoiceexperimentexamininggraftpreference+2023</t>
  </si>
  <si>
    <t>https://www.embase.com/search/results?subaction=viewrecord&amp;id=L2015647047&amp;from=export</t>
  </si>
  <si>
    <t>Unilateral Versus Bilateral Resistance Exercise in Postoperative Rehabilitation After ACL Reconstruction With Bone–Patellar Tendon–Bone Graft: A Randomized Controlled Trial</t>
  </si>
  <si>
    <t>Oliveira M., Júnior P.L., Imoto A.M., Santos T., Borges J.H.S., Nunes P., Barin F.R., Damando M., Peccin M.S.</t>
  </si>
  <si>
    <t>Orthopaedic Journal of Sports Medicine (2022) 10:4. Date of Publication: 18 Apr 2022</t>
  </si>
  <si>
    <t>10.1177/23259671221088830</t>
  </si>
  <si>
    <t>Oliveira</t>
  </si>
  <si>
    <t>unilateralversusbilateralresistanceexerciseinpostoperativerehabilitationafteraclreconstructionwithbone–patellartendon–bonegraft:arandomizedcontrolledtrial</t>
  </si>
  <si>
    <t>Oliveira+unilateralversusbilateralresistanceexerciseinpostoperativerehabilitationafteraclreconstructionwithbone–patellartendon–bonegraft:arandomizedcontrolledtrial+2022</t>
  </si>
  <si>
    <t>https://www.embase.com/search/results?subaction=viewrecord&amp;id=L2015021899&amp;from=export</t>
  </si>
  <si>
    <t>Psychological Readiness to Return to Sport at 6 Months Is Higher After Bridge-Enhanced ACL Restoration Than Autograft ACL Reconstruction: Results of a Prospective Randomized Clinical Trial</t>
  </si>
  <si>
    <t>Sanborn R.M., Badger G.J., Yen Y.-M., Murray M.M., Christino M.A., Proffen B., Sant N., Barnett S., Fleming B.C., Kramer D.E., Micheli L.J.</t>
  </si>
  <si>
    <t>Orthopaedic Journal of Sports Medicine (2022) 10:2. Date of Publication: 1 Feb 2022</t>
  </si>
  <si>
    <t>10.1177/23259671211070542</t>
  </si>
  <si>
    <t>Sanborn</t>
  </si>
  <si>
    <t>psychologicalreadinesstoreturntosportat6monthsishigherafterbridgeenhancedaclrestorationthanautograftaclreconstruction:resultsofaprospectiverandomizedclinicaltrial</t>
  </si>
  <si>
    <t>Sanborn+psychologicalreadinesstoreturntosportat6monthsishigherafterbridgeenhancedaclrestorationthanautograftaclreconstruction:resultsofaprospectiverandomizedclinicaltrial+2022</t>
  </si>
  <si>
    <t>https://www.embase.com/search/results?subaction=viewrecord&amp;id=L2022163339&amp;from=export</t>
  </si>
  <si>
    <t>Determining Early Morbidity After The Reconstruction Of Anterior Cruciate Ligament: Hamstring Tendon Vs Patellar Tendon Autograft</t>
  </si>
  <si>
    <t>Sohu D.M., Hussain F., Jatoi Z.A., Bhatti S.H., Chandio M.S., Keerio N.H.</t>
  </si>
  <si>
    <t>Journal of Pharmaceutical Negative Results (2022) 13 (9034-9040). Date of Publication: 2022</t>
  </si>
  <si>
    <t>10.47750/pnr.2022.13.S09.1056</t>
  </si>
  <si>
    <t>Sohu</t>
  </si>
  <si>
    <t>determiningearlymorbidityafterthereconstructionofanteriorcruciateligament:hamstringtendonvspatellartendonautograft</t>
  </si>
  <si>
    <t>Sohu+determiningearlymorbidityafterthereconstructionofanteriorcruciateligament:hamstringtendonvspatellartendonautograft+2022</t>
  </si>
  <si>
    <t>https://www.embase.com/search/results?subaction=viewrecord&amp;id=L2013787768&amp;from=export</t>
  </si>
  <si>
    <t>Prospective and Randomized Clinical Evaluation of Hamstring Versus Patellar Tendon Autograft for Anterior Cruciate Ligament Reconstruction in Soccer Players</t>
  </si>
  <si>
    <t>Guglielmetti L.G.B., Salas V.E.R., Jorge P.B., Severino F.R., Duarte A., de Oliveira V.M., Cury R.D.P.L.</t>
  </si>
  <si>
    <t>Orthopaedic Journal of Sports Medicine (2021) 9:9. Date of Publication: 2021</t>
  </si>
  <si>
    <t>10.1177/23259671211028168</t>
  </si>
  <si>
    <t>Guglielmetti</t>
  </si>
  <si>
    <t>prospectiveandrandomizedclinicalevaluationofhamstringversuspatellartendonautograftforanteriorcruciateligamentreconstructioninsoccerplayers</t>
  </si>
  <si>
    <t>Guglielmetti+prospectiveandrandomizedclinicalevaluationofhamstringversuspatellartendonautograftforanteriorcruciateligamentreconstructioninsoccerplayers+2021</t>
  </si>
  <si>
    <t>https://www.embase.com/search/results?subaction=viewrecord&amp;id=L2006889218&amp;from=export</t>
  </si>
  <si>
    <t>Xenograft for anterior cruciate ligament reconstruction was associated with high graft processing infection</t>
  </si>
  <si>
    <t>Van Der Merwe W., Lind M., Faunø P., Van Egmond K., Zaffagnini S., Marcacci M., Cugat R., Verdonk R., Ibañez E., Guillen P., Marcheggiani Muccioli G.M.</t>
  </si>
  <si>
    <t>Journal of Experimental Orthopaedics (2020) 7:1 Article Number: 79. Date of Publication: 1 Dec 2020</t>
  </si>
  <si>
    <t>10.1186/s40634-020-00292-0</t>
  </si>
  <si>
    <t>xenograftforanteriorcruciateligamentreconstructionwasassociatedwithhighgraftprocessinginfection</t>
  </si>
  <si>
    <t>Van+xenograftforanteriorcruciateligamentreconstructionwasassociatedwithhighgraftprocessinginfection+2020</t>
  </si>
  <si>
    <t>https://www.embase.com/search/results?subaction=viewrecord&amp;id=L2004910360&amp;from=export</t>
  </si>
  <si>
    <t>Combined ACL and Anterolateral Reconstruction Is Not Associated With a Higher Risk of Adverse Outcomes: Preliminary Results From the SANTI Randomized Controlled Trial</t>
  </si>
  <si>
    <t>Sonnery-Cottet B., Pioger C., Vieira T.D., Franck F., Kajetanek C., Fayard J.-M., Thaunat M., Saithna A.</t>
  </si>
  <si>
    <t>Orthopaedic Journal of Sports Medicine (2020) 8:5. Date of Publication: 1 May 2020</t>
  </si>
  <si>
    <t>10.1177/2325967120918490</t>
  </si>
  <si>
    <t>combinedaclandanterolateralreconstructionisnotassociatedwithahigherriskofadverseoutcomes:preliminaryresultsfromthesantirandomizedcontrolledtrial</t>
  </si>
  <si>
    <t>Sonnery-Cottet+combinedaclandanterolateralreconstructionisnotassociatedwithahigherriskofadverseoutcomes:preliminaryresultsfromthesantirandomizedcontrolledtrial+2020</t>
  </si>
  <si>
    <t>https://www.embase.com/search/results?subaction=viewrecord&amp;id=L2001058779&amp;from=export</t>
  </si>
  <si>
    <t>Comparison of patellar tendon versus hamstrings autografts for anterior cruciate ligament reconstruction in Indian population: A randomised control trial study</t>
  </si>
  <si>
    <t>Gupta P.K., Acharya A., Mourya A., Mahajan P.</t>
  </si>
  <si>
    <t>Journal of Clinical Orthopaedics and Trauma (2019) 10:3 (581-585). Date of Publication: 1 May 2019</t>
  </si>
  <si>
    <t>10.1016/j.jcot.2018.04.018</t>
  </si>
  <si>
    <t>comparisonofpatellartendonversushamstringsautograftsforanteriorcruciateligamentreconstructioninindianpopulation:arandomisedcontroltrialstudy</t>
  </si>
  <si>
    <t>Gupta+comparisonofpatellartendonversushamstringsautograftsforanteriorcruciateligamentreconstructioninindianpopulation:arandomisedcontroltrialstudy+2019</t>
  </si>
  <si>
    <t>https://www.embase.com/search/results?subaction=viewrecord&amp;id=L2001162916&amp;from=export</t>
  </si>
  <si>
    <t>Preoperative and Intraoperative Predictors of Long-Term Acceptable Knee Function and Osteoarthritis After Anterior Cruciate Ligament Reconstruction: An Analysis Based on 2 Randomized Controlled Trials</t>
  </si>
  <si>
    <t>Hamrin Senorski E., Sundemo D., Svantesson E., Sernert N., Kartus J.-T., Karlsson J., Samuelsson K.</t>
  </si>
  <si>
    <t>Arthroscopy - Journal of Arthroscopic and Related Surgery (2019) 35:2 (489-499). Date of Publication: 1 Feb 2019</t>
  </si>
  <si>
    <t>10.1016/j.arthro.2018.07.009</t>
  </si>
  <si>
    <t>Hamrin</t>
  </si>
  <si>
    <t>preoperativeandintraoperativepredictorsoflongtermacceptablekneefunctionandosteoarthritisafteranteriorcruciateligamentreconstruction:ananalysisbasedon2randomizedcontrolledtrials</t>
  </si>
  <si>
    <t>Hamrin+preoperativeandintraoperativepredictorsoflongtermacceptablekneefunctionandosteoarthritisafteranteriorcruciateligamentreconstruction:ananalysisbasedon2randomizedcontrolledtrials+2019</t>
  </si>
  <si>
    <t>https://www.embase.com/search/results?subaction=viewrecord&amp;id=L625113067&amp;from=export</t>
  </si>
  <si>
    <t>Anterior Cruciate Ligament Reconstruction Using a Bone–Patellar Tendon–Bone Graft With and Without a Ligament Augmentation Device: A 25-Year Follow-up of a Prospective Randomized Controlled Trial</t>
  </si>
  <si>
    <t>Elveos M.M., Drogset J.O., Engebretsen L., Brønn R., Lundemo T.O., Gifstad T.</t>
  </si>
  <si>
    <t>Orthopaedic Journal of Sports Medicine (2018) 6:11. Date of Publication: 1 Nov 2018</t>
  </si>
  <si>
    <t>10.1177/2325967118808778</t>
  </si>
  <si>
    <t>Elveos</t>
  </si>
  <si>
    <t>anteriorcruciateligamentreconstructionusingabone–patellartendon–bonegraftwithandwithoutaligamentaugmentationdevice:a25yearfollowupofaprospectiverandomizedcontrolledtrial</t>
  </si>
  <si>
    <t>Elveos+anteriorcruciateligamentreconstructionusingabone–patellartendon–bonegraftwithandwithoutaligamentaugmentationdevice:a25yearfollowupofaprospectiverandomizedcontrolledtrial+2018</t>
  </si>
  <si>
    <t>https://www.embase.com/search/results?subaction=viewrecord&amp;id=L620798261&amp;from=export</t>
  </si>
  <si>
    <t>Comparison of hamstring and patellar tendon grafts in anterior cruciate ligament reconstruction: A prospective randomized study</t>
  </si>
  <si>
    <t>Stańczak K., Zielińska M., Synder M., Domżalski M., Polguj M., Sibiński M.</t>
  </si>
  <si>
    <t>Journal of International Medical Research (2018) 46:2 (785-791). Date of Publication: 1 Feb 2018</t>
  </si>
  <si>
    <t>10.1177/0300060517722696</t>
  </si>
  <si>
    <t>Stańczak</t>
  </si>
  <si>
    <t>comparisonofhamstringandpatellartendongraftsinanteriorcruciateligamentreconstruction:aprospectiverandomizedstudy</t>
  </si>
  <si>
    <t>Stańczak+comparisonofhamstringandpatellartendongraftsinanteriorcruciateligamentreconstruction:aprospectiverandomizedstudy+2018</t>
  </si>
  <si>
    <t>https://www.embase.com/search/results?subaction=viewrecord&amp;id=L619449402&amp;from=export</t>
  </si>
  <si>
    <t>Comparison of patellar versus hamstring tendon autografts in arthroscopic anterior cruciate ligament reconstruction: A 6-month follow-up of a randomized clinical trial</t>
  </si>
  <si>
    <t>Sadeghpour A., Ebrahimpour A., Attar B., Azizian Z.</t>
  </si>
  <si>
    <t>Journal of Research in Medical Sciences (2017) 22:9 Article Number: 105. Date of Publication: 1 Sep 2017</t>
  </si>
  <si>
    <t>10.4103/jrms.JRMS_939_16</t>
  </si>
  <si>
    <t>Sadeghpour</t>
  </si>
  <si>
    <t>comparisonofpatellarversushamstringtendonautograftsinarthroscopicanteriorcruciateligamentreconstruction:a6monthfollowupofarandomizedclinicaltrial</t>
  </si>
  <si>
    <t>Sadeghpour+comparisonofpatellarversushamstringtendonautograftsinarthroscopicanteriorcruciateligamentreconstruction:a6monthfollowupofarandomizedclinicaltrial+2017</t>
  </si>
  <si>
    <t>https://www.embase.com/search/results?subaction=viewrecord&amp;id=L39349947&amp;from=export</t>
  </si>
  <si>
    <t>Anterior cruciate ligament reconstruction: Bone-patellar tendon-bone compared with double semitendinosus and gracilis tendon grafts - A prospective, randomized clinical trial</t>
  </si>
  <si>
    <t>Aglietti P., Giron F., Buzzi R., Biddau F., Sasso F.</t>
  </si>
  <si>
    <t>Journal of Bone and Joint Surgery (2004) 86:10 (2143-2155). Date of Publication: October 2004</t>
  </si>
  <si>
    <t>10.2106/00004623-200410000-00004</t>
  </si>
  <si>
    <t>anteriorcruciateligamentreconstruction:bonepatellartendonbonecomparedwithdoublesemitendinosusandgracilistendongraftsaprospectiverandomizedclinicaltrial</t>
  </si>
  <si>
    <t>Aglietti+anteriorcruciateligamentreconstruction:bonepatellartendonbonecomparedwithdoublesemitendinosusandgracilistendongraftsaprospectiverandomizedclinicaltrial+2004</t>
  </si>
  <si>
    <t>https://www.embase.com/search/results?subaction=viewrecord&amp;id=L34413763&amp;from=export</t>
  </si>
  <si>
    <t>A new generation of artificial ligaments in reconstruction of the anterior cruciate ligament</t>
  </si>
  <si>
    <t>Nau T., Lavoie P., Duval N.</t>
  </si>
  <si>
    <t>Journal of Bone and Joint Surgery - Series B (2002) 84:3 (356-360). Date of Publication: 2002</t>
  </si>
  <si>
    <t>10.1302/0301-620X.84B3.12400</t>
  </si>
  <si>
    <t>anewgenerationofartificialligamentsinreconstructionoftheanteriorcruciateligament</t>
  </si>
  <si>
    <t>Nau+anewgenerationofartificialligamentsinreconstructionoftheanteriorcruciateligament+2002</t>
  </si>
  <si>
    <t>https://www.embase.com/search/results?subaction=viewrecord&amp;id=L32390346&amp;from=export</t>
  </si>
  <si>
    <t>Eriksson K., Anderberg P., Hamberg P., Löfgren A.C., Bredenberg M., Westman I., Wredmark T.</t>
  </si>
  <si>
    <t>Journal of Bone and Joint Surgery - Series B (2001) 83:3 (348-354). Date of Publication: 2001</t>
  </si>
  <si>
    <t>10.1302/0301-620X.83B3.11685</t>
  </si>
  <si>
    <t>https://www.embase.com/search/results?subaction=viewrecord&amp;id=L2040529555&amp;from=export</t>
  </si>
  <si>
    <t>Semitendinosus vs quadriceps tendon autograft in anterior cruciate ligament reconstruction (SEQUAR): protocol for a prospective randomized controlled trial</t>
  </si>
  <si>
    <t>Castellanos Dolk D., Sarakatsianos V., Wörner T., Östin M., Cristiani R., Kvist J., Stålman A.</t>
  </si>
  <si>
    <t>BMC Musculoskeletal Disorders (2025) 26:1 Article Number: 951. Date of Publication: 1 Dec 2025</t>
  </si>
  <si>
    <t>10.1186/s12891-025-09183-w</t>
  </si>
  <si>
    <t>Castellanos</t>
  </si>
  <si>
    <t>semitendinosusvsquadricepstendonautograftinanteriorcruciateligamentreconstruction(sequar):protocolforaprospectiverandomizedcontrolledtrial</t>
  </si>
  <si>
    <t>Castellanos+semitendinosusvsquadricepstendonautograftinanteriorcruciateligamentreconstruction(sequar):protocolforaprospectiverandomizedcontrolledtrial+2025</t>
  </si>
  <si>
    <t>https://www.embase.com/search/results?subaction=viewrecord&amp;id=L2036814065&amp;from=export</t>
  </si>
  <si>
    <t>Intra‑articular tranexamic acid improves 1‑ and 3‑month functional recovery but doesnot reduce early post‑operative pain after arthroscopic ACL reconstruction: A triple‑blind randomised trial</t>
  </si>
  <si>
    <t>Firoozabadi M.A., Nezhadtabrizi B., Poursalehian M., Razzaghof M., Naghizadeh H., Soleimani M., Mortazavi S.M.J.</t>
  </si>
  <si>
    <t>Journal of Experimental Orthopaedics (2025) 12:4 Article Number: e70460. Date of Publication: 1 Oct 2025</t>
  </si>
  <si>
    <t>10.1002/jeo2.70460</t>
  </si>
  <si>
    <t>Firoozabadi</t>
  </si>
  <si>
    <t>intra‑articulartranexamicacidimproves1‑and3‑monthfunctionalrecoverybutdoesnotreduceearlypost‑operativepainafterarthroscopicaclreconstruction:atriple‑blindrandomisedtrial</t>
  </si>
  <si>
    <t>Firoozabadi+intra‑articulartranexamicacidimproves1‑and3‑monthfunctionalrecoverybutdoesnotreduceearlypost‑operativepainafterarthroscopicaclreconstruction:atriple‑blindrandomisedtrial+2025</t>
  </si>
  <si>
    <t>https://www.embase.com/search/results?subaction=viewrecord&amp;id=L2036280159&amp;from=export</t>
  </si>
  <si>
    <t>Similar results with quadrupled semitendinosus and semitendinosus-gracilis graft in anterior cruciate ligament reconstruction: A randomised controlled trial with 2-year follow-up</t>
  </si>
  <si>
    <t>Martinez-Cano J.P., Gallego A., Cuadros J., Ibarra L., Mejía F.M., Velasquez-Hammerle M.V., Martinez-Rondanelli A.</t>
  </si>
  <si>
    <t>Journal of Experimental Orthopaedics (2025) 12:3 Article Number: e70399. Date of Publication: 1 Jul 2025</t>
  </si>
  <si>
    <t>10.1002/jeo2.70399</t>
  </si>
  <si>
    <t>Martinez-Cano</t>
  </si>
  <si>
    <t>similarresultswithquadrupledsemitendinosusandsemitendinosusgracilisgraftinanteriorcruciateligamentreconstruction:arandomisedcontrolledtrialwith2yearfollowup</t>
  </si>
  <si>
    <t>Martinez-Cano+similarresultswithquadrupledsemitendinosusandsemitendinosusgracilisgraftinanteriorcruciateligamentreconstruction:arandomisedcontrolledtrialwith2yearfollowup+2025</t>
  </si>
  <si>
    <t>https://www.embase.com/search/results?subaction=viewrecord&amp;id=L2040075838&amp;from=export</t>
  </si>
  <si>
    <t>Impact of early versus delayed rehabilitation protocols on lower limb strength symmetry after hamstring tendon autograft ACL reconstruction</t>
  </si>
  <si>
    <t>Kadivar Y., Katariya C., Merja H.</t>
  </si>
  <si>
    <t>International Journal of Life Sciences Biotechnology and Pharma Research (2025) 14:7 (1656-1660). Date of Publication: 1 Jul 2025</t>
  </si>
  <si>
    <t>10.69605/ijlbpr_14.7.2025.278</t>
  </si>
  <si>
    <t>Kadivar</t>
  </si>
  <si>
    <t>impactofearlyversusdelayedrehabilitationprotocolsonlowerlimbstrengthsymmetryafterhamstringtendonautograftaclreconstruction</t>
  </si>
  <si>
    <t>Kadivar+impactofearlyversusdelayedrehabilitationprotocolsonlowerlimbstrengthsymmetryafterhamstringtendonautograftaclreconstruction+2025</t>
  </si>
  <si>
    <t>https://www.embase.com/search/results?subaction=viewrecord&amp;id=L2033557432&amp;from=export</t>
  </si>
  <si>
    <t>Comparative study of Peroneus longus tendon autograft versus Hamstring tendon autograft in arthroscopic anterior cruciate ligament reconstruction</t>
  </si>
  <si>
    <t>Khalil M.H., Zawam S.H.</t>
  </si>
  <si>
    <t>International Orthopaedics (2025) 49:6 (1365-1372). Date of Publication: 1 Jun 2025</t>
  </si>
  <si>
    <t>10.1007/s00264-025-06468-6</t>
  </si>
  <si>
    <t>Khalil</t>
  </si>
  <si>
    <t>comparativestudyofperoneuslongustendonautograftversushamstringtendonautograftinarthroscopicanteriorcruciateligamentreconstruction</t>
  </si>
  <si>
    <t>Khalil+comparativestudyofperoneuslongustendonautograftversushamstringtendonautograftinarthroscopicanteriorcruciateligamentreconstruction+2025</t>
  </si>
  <si>
    <t>https://www.embase.com/search/results?subaction=viewrecord&amp;id=L647612001&amp;from=export</t>
  </si>
  <si>
    <t>The addition of lateral extra-articular augmentation procedures to bone-tendon-bone or quadriceps autograft anterior cruciate ligament reconstruction does not negatively affect physical or psychological readiness for return to sport at 6 and 9 months</t>
  </si>
  <si>
    <t>LaPrade C.M., Carey E.G., Gachigi K.K., Erbe M., Gabriel C., Riboh J.C.</t>
  </si>
  <si>
    <t>Knee surgery, sports traumatology, arthroscopy : official journal of the ESSKA (2025). Date of Publication: 1 Jun 2025</t>
  </si>
  <si>
    <t>10.1002/ksa.12710</t>
  </si>
  <si>
    <t>LaPrade</t>
  </si>
  <si>
    <t>theadditionoflateralextraarticularaugmentationprocedurestobonetendonboneorquadricepsautograftanteriorcruciateligamentreconstructiondoesnotnegativelyaffectphysicalorpsychologicalreadinessforreturntosportat6and9months</t>
  </si>
  <si>
    <t>LaPrade+theadditionoflateralextraarticularaugmentationprocedurestobonetendonboneorquadricepsautograftanteriorcruciateligamentreconstructiondoesnotnegativelyaffectphysicalorpsychologicalreadinessforreturntosportat6and9months+2025</t>
  </si>
  <si>
    <t>https://www.embase.com/search/results?subaction=viewrecord&amp;id=L2035509225&amp;from=export</t>
  </si>
  <si>
    <t>Comparative Study Between Functional Outcome of Knee with ACL Recontruction Using Hamstring Graft vs Peroneus longus Graft</t>
  </si>
  <si>
    <t>Siddique M.S., Chhutani D., Vatsa A.</t>
  </si>
  <si>
    <t>Research Journal of Medical Sciences (2024) 18:3 (254-259). Date of Publication: 2024</t>
  </si>
  <si>
    <t>10.59218/makrjms.2024.3.254.259</t>
  </si>
  <si>
    <t>Siddique</t>
  </si>
  <si>
    <t>comparativestudybetweenfunctionaloutcomeofkneewithaclrecontructionusinghamstringgraftvsperoneuslongusgraft</t>
  </si>
  <si>
    <t>Siddique+comparativestudybetweenfunctionaloutcomeofkneewithaclrecontructionusinghamstringgraftvsperoneuslongusgraft+2024</t>
  </si>
  <si>
    <t>https://www.embase.com/search/results?subaction=viewrecord&amp;id=L2029140011&amp;from=export</t>
  </si>
  <si>
    <t>Earlier Return to Sports, Reduced Donor-Site Morbidity with Doubled Peroneus Longus Versus Quadrupled Hamstring Tendon Autograft in ACL Reconstruction</t>
  </si>
  <si>
    <t>Saeed U.B., Ramzan A., Anwar M., Tariq H., Tariq H., Yasin A., Mehmood T.</t>
  </si>
  <si>
    <t>JBJS Open Access (2023) 8:4 Article Number: 00051. Date of Publication: 6 Dec 2023</t>
  </si>
  <si>
    <t>10.2106/JBJS.OA.23.00051</t>
  </si>
  <si>
    <t>Saeed</t>
  </si>
  <si>
    <t>earlierreturntosportsreduceddonorsitemorbiditywithdoubledperoneuslongusversusquadrupledhamstringtendonautograftinaclreconstruction</t>
  </si>
  <si>
    <t>Saeed+earlierreturntosportsreduceddonorsitemorbiditywithdoubledperoneuslongusversusquadrupledhamstringtendonautograftinaclreconstruction+2023</t>
  </si>
  <si>
    <t>https://www.embase.com/search/results?subaction=viewrecord&amp;id=L2034905231&amp;from=export</t>
  </si>
  <si>
    <t>Functional Outcomes of Quadriceps Tendon versus Hamstring Tendon Autograft using Suspensory Fixation at Femoral and Tibial Sites for Primary Anterior Cruciate Ligament Reconstruction: A Randomised Controlled Study</t>
  </si>
  <si>
    <t>Khatri R.Y., Patil V., Kulkarni S., Naik S., Nandi S.</t>
  </si>
  <si>
    <t>Journal of Clinical and Diagnostic Research (2023) 17:8 (RC17-RC21). Date of Publication: 1 Aug 2023</t>
  </si>
  <si>
    <t>10.7860/JCDR/2023/64284.18350</t>
  </si>
  <si>
    <t>Khatri</t>
  </si>
  <si>
    <t>functionaloutcomesofquadricepstendonversushamstringtendonautograftusingsuspensoryfixationatfemoralandtibialsitesforprimaryanteriorcruciateligamentreconstruction:arandomisedcontrolledstudy</t>
  </si>
  <si>
    <t>Khatri+functionaloutcomesofquadricepstendonversushamstringtendonautograftusingsuspensoryfixationatfemoralandtibialsitesforprimaryanteriorcruciateligamentreconstruction:arandomisedcontrolledstudy+2023</t>
  </si>
  <si>
    <t>https://www.embase.com/search/results?subaction=viewrecord&amp;id=L2019388551&amp;from=export</t>
  </si>
  <si>
    <t>Radial Extracorporeal Shock Wave Therapy Enhances Graft Maturation at 2-Year Follow-up After ACL Reconstruction: A Randomized Controlled Trial</t>
  </si>
  <si>
    <t>Zhang S., Wen A., Li S., Yao W., Liu C., Lin Z., Jin Z., Chen J., Hua Y., Chen S., Li Y.</t>
  </si>
  <si>
    <t>Orthopaedic Journal of Sports Medicine (2022) 10:9. Date of Publication: 1 Sep 2022</t>
  </si>
  <si>
    <t>10.1177/23259671221116340</t>
  </si>
  <si>
    <t>radialextracorporealshockwavetherapyenhancesgraftmaturationat2yearfollowupafteraclreconstruction:arandomizedcontrolledtrial</t>
  </si>
  <si>
    <t>Zhang+radialextracorporealshockwavetherapyenhancesgraftmaturationat2yearfollowupafteraclreconstruction:arandomizedcontrolledtrial+2022</t>
  </si>
  <si>
    <t>https://www.embase.com/search/results?subaction=viewrecord&amp;id=L2015583944&amp;from=export</t>
  </si>
  <si>
    <t>Is Peroneus longus autograft a better alternative to the Hamstring autograft for anterior cruciate ligament reconstruction? – A randomised control study</t>
  </si>
  <si>
    <t>Vijay C., Santosh M.S., Avinash C., Adarsh T.</t>
  </si>
  <si>
    <t>Journal of Orthopaedics, Trauma and Rehabilitation (2022) 29:1. Date of Publication: 1 Jun 2022</t>
  </si>
  <si>
    <t>10.1177/22104917221088335</t>
  </si>
  <si>
    <t>Vijay</t>
  </si>
  <si>
    <t>isperoneuslongusautograftabetteralternativetothehamstringautograftforanteriorcruciateligamentreconstruction?–arandomisedcontrolstudy</t>
  </si>
  <si>
    <t>Vijay+isperoneuslongusautograftabetteralternativetothehamstringautograftforanteriorcruciateligamentreconstruction?–arandomisedcontrolstudy+2022</t>
  </si>
  <si>
    <t>https://www.embase.com/search/results?subaction=viewrecord&amp;id=L2011332456&amp;from=export</t>
  </si>
  <si>
    <t>Repair versus reconstruction for proximal anterior cruciate ligament tears: a study protocol for a prospective multicenter randomized controlled trial</t>
  </si>
  <si>
    <t>van der List J.P., Vermeijden H.D., Sierevelt I.N., Rademakers M.V., Falke M.L.M., Helmerhorst G.T.T., Hoogeslag R.A.G., van der Wal W.A., van Noort A., Kerkhoffs G.M.M.J.</t>
  </si>
  <si>
    <t>BMC Musculoskeletal Disorders (2021) 22:1 Article Number: 399. Date of Publication: 1 Dec 2021</t>
  </si>
  <si>
    <t>10.1186/s12891-021-04280-y</t>
  </si>
  <si>
    <t>repairversusreconstructionforproximalanteriorcruciateligamenttears:astudyprotocolforaprospectivemulticenterrandomizedcontrolledtrial</t>
  </si>
  <si>
    <t>van+repairversusreconstructionforproximalanteriorcruciateligamenttears:astudyprotocolforaprospectivemulticenterrandomizedcontrolledtrial+2021</t>
  </si>
  <si>
    <t>https://www.embase.com/search/results?subaction=viewrecord&amp;id=L2011450691&amp;from=export</t>
  </si>
  <si>
    <t>Effects of a neuromuscular training program using external focus attention cues in male athletes with anterior cruciate ligament reconstruction: a randomized clinical trial</t>
  </si>
  <si>
    <t>Ghaderi M., Letafatkar A., Thomas A.C., Keyhani S.</t>
  </si>
  <si>
    <t>BMC Sports Science, Medicine and Rehabilitation (2021) 13:1 Article Number: 49. Date of Publication: 1 Dec 2021</t>
  </si>
  <si>
    <t>10.1186/s13102-021-00275-3</t>
  </si>
  <si>
    <t>Ghaderi</t>
  </si>
  <si>
    <t>effectsofaneuromusculartrainingprogramusingexternalfocusattentioncuesinmaleathleteswithanteriorcruciateligamentreconstruction:arandomizedclinicaltrial</t>
  </si>
  <si>
    <t>Ghaderi+effectsofaneuromusculartrainingprogramusingexternalfocusattentioncuesinmaleathleteswithanteriorcruciateligamentreconstruction:arandomizedclinicaltrial+2021</t>
  </si>
  <si>
    <t>https://www.embase.com/search/results?subaction=viewrecord&amp;id=L626561068&amp;from=export</t>
  </si>
  <si>
    <t>Efficacy and Tolerability of Progen, a Nutritional Supplement Based on Innovative Plasma Proteins, in ACL Reconstruction: A Multicenter Randomized Controlled Trial</t>
  </si>
  <si>
    <t>López-Vidriero E., Olivé-Vilas R., López-Capapé D., Varela-Sende L., López-Vidriero R., Til-Pérez L.</t>
  </si>
  <si>
    <t>Orthopaedic Journal of Sports Medicine (2019) 7:2. Date of Publication: 1 Feb 2019</t>
  </si>
  <si>
    <t>10.1177/2325967119827237</t>
  </si>
  <si>
    <t>López-Vidriero</t>
  </si>
  <si>
    <t>efficacyandtolerabilityofprogenanutritionalsupplementbasedoninnovativeplasmaproteinsinaclreconstruction:amulticenterrandomizedcontrolledtrial</t>
  </si>
  <si>
    <t>López-Vidriero+efficacyandtolerabilityofprogenanutritionalsupplementbasedoninnovativeplasmaproteinsinaclreconstruction:amulticenterrandomizedcontrolledtrial+2019</t>
  </si>
  <si>
    <t>https://www.embase.com/search/results?subaction=viewrecord&amp;id=L620339135&amp;from=export</t>
  </si>
  <si>
    <t>The effect of targeted exercise on knee-muscle function in patients with persistent hamstring deficiency following ACL reconstruction - study protocol for a randomized controlled trial</t>
  </si>
  <si>
    <t>Bregenhof B., Jørgensen U., Aagaard P., Nissen N., Creaby M.W., Thorlund J.B., Jensen C., Torfing T., Holsgaard-Larsen A.</t>
  </si>
  <si>
    <t>Trials (2018) 19:1 Article Number: 75. Date of Publication: 26 Jan 2018</t>
  </si>
  <si>
    <t>10.1186/s13063-018-2448-3</t>
  </si>
  <si>
    <t>Bregenhof</t>
  </si>
  <si>
    <t>theeffectoftargetedexerciseonkneemusclefunctioninpatientswithpersistenthamstringdeficiencyfollowingaclreconstructionstudyprotocolforarandomizedcontrolledtrial</t>
  </si>
  <si>
    <t>Bregenhof+theeffectoftargetedexerciseonkneemusclefunctioninpatientswithpersistenthamstringdeficiencyfollowingaclreconstructionstudyprotocolforarandomizedcontrolledtrial+2018</t>
  </si>
  <si>
    <t>https://www.embase.com/search/results?subaction=viewrecord&amp;id=L606126643&amp;from=export</t>
  </si>
  <si>
    <t>Autologous hamstring tendon for anterior cruciate ligament reconstruction: Influence of incisions in different directions for cutting the hamstring tendon on the anterior tibial skin sensitivity</t>
  </si>
  <si>
    <t>Li J.-Y., Zhao Q.-C., Shang X.-F., Deng X.-W., Gan Z.-Y.</t>
  </si>
  <si>
    <t>Chinese Journal of Tissue Engineering Research (2014) 18:51 (8320-8324). Date of Publication: 10 Dec 2014</t>
  </si>
  <si>
    <t>10.3969/j.issn.2095-4344.2014.51.023</t>
  </si>
  <si>
    <t>autologoushamstringtendonforanteriorcruciateligamentreconstruction:influenceofincisionsindifferentdirectionsforcuttingthehamstringtendonontheanteriortibialskinsensitivity</t>
  </si>
  <si>
    <t>Li+autologoushamstringtendonforanteriorcruciateligamentreconstruction:influenceofincisionsindifferentdirectionsforcuttingthehamstringtendonontheanteriortibialskinsensitivity+2014</t>
  </si>
  <si>
    <t>https://www.embase.com/search/results?subaction=viewrecord&amp;id=L611784198&amp;from=export</t>
  </si>
  <si>
    <t>Do the patients really need concentrated and/or accelerated rehabilitation program after ACL surgery? A new lightened rehabilitation program: A prospective - Double blind - Randomized- controlled study</t>
  </si>
  <si>
    <t>Kaya D., Turhan E., Dönmez G., Doral M.N.</t>
  </si>
  <si>
    <t>Orthopaedic Journal of Sports Medicine (2014) 2:11 Supplement 3. Date of Publication: 2014</t>
  </si>
  <si>
    <t>10.1177/2325967114S00274</t>
  </si>
  <si>
    <t>Kaya</t>
  </si>
  <si>
    <t>dothepatientsreallyneedconcentratedand/oracceleratedrehabilitationprogramafteraclsurgery?anewlightenedrehabilitationprogram:aprospectivedoubleblindrandomizedcontrolledstudy</t>
  </si>
  <si>
    <t>Kaya+dothepatientsreallyneedconcentratedand/oracceleratedrehabilitationprogramafteraclsurgery?anewlightenedrehabilitationprogram:aprospectivedoubleblindrandomizedcontrolledstudy+2014</t>
  </si>
  <si>
    <t>https://www.embase.com/search/results?subaction=viewrecord&amp;id=L36621968&amp;from=export</t>
  </si>
  <si>
    <t>Outcome after reconstruction of the anterior cruciate ligament in athletic patients</t>
  </si>
  <si>
    <t>Meighan A.A.S., Keating J.F., Will E.</t>
  </si>
  <si>
    <t>Journal of Bone and Joint Surgery - Series B (2003) 85:4 (521-524). Date of Publication: May 2003</t>
  </si>
  <si>
    <t>10.1302/0301-620X.85B4.13743</t>
  </si>
  <si>
    <t>outcomeafterreconstructionoftheanteriorcruciateligamentinathleticpatients</t>
  </si>
  <si>
    <t>Meighan+outcomeafterreconstructionoftheanteriorcruciateligamentinathleticpatients+2003</t>
  </si>
  <si>
    <t>https://www.embase.com/search/results?subaction=viewrecord&amp;id=L2035801584&amp;from=export</t>
  </si>
  <si>
    <t>Five Weeks of Whole-body Vibration in Prehabilitation for Knee Function Following Anterior Cruciate Ligament Reconstruction: A Single-blinded Randomized Controlled Trial</t>
  </si>
  <si>
    <t>Qiu J., Ong M.T.-Y., Choi C.-Y., Cao M., Ko V.M.-C., He X., Fu S.-C., Fong D.T.P., Yung P.S.-H.</t>
  </si>
  <si>
    <t>Sports Medicine - Open (2025) 11:1 Article Number: 98. Date of Publication: 1 Dec 2025</t>
  </si>
  <si>
    <t>10.1186/s40798-025-00901-1</t>
  </si>
  <si>
    <t>Qiu</t>
  </si>
  <si>
    <t>fiveweeksofwholebodyvibrationinprehabilitationforkneefunctionfollowinganteriorcruciateligamentreconstruction:asingleblindedrandomizedcontrolledtrial</t>
  </si>
  <si>
    <t>Qiu+fiveweeksofwholebodyvibrationinprehabilitationforkneefunctionfollowinganteriorcruciateligamentreconstruction:asingleblindedrandomizedcontrolledtrial+2025</t>
  </si>
  <si>
    <t>https://www.embase.com/search/results?subaction=viewrecord&amp;id=L2031849110&amp;from=export</t>
  </si>
  <si>
    <t>Effectiveness of In-Home, Augmented Reality–Based Telerehabilitation After Anterior Cruciate Ligament Reconstruction: A Randomized Controlled Trial</t>
  </si>
  <si>
    <t>Lim J.Y., Yu H.J., Kim S.H., Lee J.I., Lim J.-Y., Wang J.H., Hwang J.H.</t>
  </si>
  <si>
    <t>Orthopaedic Journal of Sports Medicine (2024) 12:10. Date of Publication: 1 Oct 2024</t>
  </si>
  <si>
    <t>10.1177/23259671241271729</t>
  </si>
  <si>
    <t>Lim</t>
  </si>
  <si>
    <t>effectivenessofinhomeaugmentedreality–basedtelerehabilitationafteranteriorcruciateligamentreconstruction:arandomizedcontrolledtrial</t>
  </si>
  <si>
    <t>Lim+effectivenessofinhomeaugmentedreality–basedtelerehabilitationafteranteriorcruciateligamentreconstruction:arandomizedcontrolledtrial+2024</t>
  </si>
  <si>
    <t>WOS:000871124700001</t>
  </si>
  <si>
    <t>Anatomic Double-Bundle Anterior Cruciate Ligament Reconstruction Is Not Superior to Anatomic Single-Bundle Reconstruction at 10-Year Follow-up: A Randomized Clinical Trial</t>
  </si>
  <si>
    <t>Balasingam, S; Karikis, I; Rostgård-Christensen, L; Desai, N; Ahldén, M; Sernert, N; Kartus, J</t>
  </si>
  <si>
    <t>10.1177/03635465221128566</t>
  </si>
  <si>
    <t>Balasingam</t>
  </si>
  <si>
    <t>anatomicdoublebundleanteriorcruciateligamentreconstructionisnotsuperiortoanatomicsinglebundlereconstructionat10yearfollowup:arandomizedclinicaltrial</t>
  </si>
  <si>
    <t>Balasingam+anatomicdoublebundleanteriorcruciateligamentreconstructionisnotsuperiortoanatomicsinglebundlereconstructionat10yearfollowup:arandomizedclinicaltrial+2022</t>
  </si>
  <si>
    <t>WOS:000389905400008</t>
  </si>
  <si>
    <t>Twenty-Year Outcome of a Longitudinal Prospective Evaluation of Isolated Endoscopic Anterior Cruciate Ligament Reconstruction With Patellar Tendon or Hamstring Autograft</t>
  </si>
  <si>
    <t>Thompson, SM; Salmon, LJ; Waller, A; Linklater, J; Roe, JP; Pinczewski, LA</t>
  </si>
  <si>
    <t>10.1177/0363546516658041</t>
  </si>
  <si>
    <t>Thompson</t>
  </si>
  <si>
    <t>twentyyearoutcomeofalongitudinalprospectiveevaluationofisolatedendoscopicanteriorcruciateligamentreconstructionwithpatellartendonorhamstringautograft</t>
  </si>
  <si>
    <t>Thompson+twentyyearoutcomeofalongitudinalprospectiveevaluationofisolatedendoscopicanteriorcruciateligamentreconstructionwithpatellartendonorhamstringautograft+2016</t>
  </si>
  <si>
    <t>WOS:000412484500006</t>
  </si>
  <si>
    <t>Long-Term Outcomes of Anterior Cruciate Ligament Reconstruction Using Either Synthetics With Remnant Preservation or Hamstring Autografts A 10-Year Longitudinal Study</t>
  </si>
  <si>
    <t>Chen, TW; Zhang, P; Chen, JW; Hua, YH; Chen, SY</t>
  </si>
  <si>
    <t>10.1177/0363546517721692</t>
  </si>
  <si>
    <t>longtermoutcomesofanteriorcruciateligamentreconstructionusingeithersyntheticswithremnantpreservationorhamstringautograftsa10yearlongitudinalstudy</t>
  </si>
  <si>
    <t>Chen+longtermoutcomesofanteriorcruciateligamentreconstructionusingeithersyntheticswithremnantpreservationorhamstringautograftsa10yearlongitudinalstudy+2017</t>
  </si>
  <si>
    <t>WOS:000927920400001</t>
  </si>
  <si>
    <t>Range of Motion, Strength, and Function After ACL Reconstruction Using a Contralateral Patellar Tendon Graft</t>
  </si>
  <si>
    <t>Shelbourne, KD; Benner, R; Gray, T; Bauman, S</t>
  </si>
  <si>
    <t>10.1177/23259671221138103</t>
  </si>
  <si>
    <t>rangeofmotionstrengthandfunctionafteraclreconstructionusingacontralateralpatellartendongraft</t>
  </si>
  <si>
    <t>Shelbourne+rangeofmotionstrengthandfunctionafteraclreconstructionusingacontralateralpatellartendongraft+2022</t>
  </si>
  <si>
    <t>WOS:000440439000007</t>
  </si>
  <si>
    <t>Anterior Laxity at 2 Years After Anterior Cruciate Ligament Reconstruction Is Comparable When Using Adjustable-Loop Suspensory Fixation and Interference Screw Fixation</t>
  </si>
  <si>
    <t>Boutsiadis, A; Panisset, JC; Devitt, BM; Mauris, F; Barthelemy, R; Barth, J</t>
  </si>
  <si>
    <t>10.1177/0363546518784005</t>
  </si>
  <si>
    <t>Boutsiadis</t>
  </si>
  <si>
    <t>anteriorlaxityat2yearsafteranteriorcruciateligamentreconstructioniscomparablewhenusingadjustableloopsuspensoryfixationandinterferencescrewfixation</t>
  </si>
  <si>
    <t>Boutsiadis+anteriorlaxityat2yearsafteranteriorcruciateligamentreconstructioniscomparablewhenusingadjustableloopsuspensoryfixationandinterferencescrewfixation+2018</t>
  </si>
  <si>
    <t>WOS:000314297200004</t>
  </si>
  <si>
    <t>Comparative study between mono-bundle bone-patellar tendon-bone, double-bundle hamstring and mono-bundle bone-patellar tendon-bone combined with a modified Lemaire extra-articular procedure in anterior cruciate ligament reconstruction</t>
  </si>
  <si>
    <t>Dejour, D; Vanconcelos, W; Bonin, N; Saggin, PRF</t>
  </si>
  <si>
    <t>INTERNATIONAL ORTHOPAEDICS</t>
  </si>
  <si>
    <t>10.1007/s00264-012-1718-z</t>
  </si>
  <si>
    <t>Dejour</t>
  </si>
  <si>
    <t>comparativestudybetweenmonobundlebonepatellartendonbonedoublebundlehamstringandmonobundlebonepatellartendonbonecombinedwithamodifiedlemaireextraarticularprocedureinanteriorcruciateligamentreconstruction</t>
  </si>
  <si>
    <t>Dejour+comparativestudybetweenmonobundlebonepatellartendonbonedoublebundlehamstringandmonobundlebonepatellartendonbonecombinedwithamodifiedlemaireextraarticularprocedureinanteriorcruciateligamentreconstruction+2013</t>
  </si>
  <si>
    <t>WOS:001451541200001</t>
  </si>
  <si>
    <t>Current Advances of Artificial Ligaments for Anterior Cruciate Ligament Reconstruction: From Biocompatibility to Bioactivity</t>
  </si>
  <si>
    <t>Zhang, HZ; Chen, X; Ong, MTY; Lei, L; Zheng, LZ; Dai, BY; Tong, WX; Fu, BSC; Xu, JK; Yung, PSH; Qin, L</t>
  </si>
  <si>
    <t>ENGINEERING</t>
  </si>
  <si>
    <t>10.1016/j.eng.2024.10.018</t>
  </si>
  <si>
    <t>currentadvancesofartificialligamentsforanteriorcruciateligamentreconstruction:frombiocompatibilitytobioactivity</t>
  </si>
  <si>
    <t>Zhang+currentadvancesofartificialligamentsforanteriorcruciateligamentreconstruction:frombiocompatibilitytobioactivity+2025</t>
  </si>
  <si>
    <t>WOS:000352270300015</t>
  </si>
  <si>
    <t>Five-Year Clinical Outcomes of a Randomized Trial of Anterior Cruciate Ligament Treatment Strategies: An Evidence-Based Practice Paper</t>
  </si>
  <si>
    <t>Harris, K; Driban, JB; Sitler, MR; Cattano, NM; Hootman, JM</t>
  </si>
  <si>
    <t>JOURNAL OF ATHLETIC TRAINING</t>
  </si>
  <si>
    <t>10.4085/1062-6050-49.3.53</t>
  </si>
  <si>
    <t>Harris</t>
  </si>
  <si>
    <t>fiveyearclinicaloutcomesofarandomizedtrialofanteriorcruciateligamenttreatmentstrategies:anevidencebasedpracticepaper</t>
  </si>
  <si>
    <t>Harris+fiveyearclinicaloutcomesofarandomizedtrialofanteriorcruciateligamenttreatmentstrategies:anevidencebasedpracticepaper+2015</t>
  </si>
  <si>
    <t>WOS:000963029200001</t>
  </si>
  <si>
    <t>Current trends in graft choice for primary anterior cruciate ligament reconstruction - part II: In-vivo kinematics, patient reported outcomes, re-rupture rates, strength recovery, return to sports and complications</t>
  </si>
  <si>
    <t>Runer, A; Keeling, L; Wagala, N; Nugraha, H; Özbek, EA; Hughes, JD; Musahl, V</t>
  </si>
  <si>
    <t>JOURNAL OF EXPERIMENTAL ORTHOPAEDICS</t>
  </si>
  <si>
    <t>10.1186/s40634-023-00601-3</t>
  </si>
  <si>
    <t>Runer</t>
  </si>
  <si>
    <t>currenttrendsingraftchoiceforprimaryanteriorcruciateligamentreconstructionpartii:invivokinematicspatientreportedoutcomesreruptureratesstrengthrecoveryreturntosportsandcomplications</t>
  </si>
  <si>
    <t>Runer+currenttrendsingraftchoiceforprimaryanteriorcruciateligamentreconstructionpartii:invivokinematicspatientreportedoutcomesreruptureratesstrengthrecoveryreturntosportsandcomplications+2023</t>
  </si>
  <si>
    <t>WOS:000389540400005</t>
  </si>
  <si>
    <t>Outcome of cartilage at 12 years of follow-up after anterior cruciate ligament reconstruction</t>
  </si>
  <si>
    <t>Cantin, O; Lustig, S; Rongieras, F; Saragaglia, D; Lefèvre, N; Graveleau, N; Hulet, C</t>
  </si>
  <si>
    <t>ORTHOPAEDICS &amp; TRAUMATOLOGY-SURGERY &amp; RESEARCH</t>
  </si>
  <si>
    <t>10.1016/j.otsr.2016.06.011</t>
  </si>
  <si>
    <t>Cantin</t>
  </si>
  <si>
    <t>outcomeofcartilageat12yearsoffollowupafteranteriorcruciateligamentreconstruction</t>
  </si>
  <si>
    <t>Cantin+outcomeofcartilageat12yearsoffollowupafteranteriorcruciateligamentreconstruction+2016</t>
  </si>
  <si>
    <t>WOS:000446347200008</t>
  </si>
  <si>
    <t>Graft Choice and the Incidence of Osteoarthritis After Anterior Cruciate Ligament Reconstruction A Causal Analysis From a Cohort of 541 Patients</t>
  </si>
  <si>
    <t>Lecoq, FA; Parienti, JJ; Murison, J; Ruiz, N; Bouacida, K; Besse, J; Morin, V; Padiolleau, G; Cucurulo, T; Graveleau, N; Hulet, C</t>
  </si>
  <si>
    <t>10.1177/0363546518795137</t>
  </si>
  <si>
    <t>Lecoq</t>
  </si>
  <si>
    <t>graftchoiceandtheincidenceofosteoarthritisafteranteriorcruciateligamentreconstructionacausalanalysisfromacohortof541patients</t>
  </si>
  <si>
    <t>Lecoq+graftchoiceandtheincidenceofosteoarthritisafteranteriorcruciateligamentreconstructionacausalanalysisfromacohortof541patients+2018</t>
  </si>
  <si>
    <t>WOS:000291204200022</t>
  </si>
  <si>
    <t>The Effectiveness of Supplementing a Standard Rehabilitation Program With Superimposed Neuromuscular Electrical Stimulation After Anterior Cruciate Ligament Reconstruction A Prospective, Randomized, Single-Blind Study</t>
  </si>
  <si>
    <t>Feil, S; Newell, J; Minogue, C; Paessler, HH</t>
  </si>
  <si>
    <t>10.1177/0363546510396180</t>
  </si>
  <si>
    <t>Feil</t>
  </si>
  <si>
    <t>theeffectivenessofsupplementingastandardrehabilitationprogramwithsuperimposedneuromuscularelectricalstimulationafteranteriorcruciateligamentreconstructionaprospectiverandomizedsingleblindstudy</t>
  </si>
  <si>
    <t>Feil+theeffectivenessofsupplementingastandardrehabilitationprogramwithsuperimposedneuromuscularelectricalstimulationafteranteriorcruciateligamentreconstructionaprospectiverandomizedsingleblindstudy+2011</t>
  </si>
  <si>
    <t>WOS:000313008300004</t>
  </si>
  <si>
    <t>The Effect of Initial Graft Tension After Anterior Cruciate Ligament Reconstruction A Randomized Clinical Trial With 36-Month Follow-up</t>
  </si>
  <si>
    <t>Fleming, BC; Fadale, PD; Hulstyn, MJ; Shalvoy, RM; Oksendahl, HL; Badger, GJ; Tung, GA</t>
  </si>
  <si>
    <t>10.1177/0363546512464200</t>
  </si>
  <si>
    <t>theeffectofinitialgrafttensionafteranteriorcruciateligamentreconstructionarandomizedclinicaltrialwith36monthfollowup</t>
  </si>
  <si>
    <t>Fleming+theeffectofinitialgrafttensionafteranteriorcruciateligamentreconstructionarandomizedclinicaltrialwith36monthfollowup+2013</t>
  </si>
  <si>
    <t>WOS:000870452700001</t>
  </si>
  <si>
    <t>Effects of Initial Graft Tension and Patient Sex on Knee Osteoarthritis Outcomes After ACL Reconstruction: A Randomized Controlled Clinical Trial With 10-to 12-Year Follow-up</t>
  </si>
  <si>
    <t>Costa, MQ; Badger, GJ; Chrostek, CA; Carvalho, OD; Faiola, SL; Fadale, PD; Hulstyn, MJ; Gil, HC; Shalvoy, RM; Fleming, BC</t>
  </si>
  <si>
    <t>10.1177/03635465221124917</t>
  </si>
  <si>
    <t>Costa</t>
  </si>
  <si>
    <t>effectsofinitialgrafttensionandpatientsexonkneeosteoarthritisoutcomesafteraclreconstruction:arandomizedcontrolledclinicaltrialwith10to12yearfollowup</t>
  </si>
  <si>
    <t>Costa+effectsofinitialgrafttensionandpatientsexonkneeosteoarthritisoutcomesafteraclreconstruction:arandomizedcontrolledclinicaltrialwith10to12yearfollowup+2022</t>
  </si>
  <si>
    <t>WOS:000275263000005</t>
  </si>
  <si>
    <t>Rehabilitation results following anterior cruciate ligament reconstruction using a hard brace compared to a fluid-filled soft brace</t>
  </si>
  <si>
    <t>Mayr, HO; Hochrein, A; Hein, W; Hube, R; Bernstein, A</t>
  </si>
  <si>
    <t>KNEE</t>
  </si>
  <si>
    <t>10.1016/j.knee.2009.07.002</t>
  </si>
  <si>
    <t>rehabilitationresultsfollowinganteriorcruciateligamentreconstructionusingahardbracecomparedtoafluidfilledsoftbrace</t>
  </si>
  <si>
    <t>Mayr+rehabilitationresultsfollowinganteriorcruciateligamentreconstructionusingahardbracecomparedtoafluidfilledsoftbrace+2010</t>
  </si>
  <si>
    <t>WOS:000280139300006</t>
  </si>
  <si>
    <t>A Randomized Trial of Treatment for Acute Anterior Cruciate Ligament Tears</t>
  </si>
  <si>
    <t>Frobell, RB; Roos, EM; Roos, HP; Ranstam, J; Lohmander, LS</t>
  </si>
  <si>
    <t>NEW ENGLAND JOURNAL OF MEDICINE</t>
  </si>
  <si>
    <t>10.1056/NEJMoa0907797</t>
  </si>
  <si>
    <t>Frobell</t>
  </si>
  <si>
    <t>arandomizedtrialoftreatmentforacuteanteriorcruciateligamenttears</t>
  </si>
  <si>
    <t>Frobell+arandomizedtrialoftreatmentforacuteanteriorcruciateligamenttears+2010</t>
  </si>
  <si>
    <t>WOS:000247813200013</t>
  </si>
  <si>
    <t>Activity level and subjective knee function 15 years after anterior Cruciate ligament injury -: A prospective, longitudinal study of non reconstructed patients</t>
  </si>
  <si>
    <t>Kostogiannis, L; Ageberg, E; Neuman, P; Dahlberg, L; Fridén, T; Roos, H</t>
  </si>
  <si>
    <t>10.1177/0363546507299238</t>
  </si>
  <si>
    <t>Kostogiannis</t>
  </si>
  <si>
    <t>activitylevelandsubjectivekneefunction15yearsafteranteriorcruciateligamentinjury:aprospectivelongitudinalstudyofnonreconstructedpatients</t>
  </si>
  <si>
    <t>Kostogiannis+activitylevelandsubjectivekneefunction15yearsafteranteriorcruciateligamentinjury:aprospectivelongitudinalstudyofnonreconstructedpatients+2007</t>
  </si>
  <si>
    <t>WOS:000297736600007</t>
  </si>
  <si>
    <t>Intraarticular application of autologous conditioned serum (ACS) reduces bone tunnel widening after ACL reconstructive surgery in a randomized controlled trial</t>
  </si>
  <si>
    <t>Darabos, N; Haspl, M; Moser, C; Darabos, A; Bartolek, D; Groenemeyer, D</t>
  </si>
  <si>
    <t>10.1007/s00167-011-1458-4</t>
  </si>
  <si>
    <t>Darabos</t>
  </si>
  <si>
    <t>intraarticularapplicationofautologousconditionedserum(acs)reducesbonetunnelwideningafteraclreconstructivesurgeryinarandomizedcontrolledtrial</t>
  </si>
  <si>
    <t>Darabos+intraarticularapplicationofautologousconditionedserum(acs)reducesbonetunnelwideningafteraclreconstructivesurgeryinarandomizedcontrolledtrial+2011</t>
  </si>
  <si>
    <t>WOS:000460055500021</t>
  </si>
  <si>
    <t>Ankle Lateral Ligament Augmentation Versus the Modified Brostrom-Gould Procedure: A 5-Year Randomized Controlled Trial</t>
  </si>
  <si>
    <t>Porter, M; Shadbolt, B; Ye, X; Stuart, R</t>
  </si>
  <si>
    <t>10.1177/0363546518820529</t>
  </si>
  <si>
    <t>anklelateralligamentaugmentationversusthemodifiedbrostromgouldprocedure:a5yearrandomizedcontrolledtrial</t>
  </si>
  <si>
    <t>Porter+anklelateralligamentaugmentationversusthemodifiedbrostromgouldprocedure:a5yearrandomizedcontrolledtrial+2019</t>
  </si>
  <si>
    <t>WOS:000794217000006</t>
  </si>
  <si>
    <t>Conventional versus 'all-inside' anterior cruciate ligament reconstruction: a randomized controlled trial comparing hamstring strength and functional outcome</t>
  </si>
  <si>
    <t>Ashraf, Y; Senevirathna, SR; Ashraf, T</t>
  </si>
  <si>
    <t>BONE &amp; JOINT OPEN</t>
  </si>
  <si>
    <t>10.1302/2633-1462.111.BJO-2020.0012.R1</t>
  </si>
  <si>
    <t>Ashraf</t>
  </si>
  <si>
    <t>conventionalversus'allinside'anteriorcruciateligamentreconstruction:arandomizedcontrolledtrialcomparinghamstringstrengthandfunctionaloutcome</t>
  </si>
  <si>
    <t>Ashraf+conventionalversus'allinside'anteriorcruciateligamentreconstruction:arandomizedcontrolledtrialcomparinghamstringstrengthandfunctionaloutcome+2020</t>
  </si>
  <si>
    <t>WOS:001313541800001</t>
  </si>
  <si>
    <t>In the medium term, more than half of males report kinesiophobia after anterior cruciate ligament reconstruction</t>
  </si>
  <si>
    <t>Rips, L; Koovit, T; Luik, M; Saar, H; Kuik, R; Kartus, JT; Rahu, M</t>
  </si>
  <si>
    <t>JOURNAL OF ISAKOS JOINT DISORDERS &amp; ORTHOPAEDIC SPORTS MEDICINE</t>
  </si>
  <si>
    <t>10.1016/j.jisako.2024.100309</t>
  </si>
  <si>
    <t>Rips</t>
  </si>
  <si>
    <t>inthemediumtermmorethanhalfofmalesreportkinesiophobiaafteranteriorcruciateligamentreconstruction</t>
  </si>
  <si>
    <t>Rips+inthemediumtermmorethanhalfofmalesreportkinesiophobiaafteranteriorcruciateligamentreconstruction+2024</t>
  </si>
  <si>
    <t>WOS:000365182900007</t>
  </si>
  <si>
    <t>What Can the First 2 Months Tell Us About Outcomes After Anterior Cruciate Ligament Reconstruction?</t>
  </si>
  <si>
    <t>Christensen, JC; Goldfine, LR; Barker, T; Collingridge, DS</t>
  </si>
  <si>
    <t>10.4085/1062-6050-49.3.95</t>
  </si>
  <si>
    <t>whatcanthefirst2monthstellusaboutoutcomesafteranteriorcruciateligamentreconstruction?</t>
  </si>
  <si>
    <t>Christensen+whatcanthefirst2monthstellusaboutoutcomesafteranteriorcruciateligamentreconstruction?+2015</t>
  </si>
  <si>
    <t>https://www.embase.com/search/results?subaction=viewrecord&amp;id=LNCT06975306&amp;from=export</t>
  </si>
  <si>
    <t>Radiographic Findings and Clinical Outcomes After Bone Grafting Patellar Defect in ACL Reconstruction</t>
  </si>
  <si>
    <t>clinicaltrials.gov (2025). Date of Publication: 21 Apr 2025</t>
  </si>
  <si>
    <t>radiographicfindingsandclinicaloutcomesafterbonegraftingpatellardefectinaclreconstruction</t>
  </si>
  <si>
    <t>https://www.embase.com/search/results?subaction=viewrecord&amp;id=LNCT06505525&amp;from=export</t>
  </si>
  <si>
    <t>Combined Intra- and Extra-articular ACL Reconstruction Versus Isolated Intra-articular ACL Reconstruction: Prospective Multicenter Randomized Clinical Trial With Hamstring Autograft</t>
  </si>
  <si>
    <t>clinicaltrials.gov (2024). Date of Publication: 3 Jun 2024</t>
  </si>
  <si>
    <t>combinedintraandextraarticularaclreconstructionversusisolatedintraarticularaclreconstruction:prospectivemulticenterrandomizedclinicaltrialwithhamstringautograft</t>
  </si>
  <si>
    <t>https://www.embase.com/search/results?subaction=viewrecord&amp;id=LNCT06189573&amp;from=export</t>
  </si>
  <si>
    <t>Reconstruction of the Anterior Cruciated Ligament With Quadriceps Tendon Graft With Bone Plug vs Bone Patellar Tendon Bone Graft, a Randomized Clinical Controlled Essay With 2 Years of Follow up</t>
  </si>
  <si>
    <t>clinicaltrials.gov (2023). Date of Publication: 2 Dec 2023</t>
  </si>
  <si>
    <t>reconstructionoftheanteriorcruciatedligamentwithquadricepstendongraftwithboneplugvsbonepatellartendonbonegraftarandomizedclinicalcontrolledessaywith2yearsoffollowup</t>
  </si>
  <si>
    <t>https://www.embase.com/search/results?subaction=viewrecord&amp;id=LNCT06050785&amp;from=export</t>
  </si>
  <si>
    <t>Comparison of Infection Rate Between Vancomycin and Gentamycin for Intraoperative Presoaking of Graft in Primary Anterior Cruciate Ligament Reconstruction ( Randomized Controlled Trial )</t>
  </si>
  <si>
    <t>clinicaltrials.gov (2023). Date of Publication: 16 Sep 2023</t>
  </si>
  <si>
    <t>comparisonofinfectionratebetweenvancomycinandgentamycinforintraoperativepresoakingofgraftinprimaryanteriorcruciateligamentreconstruction(randomizedcontrolledtrial)</t>
  </si>
  <si>
    <t>https://www.embase.com/search/results?subaction=viewrecord&amp;id=LNCT06303726&amp;from=export</t>
  </si>
  <si>
    <t>Comparison of Single-bundle Versus Double-bundle Anterior Cruciate Ligament Reconstruction: Short-term and Long-term Function and Imaging Results</t>
  </si>
  <si>
    <t>clinicaltrials.gov (2023). Date of Publication: 27 Jul 2023</t>
  </si>
  <si>
    <t>comparisonofsinglebundleversusdoublebundleanteriorcruciateligamentreconstruction:shorttermandlongtermfunctionandimagingresults</t>
  </si>
  <si>
    <t>https://www.embase.com/search/results?subaction=viewrecord&amp;id=LNCT05876013&amp;from=export</t>
  </si>
  <si>
    <t>Reduced Knee Flexion Strength 18 Years After ACL Reconstruction in Hamstring Group</t>
  </si>
  <si>
    <t>clinicaltrials.gov (2023). Date of Publication: 17 Apr 2023</t>
  </si>
  <si>
    <t>reducedkneeflexionstrength18yearsafteraclreconstructioninhamstringgroup</t>
  </si>
  <si>
    <t>https://www.embase.com/search/results?subaction=viewrecord&amp;id=LNCT05673356&amp;from=export</t>
  </si>
  <si>
    <t>Anterior Cruciate Ligament Reconstruction With Quadriceps Tendon Bone Autograft</t>
  </si>
  <si>
    <t>clinicaltrials.gov (2023). Date of Publication: 4 Jan 2023</t>
  </si>
  <si>
    <t>anteriorcruciateligamentreconstructionwithquadricepstendonboneautograft</t>
  </si>
  <si>
    <t>https://www.embase.com/search/results?subaction=viewrecord&amp;id=LNCT05582226&amp;from=export</t>
  </si>
  <si>
    <t>A Randomized, Single Blinded Study of the Augmentation of Anterior Cruciate Ligament Reconstruction Using Stump-Derived Mesenchymal Stem Cells Versus Standard of Care Anterior Cruciate Ligament Reconstruction</t>
  </si>
  <si>
    <t>clinicaltrials.gov (2022). Date of Publication: 6 Oct 2022</t>
  </si>
  <si>
    <t>arandomizedsingleblindedstudyoftheaugmentationofanteriorcruciateligamentreconstructionusingstumpderivedmesenchymalstemcellsversusstandardofcareanteriorcruciateligamentreconstruction</t>
  </si>
  <si>
    <t>https://www.embase.com/search/results?subaction=viewrecord&amp;id=LNCT05580133&amp;from=export</t>
  </si>
  <si>
    <t>All-Inside Single-Bundle for ACL Reconstruction With Full Thickness of the Peroneus Longus Tendon Compared to the Six-strand-hamstring Autograft</t>
  </si>
  <si>
    <t>clinicaltrials.gov (2022). Date of Publication: 27 Sep 2022</t>
  </si>
  <si>
    <t>allinsidesinglebundleforaclreconstructionwithfullthicknessoftheperoneuslongustendoncomparedtothesixstrandhamstringautograft</t>
  </si>
  <si>
    <t>https://www.embase.com/search/results?subaction=viewrecord&amp;id=LNCT05461326&amp;from=export</t>
  </si>
  <si>
    <t>All Soft Tissue Quadriceps Tendon Autograft Versus Patellar Tendon Autograft in Anterior Cruciate Ligament Reconstruction: a Randomized Controlled Trial</t>
  </si>
  <si>
    <t>clinicaltrials.gov (2022). Date of Publication: 28 Jun 2022</t>
  </si>
  <si>
    <t>allsofttissuequadricepstendonautograftversuspatellartendonautograftinanteriorcruciateligamentreconstruction:arandomizedcontrolledtrial</t>
  </si>
  <si>
    <t>https://www.embase.com/search/results?subaction=viewrecord&amp;id=LNCT05342441&amp;from=export</t>
  </si>
  <si>
    <t>Optimizing GRAft SElection for ACL Reconstruction (GRASE-ACL Trial) - a Three-armed Randomized Controlled Trial</t>
  </si>
  <si>
    <t>clinicaltrials.gov (2022). Date of Publication: 4 Apr 2022</t>
  </si>
  <si>
    <t>optimizinggraftselectionforaclreconstruction(graseacltrial)athreearmedrandomizedcontrolledtrial</t>
  </si>
  <si>
    <t>https://www.embase.com/search/results?subaction=viewrecord&amp;id=LNCT05270551&amp;from=export</t>
  </si>
  <si>
    <t>The Effect of Accelerated Rehabilitation After Anterior Cruciate Ligament Reconstruction With and Without Suture Tape Reinforcement</t>
  </si>
  <si>
    <t>clinicaltrials.gov (2022). Date of Publication: 14 Feb 2022</t>
  </si>
  <si>
    <t>theeffectofacceleratedrehabilitationafteranteriorcruciateligamentreconstructionwithandwithoutsuturetapereinforcement</t>
  </si>
  <si>
    <t>https://www.embase.com/search/results?subaction=viewrecord&amp;id=LNCT05088278&amp;from=export</t>
  </si>
  <si>
    <t>Long Term Clinical and Radiographical Outcomes of Different Anterior Cruciate Ligament Reconstruction Techniques</t>
  </si>
  <si>
    <t>clinicaltrials.gov (2021). Date of Publication: 12 Oct 2021</t>
  </si>
  <si>
    <t>longtermclinicalandradiographicaloutcomesofdifferentanteriorcruciateligamentreconstructiontechniques</t>
  </si>
  <si>
    <t>https://www.embase.com/search/results?subaction=viewrecord&amp;id=LNCT04951531&amp;from=export</t>
  </si>
  <si>
    <t>Allogeneic Bone-patellar Tendon-bone Transplantation to Reconstruct the Knee Joint Anterior Cruciate Ligament</t>
  </si>
  <si>
    <t>clinicaltrials.gov (2021). Date of Publication: 27 Jun 2021</t>
  </si>
  <si>
    <t>allogeneicbonepatellartendonbonetransplantationtoreconstructthekneejointanteriorcruciateligament</t>
  </si>
  <si>
    <t>https://www.embase.com/search/results?subaction=viewrecord&amp;id=LNCT04901559&amp;from=export</t>
  </si>
  <si>
    <t>Subjective Outcomes After ACL Reconstruction With BQT Autograft</t>
  </si>
  <si>
    <t>clinicaltrials.gov (2021). Date of Publication: 12 May 2021</t>
  </si>
  <si>
    <t>subjectiveoutcomesafteraclreconstructionwithbqtautograft</t>
  </si>
  <si>
    <t>https://www.embase.com/search/results?subaction=viewrecord&amp;id=LNCT04484961&amp;from=export</t>
  </si>
  <si>
    <t>Effects of Blood Flow Restriction Rehabilitation After Bone Patellar Tendon Bone Anterior Cruciate Ligament Reconstruction</t>
  </si>
  <si>
    <t>clinicaltrials.gov (2020). Date of Publication: 13 Jul 2020</t>
  </si>
  <si>
    <t>effectsofbloodflowrestrictionrehabilitationafterbonepatellartendonboneanteriorcruciateligamentreconstruction</t>
  </si>
  <si>
    <t>https://www.embase.com/search/results?subaction=viewrecord&amp;id=LNCT04360928&amp;from=export</t>
  </si>
  <si>
    <t>Postoperative ERIS Knee Splinting Following ACLR: A Randomized Clinical Trial</t>
  </si>
  <si>
    <t>clinicaltrials.gov (2020). Date of Publication: 6 Mar 2020</t>
  </si>
  <si>
    <t>postoperativeeriskneesplintingfollowingaclr:arandomizedclinicaltrial</t>
  </si>
  <si>
    <t>https://www.embase.com/search/results?subaction=viewrecord&amp;id=LNCT04123834&amp;from=export</t>
  </si>
  <si>
    <t>Functional Outcome Comparison of Implant-Free Bone-Patellar Tendon Autografts Using Press-Fit Fixation Technique and Hamstring Autografts Using Implant in Arthroscopic Anterior Cruciate Ligament Reconstruction: A Prospective Study</t>
  </si>
  <si>
    <t>clinicaltrials.gov (2019). Date of Publication: 29 Sep 2019</t>
  </si>
  <si>
    <t>functionaloutcomecomparisonofimplantfreebonepatellartendonautograftsusingpressfitfixationtechniqueandhamstringautograftsusingimplantinarthroscopicanteriorcruciateligamentreconstruction:aprospectivestudy</t>
  </si>
  <si>
    <t>https://www.embase.com/search/results?subaction=viewrecord&amp;id=LNCT04650568&amp;from=export</t>
  </si>
  <si>
    <t>A Prospective Randomized Trial of Biologic Augmentation With Mesenchymal Stem Cells in Patients Undergoing Anterior Cruciate Ligament Reconstruction</t>
  </si>
  <si>
    <t>clinicaltrials.gov (2017). Date of Publication: 4 Dec 2017</t>
  </si>
  <si>
    <t>aprospectiverandomizedtrialofbiologicaugmentationwithmesenchymalstemcellsinpatientsundergoinganteriorcruciateligamentreconstruction</t>
  </si>
  <si>
    <t>https://www.embase.com/search/results?subaction=viewrecord&amp;id=LNCT03354195&amp;from=export</t>
  </si>
  <si>
    <t>Comparative Clinical Outcomes and Function Study Between MAKO Robotic-Arm Assisted UKA in ACL Intact and Deficient Knees</t>
  </si>
  <si>
    <t>clinicaltrials.gov (2017). Date of Publication: 20 Oct 2017</t>
  </si>
  <si>
    <t>comparativeclinicaloutcomesandfunctionstudybetweenmakoroboticarmassistedukainaclintactanddeficientknees</t>
  </si>
  <si>
    <t>https://www.embase.com/search/results?subaction=viewrecord&amp;id=LNCT03740022&amp;from=export</t>
  </si>
  <si>
    <t>Assessment of the Results of Combined Anterolateral Ligament (ALL) + Antero Crusader Ligament (ACL) Plasty Compared to Classical KJ Plasty in Isolated ACL Ruptures</t>
  </si>
  <si>
    <t>clinicaltrials.gov (2016). Date of Publication: 29 Nov 2016</t>
  </si>
  <si>
    <t>assessmentoftheresultsofcombinedanterolateralligament(all)+anterocrusaderligament(acl)plastycomparedtoclassicalkjplastyinisolatedaclruptures</t>
  </si>
  <si>
    <t>https://www.embase.com/search/results?subaction=viewrecord&amp;id=LNCT00529958&amp;from=export</t>
  </si>
  <si>
    <t>A Randomized Clinical Trial Comparing Three Methods for Anterior Cruciate Ligament Reconstruction: Patellar Tendon, Quadruple Semitendinosus/Gracilis and Double-Bundle Semitendinosus/Gracilis Grafts.</t>
  </si>
  <si>
    <t>clinicaltrials.gov (2007). Date of Publication: 12 Sep 2007</t>
  </si>
  <si>
    <t>arandomizedclinicaltrialcomparingthreemethodsforanteriorcruciateligamentreconstruction:patellartendonquadruplesemitendinosus/gracilisanddoublebundlesemitendinosus/gracilisgrafts</t>
  </si>
  <si>
    <t>https://www.embase.com/search/results?subaction=viewrecord&amp;id=LNCT00198042&amp;from=export</t>
  </si>
  <si>
    <t>Bone Tunnel Widening Following ACL Reconstruction</t>
  </si>
  <si>
    <t>clinicaltrials.gov (2005). Date of Publication: 13 Sep 2005</t>
  </si>
  <si>
    <t>bonetunnelwideningfollowingaclreconstruction</t>
  </si>
  <si>
    <t>https://www.embase.com/search/results?subaction=viewrecord&amp;id=LNCT07023653&amp;from=export</t>
  </si>
  <si>
    <t>Comparison of Clinical Outcomes Between All-Inside and Complete Tibial Tunnel Techniques in Anterior Cruciate Ligament Reconstruction Among Patients With ACL Ruptures</t>
  </si>
  <si>
    <t>clinicaltrials.gov (2025). Date of Publication: 9 Jun 2025</t>
  </si>
  <si>
    <t>comparisonofclinicaloutcomesbetweenallinsideandcompletetibialtunneltechniquesinanteriorcruciateligamentreconstructionamongpatientswithaclruptures</t>
  </si>
  <si>
    <t>https://www.embase.com/search/results?subaction=viewrecord&amp;id=LNCT06980285&amp;from=export</t>
  </si>
  <si>
    <t>ACL Reconstruction With Quadriceps Tendon Graft vs. Quadrupled Semitendinosus Graft: A Comparison of Patients From the Danish National ACL Reconstruction Database</t>
  </si>
  <si>
    <t>clinicaltrials.gov (2025). Date of Publication: 12 May 2025</t>
  </si>
  <si>
    <t>aclreconstructionwithquadricepstendongraftvsquadrupledsemitendinosusgraft:acomparisonofpatientsfromthedanishnationalaclreconstructiondatabase</t>
  </si>
  <si>
    <t>https://www.embase.com/search/results?subaction=viewrecord&amp;id=LNCT06961292&amp;from=export</t>
  </si>
  <si>
    <t>The Clinical Efficacy of Anterolateral Complex Augmentation in Patients With ACL Rupture Combined With Excessive Internal Tibial Rotation Subluxation: A Bidirectional Cohort Study</t>
  </si>
  <si>
    <t>clinicaltrials.gov (2025). Date of Publication: 29 Apr 2025</t>
  </si>
  <si>
    <t>theclinicalefficacyofanterolateralcomplexaugmentationinpatientswithaclrupturecombinedwithexcessiveinternaltibialrotationsubluxation:abidirectionalcohortstudy</t>
  </si>
  <si>
    <t>https://www.embase.com/search/results?subaction=viewrecord&amp;id=LNCT06831279&amp;from=export</t>
  </si>
  <si>
    <t>Comparison of Two Different Rehabilitation Approaches Applied After Anterior Cruciate Ligament Reconstruction</t>
  </si>
  <si>
    <t>clinicaltrials.gov (2025). Date of Publication: 9 Jan 2025</t>
  </si>
  <si>
    <t>comparisonoftwodifferentrehabilitationapproachesappliedafteranteriorcruciateligamentreconstruction</t>
  </si>
  <si>
    <t>https://www.embase.com/search/results?subaction=viewrecord&amp;id=LNCT06769711&amp;from=export</t>
  </si>
  <si>
    <t>The Comparison of Tunnel Morphology and Graft Healing in Anterior Cruciate Ligament Reconstructions Using Peroneus Longus And Hamstring Tendons</t>
  </si>
  <si>
    <t>clinicaltrials.gov (2025). Date of Publication: 1 Jan 2025</t>
  </si>
  <si>
    <t>thecomparisonoftunnelmorphologyandgrafthealinginanteriorcruciateligamentreconstructionsusingperoneuslongusandhamstringtendons</t>
  </si>
  <si>
    <t>https://www.embase.com/search/results?subaction=viewrecord&amp;id=LNCT06755398&amp;from=export</t>
  </si>
  <si>
    <t>The Effect of Cognitive-Based Neuromuscular Exercises on Reaction Time, Joint Position Sense, Proprioceptive Force Sense and Balance in Individuals Who Had Anterior Cruciate Ligament Surgery</t>
  </si>
  <si>
    <t>clinicaltrials.gov (2024). Date of Publication: 18 Dec 2024</t>
  </si>
  <si>
    <t>theeffectofcognitivebasedneuromuscularexercisesonreactiontimejointpositionsenseproprioceptiveforcesenseandbalanceinindividualswhohadanteriorcruciateligamentsurgery</t>
  </si>
  <si>
    <t>https://www.embase.com/search/results?subaction=viewrecord&amp;id=LNCT06727344&amp;from=export</t>
  </si>
  <si>
    <t>Comparison of Conservative Treatment With Blood Flow Restriction With Standard Management in Total ACL Rupture. "Randomized Clinical Trial"</t>
  </si>
  <si>
    <t>clinicaltrials.gov (2024). Date of Publication: 30 Nov 2024</t>
  </si>
  <si>
    <t>comparisonofconservativetreatmentwithbloodflowrestrictionwithstandardmanagementintotalaclrupture"randomizedclinicaltrial"</t>
  </si>
  <si>
    <t>https://www.embase.com/search/results?subaction=viewrecord&amp;id=LNCT06280456&amp;from=export</t>
  </si>
  <si>
    <t>The Efficacy of Intra-articular Tranexamic Acid Injection With Different Drainage Clamping Time in Postoperative Bleeding and Pain After Arthroscopic Anterior Cruciate Ligament Reconstruction</t>
  </si>
  <si>
    <t>clinicaltrials.gov (2024). Date of Publication: 20 Feb 2024</t>
  </si>
  <si>
    <t>theefficacyofintraarticulartranexamicacidinjectionwithdifferentdrainageclampingtimeinpostoperativebleedingandpainafterarthroscopicanteriorcruciateligamentreconstruction</t>
  </si>
  <si>
    <t>https://www.embase.com/search/results?subaction=viewrecord&amp;id=LNCT06147427&amp;from=export</t>
  </si>
  <si>
    <t>ARAVET : Antero-lateral Ligament Reconstruction Versus Modified Lemaire's Lateral Extra-articular Tenodesis in Combination With ACL Reconstruction With a Minimum Follow up of 2 Years: a Randomized Controlled Trial</t>
  </si>
  <si>
    <t>clinicaltrials.gov (2023). Date of Publication: 17 Nov 2023</t>
  </si>
  <si>
    <t>aravet:anterolateralligamentreconstructionversusmodifiedlemaire'slateralextraarticulartenodesisincombinationwithaclreconstructionwithaminimumfollowupof2years:arandomizedcontrolledtrial</t>
  </si>
  <si>
    <t>https://www.embase.com/search/results?subaction=viewrecord&amp;id=LNCT05983692&amp;from=export</t>
  </si>
  <si>
    <t>Clinical Translation of Biodegradable Magnesium Wire for Augmentation of Anterior Cruciate Ligament (ACL) Reconstruction From Bench Side to Bedside: A Multicentre, Double-blinded, Randomised Controlled Trial</t>
  </si>
  <si>
    <t>clinicaltrials.gov (2023). Date of Publication: 31 Jul 2023</t>
  </si>
  <si>
    <t>clinicaltranslationofbiodegradablemagnesiumwireforaugmentationofanteriorcruciateligament(acl)reconstructionfrombenchsidetobedside:amulticentredoubleblindedrandomisedcontrolledtrial</t>
  </si>
  <si>
    <t>https://www.embase.com/search/results?subaction=viewrecord&amp;id=LNCT05904158&amp;from=export</t>
  </si>
  <si>
    <t>Effects of Platelet-Rich Fibrin on Knee Muscle Strength and Function in Patients With Anterior Cruciate Ligament Reconstruction</t>
  </si>
  <si>
    <t>clinicaltrials.gov (2023). Date of Publication: 27 May 2023</t>
  </si>
  <si>
    <t>effectsofplateletrichfibrinonkneemusclestrengthandfunctioninpatientswithanteriorcruciateligamentreconstruction</t>
  </si>
  <si>
    <t>https://www.embase.com/search/results?subaction=viewrecord&amp;id=LNCT05814445&amp;from=export</t>
  </si>
  <si>
    <t>Comparison of Two Muscle Strengthening Programs on the Return-to-exercise Criteria in Patients With Anterior Cruciate Ligament Reconstruction</t>
  </si>
  <si>
    <t>clinicaltrials.gov (2023). Date of Publication: 30 Mar 2023</t>
  </si>
  <si>
    <t>comparisonoftwomusclestrengtheningprogramsonthereturntoexercisecriteriainpatientswithanteriorcruciateligamentreconstruction</t>
  </si>
  <si>
    <t>https://www.embase.com/search/results?subaction=viewrecord&amp;id=LNCT05738200&amp;from=export</t>
  </si>
  <si>
    <t>Use of Nordic Hamstring Exercise to Improve Hamstrings Function in Patients After ACL Reconstruction</t>
  </si>
  <si>
    <t>clinicaltrials.gov (2022). Date of Publication: 2 Nov 2022</t>
  </si>
  <si>
    <t>useofnordichamstringexercisetoimprovehamstringsfunctioninpatientsafteraclreconstruction</t>
  </si>
  <si>
    <t>https://www.embase.com/search/results?subaction=viewrecord&amp;id=LNCT05574946&amp;from=export</t>
  </si>
  <si>
    <t>Comparison of Two ACL Reconstruction Techniques: All-inside Versus Complete Tibial Tunnel Technique Using Adjustable Suspensory Fixation</t>
  </si>
  <si>
    <t>comparisonoftwoaclreconstructiontechniques:allinsideversuscompletetibialtunneltechniqueusingadjustablesuspensoryfixation</t>
  </si>
  <si>
    <t>https://www.embase.com/search/results?subaction=viewrecord&amp;id=LNCT05532189&amp;from=export</t>
  </si>
  <si>
    <t>ACL Reconstruction with Bone Tendon Bone (BTB) Autograft with Versus Without Internal Brace - Clinical and Radiographic Outcomes</t>
  </si>
  <si>
    <t>clinicaltrials.gov (2022). Date of Publication: 4 Sep 2022</t>
  </si>
  <si>
    <t>aclreconstructionwithbonetendonbone(btb)autograftwithversuswithoutinternalbraceclinicalandradiographicoutcomes</t>
  </si>
  <si>
    <t>https://www.embase.com/search/results?subaction=viewrecord&amp;id=LNCT05489627&amp;from=export</t>
  </si>
  <si>
    <t>Medial Collateral Ligament Reconstruction With Anteromedial Reinforcement for Medial and Anteromedial Rotatory Knee Instability</t>
  </si>
  <si>
    <t>clinicaltrials.gov (2022). Date of Publication: 3 Aug 2022</t>
  </si>
  <si>
    <t>medialcollateralligamentreconstructionwithanteromedialreinforcementformedialandanteromedialrotatorykneeinstability</t>
  </si>
  <si>
    <t>https://www.embase.com/search/results?subaction=viewrecord&amp;id=LNCT04953676&amp;from=export</t>
  </si>
  <si>
    <t>A Randomized, Controlled, Multi-center Clinical Trial of the Round-tunnel and Flat-tunnel Technique of Anterior Cruciate Ligament (ACL) Reconstruction</t>
  </si>
  <si>
    <t>arandomizedcontrolledmulticenterclinicaltrialoftheroundtunnelandflattunneltechniqueofanteriorcruciateligament(acl)reconstruction</t>
  </si>
  <si>
    <t>https://www.embase.com/search/results?subaction=viewrecord&amp;id=LNCT04940169&amp;from=export</t>
  </si>
  <si>
    <t>Prospective Comparison Of Arthroscopic Anterior Cruciate Ligament Reconstrictions Made With Hamstring Tendon And Quadriceps Tendon Autografts</t>
  </si>
  <si>
    <t>clinicaltrials.gov (2021). Date of Publication: 11 Jun 2021</t>
  </si>
  <si>
    <t>prospectivecomparisonofarthroscopicanteriorcruciateligamentreconstrictionsmadewithhamstringtendonandquadricepstendonautografts</t>
  </si>
  <si>
    <t>https://www.embase.com/search/results?subaction=viewrecord&amp;id=LNCT04906538&amp;from=export</t>
  </si>
  <si>
    <t>Objective Results of Anterior Cruciate Ligament Reconstruction With and Without Internal Suture Augmentation Technique</t>
  </si>
  <si>
    <t>clinicaltrials.gov (2021). Date of Publication: 25 May 2021</t>
  </si>
  <si>
    <t>objectiveresultsofanteriorcruciateligamentreconstructionwithandwithoutinternalsutureaugmentationtechnique</t>
  </si>
  <si>
    <t>https://www.embase.com/search/results?subaction=viewrecord&amp;id=LNCT04753424&amp;from=export</t>
  </si>
  <si>
    <t>Autologous Semitendinosus Tendon Graft as Meniscal Transplant - a Clinical Pilot Study</t>
  </si>
  <si>
    <t>clinicaltrials.gov (2021). Date of Publication: 6 Jan 2021</t>
  </si>
  <si>
    <t>autologoussemitendinosustendongraftasmeniscaltransplantaclinicalpilotstudy</t>
  </si>
  <si>
    <t>https://www.embase.com/search/results?subaction=viewrecord&amp;id=LNCT04677218&amp;from=export</t>
  </si>
  <si>
    <t>Comparison of Clinical Results of Adjustable Femoral Loop With Three Different Techniques in Patients Who Underwent Arthroscopic ACL Reconstruction With Hamstring Autograft: A Prospective Randomised Clinical Study</t>
  </si>
  <si>
    <t>clinicaltrials.gov (2020). Date of Publication: 17 Dec 2020</t>
  </si>
  <si>
    <t>comparisonofclinicalresultsofadjustablefemoralloopwiththreedifferenttechniquesinpatientswhounderwentarthroscopicaclreconstructionwithhamstringautograft:aprospectiverandomisedclinicalstudy</t>
  </si>
  <si>
    <t>https://www.embase.com/search/results?subaction=viewrecord&amp;id=LNCT04626999&amp;from=export</t>
  </si>
  <si>
    <t>Effect of Knee Instability Due To Rupture Of Anterior Cruciate Ligament On Cartilage Damage Related To Types of Reconstruction Therapy: In Biomechanic, Biomolecular and Radiological Aspects</t>
  </si>
  <si>
    <t>clinicaltrials.gov (2020). Date of Publication: 22 Oct 2020</t>
  </si>
  <si>
    <t>effectofkneeinstabilityduetoruptureofanteriorcruciateligamentoncartilagedamagerelatedtotypesofreconstructiontherapy:inbiomechanicbiomolecularandradiologicalaspects</t>
  </si>
  <si>
    <t>https://www.embase.com/search/results?subaction=viewrecord&amp;id=LNCT04531826&amp;from=export</t>
  </si>
  <si>
    <t>The Use of Five-strand Hamstring Autograft to Increase the Graft Size in Anterior Cruciate Ligament Reconstruction - a Prospective Randomized Controlled Trial</t>
  </si>
  <si>
    <t>clinicaltrials.gov (2020). Date of Publication: 26 Aug 2020</t>
  </si>
  <si>
    <t>theuseoffivestrandhamstringautografttoincreasethegraftsizeinanteriorcruciateligamentreconstructionaprospectiverandomizedcontrolledtrial</t>
  </si>
  <si>
    <t>https://www.embase.com/search/results?subaction=viewrecord&amp;id=LNCT04536246&amp;from=export</t>
  </si>
  <si>
    <t>Comparison of Functional Outcome Between Bone Quadriceps Tendon (BQT) and Single-Bundle Hamstring Tendon (SBHT) Autograft in Arthroscopic-assissted Anterior Cruciate Ligament Reconstruction: a Prospective Cohort Study</t>
  </si>
  <si>
    <t>clinicaltrials.gov (2020). Date of Publication: 16 Jul 2020</t>
  </si>
  <si>
    <t>comparisonoffunctionaloutcomebetweenbonequadricepstendon(bqt)andsinglebundlehamstringtendon(sbht)autograftinarthroscopicassisstedanteriorcruciateligamentreconstruction:aprospectivecohortstudy</t>
  </si>
  <si>
    <t>https://www.embase.com/search/results?subaction=viewrecord&amp;id=LNCT04295148&amp;from=export</t>
  </si>
  <si>
    <t>SEQUAR - SEmitendinosus vs QUadriceps in Anterior Cruciate Ligament Reconstruction - a Prospective Randomized Study</t>
  </si>
  <si>
    <t>clinicaltrials.gov (2020). Date of Publication: 26 Feb 2020</t>
  </si>
  <si>
    <t>sequarsemitendinosusvsquadricepsinanteriorcruciateligamentreconstructionaprospectiverandomizedstudy</t>
  </si>
  <si>
    <t>https://www.embase.com/search/results?subaction=viewrecord&amp;id=LNCT04129827&amp;from=export</t>
  </si>
  <si>
    <t>Retrospective Cohort Study on How Meniscal Lesions Affect Return to Sport After Anterior Cruciate Ligament Reconstruction in Young Non-professional Athletes</t>
  </si>
  <si>
    <t>clinicaltrials.gov (2019). Date of Publication: 11 Oct 2019</t>
  </si>
  <si>
    <t>retrospectivecohortstudyonhowmeniscallesionsaffectreturntosportafteranteriorcruciateligamentreconstructioninyoungnonprofessionalathletes</t>
  </si>
  <si>
    <t>https://www.embase.com/search/results?subaction=viewrecord&amp;id=LNCT03896464&amp;from=export</t>
  </si>
  <si>
    <t>Soft-tissue Quadriceps Autograft ACL-reconstruction in the Skeletally-immature Vs. Hamstrings (SQuASH): a Multi-Centre Randomized Controlled Trial</t>
  </si>
  <si>
    <t>clinicaltrials.gov (2019). Date of Publication: 27 Mar 2019</t>
  </si>
  <si>
    <t>softtissuequadricepsautograftaclreconstructionintheskeletallyimmaturevshamstrings(squash):amulticentrerandomizedcontrolledtrial</t>
  </si>
  <si>
    <t>https://www.embase.com/search/results?subaction=viewrecord&amp;id=LNCT03700996&amp;from=export</t>
  </si>
  <si>
    <t>Clinical Outcome Following Arthroscopic Knee Surgery (COFAKS)</t>
  </si>
  <si>
    <t>clinicaltrials.gov (2018). Date of Publication: 26 Sep 2018</t>
  </si>
  <si>
    <t>clinicaloutcomefollowingarthroscopickneesurgery(cofaks)</t>
  </si>
  <si>
    <t>https://www.embase.com/search/results?subaction=viewrecord&amp;id=LNCT03580018&amp;from=export</t>
  </si>
  <si>
    <t>Intraarticular Injection of Tranexamic Acid Reduced Postoperative Hemarthrosis in Arthroscopic Anterior Cruciate Ligament Reconstruction - A Prospective Randomized Study</t>
  </si>
  <si>
    <t>clinicaltrials.gov (2018). Date of Publication: 26 Jun 2018</t>
  </si>
  <si>
    <t>intraarticularinjectionoftranexamicacidreducedpostoperativehemarthrosisinarthroscopicanteriorcruciateligamentreconstructionaprospectiverandomizedstudy</t>
  </si>
  <si>
    <t>https://www.embase.com/search/results?subaction=viewrecord&amp;id=LNCT03441295&amp;from=export</t>
  </si>
  <si>
    <t>Single-blind, Multi-centre, Randomized Controlled Trial Comparing Ligamys Anterior Cruciate Ligament (ACL) Repair, Internal Bracing ACL Repair and Conventional ACL Reconstruction for Relative Clinical Efficacy and Economic Benefit.</t>
  </si>
  <si>
    <t>clinicaltrials.gov (2018). Date of Publication: 13 Feb 2018</t>
  </si>
  <si>
    <t>singleblindmulticentrerandomizedcontrolledtrialcomparingligamysanteriorcruciateligament(acl)repairinternalbracingaclrepairandconventionalaclreconstructionforrelativeclinicalefficacyandeconomicbenefit</t>
  </si>
  <si>
    <t>https://www.embase.com/search/results?subaction=viewrecord&amp;id=LNCT03510845&amp;from=export</t>
  </si>
  <si>
    <t>Arthroscopic Primary Repair of the Anterior Cruciate Ligament (ACL)</t>
  </si>
  <si>
    <t>clinicaltrials.gov (2018). Date of Publication: 2 Feb 2018</t>
  </si>
  <si>
    <t>arthroscopicprimaryrepairoftheanteriorcruciateligament(acl)</t>
  </si>
  <si>
    <t>https://www.embase.com/search/results?subaction=viewrecord&amp;id=LNCT03433170&amp;from=export</t>
  </si>
  <si>
    <t>Quadrupled Semitendinosus Graft and Traditional Hamstrings Graft in Anterior Cruciate Ligament Reconstruction: Randomized Controlled Trial</t>
  </si>
  <si>
    <t>clinicaltrials.gov (2018). Date of Publication: 27 Jan 2018</t>
  </si>
  <si>
    <t>quadrupledsemitendinosusgraftandtraditionalhamstringsgraftinanteriorcruciateligamentreconstruction:randomizedcontrolledtrial</t>
  </si>
  <si>
    <t>https://www.embase.com/search/results?subaction=viewrecord&amp;id=LNCT03462823&amp;from=export</t>
  </si>
  <si>
    <t>Randomized Controlled Trial for the Use of an Osteoconductive Scaffold in ACL-Reconstruction</t>
  </si>
  <si>
    <t>clinicaltrials.gov (2017). Date of Publication: 29 Dec 2017</t>
  </si>
  <si>
    <t>randomizedcontrolledtrialfortheuseofanosteoconductivescaffoldinaclreconstruction</t>
  </si>
  <si>
    <t>https://www.embase.com/search/results?subaction=viewrecord&amp;id=LNCT03184922&amp;from=export</t>
  </si>
  <si>
    <t>A Prospective, Randomised Study Investigating the Use of a Fixed Loop Versus an Adjustable Suspensory Loop in Anterior Cruciate Ligament Reconstruction - a Comparison of Clinical and Functional Outcome</t>
  </si>
  <si>
    <t>clinicaltrials.gov (2017). Date of Publication: 24 May 2017</t>
  </si>
  <si>
    <t>aprospectiverandomisedstudyinvestigatingtheuseofafixedloopversusanadjustablesuspensoryloopinanteriorcruciateligamentreconstructionacomparisonofclinicalandfunctionaloutcome</t>
  </si>
  <si>
    <t>https://www.embase.com/search/results?subaction=viewrecord&amp;id=LNCT04137250&amp;from=export</t>
  </si>
  <si>
    <t>Arthroscopic ACL Reconstruction: Hamstring Versus Quadriceps Tendon Autograft</t>
  </si>
  <si>
    <t>clinicaltrials.gov (2017). Date of Publication: 10 Mar 2017</t>
  </si>
  <si>
    <t>arthroscopicaclreconstruction:hamstringversusquadricepstendonautograft</t>
  </si>
  <si>
    <t>https://www.embase.com/search/results?subaction=viewrecord&amp;id=LNCT03073083&amp;from=export</t>
  </si>
  <si>
    <t>Graft Selection in Anatomic Anterior Cruciate Ligament Reconstruction: Patella, Hamstrings or Quadriceps Tendon Autograft</t>
  </si>
  <si>
    <t>clinicaltrials.gov (2017). Date of Publication: 23 Feb 2017</t>
  </si>
  <si>
    <t>graftselectioninanatomicanteriorcruciateligamentreconstruction:patellahamstringsorquadricepstendonautograft</t>
  </si>
  <si>
    <t>https://www.embase.com/search/results?subaction=viewrecord&amp;id=LNCT03047187&amp;from=export</t>
  </si>
  <si>
    <t>What is the Functional Status of Anterior Cruciate Ligament Reconstruction (ACLR) Patients at Discharge From Rehabilitation</t>
  </si>
  <si>
    <t>clinicaltrials.gov (2017). Date of Publication: 31 Jan 2017</t>
  </si>
  <si>
    <t>whatisthefunctionalstatusofanteriorcruciateligamentreconstruction(aclr)patientsatdischargefromrehabilitation</t>
  </si>
  <si>
    <t>https://www.embase.com/search/results?subaction=viewrecord&amp;id=LNCT02939677&amp;from=export</t>
  </si>
  <si>
    <t>Can Targeted Exercise Improve Knee Strength in Patients With Persisting Hamstring Deficiency Following ACL-reconstruction? - A Randomized Controlled Trial</t>
  </si>
  <si>
    <t>clinicaltrials.gov (2016). Date of Publication: 4 Oct 2016</t>
  </si>
  <si>
    <t>cantargetedexerciseimprovekneestrengthinpatientswithpersistinghamstringdeficiencyfollowingaclreconstruction?arandomizedcontrolledtrial</t>
  </si>
  <si>
    <t>https://www.embase.com/search/results?subaction=viewrecord&amp;id=LNCT02626975&amp;from=export</t>
  </si>
  <si>
    <t>MRI Study of Ballooning and Ligamentisation Short Transplants ACL Hamstring According to Technical DT4</t>
  </si>
  <si>
    <t>clinicaltrials.gov (2015). Date of Publication: 7 Dec 2015</t>
  </si>
  <si>
    <t>mristudyofballooningandligamentisationshorttransplantsaclhamstringaccordingtotechnicaldt4</t>
  </si>
  <si>
    <t>https://www.embase.com/search/results?subaction=viewrecord&amp;id=LNCT02310854&amp;from=export</t>
  </si>
  <si>
    <t>Acute Anterior Cruciate Ligament Rupture; RecOnsTruction Or Repair?</t>
  </si>
  <si>
    <t>clinicaltrials.gov (2014). Date of Publication: 1 Dec 2014</t>
  </si>
  <si>
    <t>acuteanteriorcruciateligamentrupturereconstructionorrepair?</t>
  </si>
  <si>
    <t>https://www.embase.com/search/results?subaction=viewrecord&amp;id=LNCT01755819&amp;from=export</t>
  </si>
  <si>
    <t>Clinical Outcome and Tunnel Widening After Hamstring Anterior Cruciate Ligament Reconstruction: A Prospective Randomized Computed Tomography - Based Trial Comparing Aperture With Cortical Fixation</t>
  </si>
  <si>
    <t>clinicaltrials.gov (2012). Date of Publication: 4 Dec 2012</t>
  </si>
  <si>
    <t>clinicaloutcomeandtunnelwideningafterhamstringanteriorcruciateligamentreconstruction:aprospectiverandomizedcomputedtomographybasedtrialcomparingaperturewithcorticalfixation</t>
  </si>
  <si>
    <t>https://www.embase.com/search/results?subaction=viewrecord&amp;id=LNCT01727739&amp;from=export</t>
  </si>
  <si>
    <t>Tibial Tunnel Widening in ACL Reconstruction-Comparing Two Bioscrews: A Prospective Randomized Clinical Trial</t>
  </si>
  <si>
    <t>clinicaltrials.gov (2012). Date of Publication: 7 Nov 2012</t>
  </si>
  <si>
    <t>tibialtunnelwideninginaclreconstructioncomparingtwobioscrews:aprospectiverandomizedclinicaltrial</t>
  </si>
  <si>
    <t>https://www.embase.com/search/results?subaction=viewrecord&amp;id=LNCT01634711&amp;from=export</t>
  </si>
  <si>
    <t>A Prospective and Consecutive Clinical Evaluation of Soft Tissue Regeneration's L-C Ligament® in Primary ACL Reconstruction</t>
  </si>
  <si>
    <t>clinicaltrials.gov (2012). Date of Publication: 22 Jun 2012</t>
  </si>
  <si>
    <t>aprospectiveandconsecutiveclinicalevaluationofsofttissueregeneration'slcligament®inprimaryaclreconstruction</t>
  </si>
  <si>
    <t>https://www.embase.com/search/results?subaction=viewrecord&amp;id=LNCT01348945&amp;from=export</t>
  </si>
  <si>
    <t>Proprioceptive Function, Postural Stability &amp; Clinical Outcome After Stump Preserving Anterior Cruciate Ligament Reconstruction Surgery - A Comparative Study</t>
  </si>
  <si>
    <t>clinicaltrials.gov (2011). Date of Publication: 4 May 2011</t>
  </si>
  <si>
    <t>proprioceptivefunctionposturalstability&amp;clinicaloutcomeafterstumppreservinganteriorcruciateligamentreconstructionsurgeryacomparativestudy</t>
  </si>
  <si>
    <t>https://www.embase.com/search/results?subaction=viewrecord&amp;id=LNCT01170546&amp;from=export</t>
  </si>
  <si>
    <t>Effects of Hamstring Training in Different Modes on Stabilizing Knee Joints With Anterior Drawer Laxity</t>
  </si>
  <si>
    <t>clinicaltrials.gov (2010). Date of Publication: 23 Jul 2010</t>
  </si>
  <si>
    <t>effectsofhamstringtrainingindifferentmodesonstabilizingkneejointswithanteriordrawerlaxity</t>
  </si>
  <si>
    <t>https://www.embase.com/search/results?subaction=viewrecord&amp;id=LNCT07145606&amp;from=export</t>
  </si>
  <si>
    <t>Effects of Early Rehabilitation Using Blood Flow Restriction and/or Surface Electromyography Biofeedback on Quadriceps Activation and Strength After Anterior Cruciate Ligament Reconstruction: A Multicenter Randomized Controlled Trial</t>
  </si>
  <si>
    <t>clinicaltrials.gov (2025). Date of Publication: 21 Aug 2025</t>
  </si>
  <si>
    <t>effectsofearlyrehabilitationusingbloodflowrestrictionand/orsurfaceelectromyographybiofeedbackonquadricepsactivationandstrengthafteranteriorcruciateligamentreconstruction:amulticenterrandomizedcontrolledtrial</t>
  </si>
  <si>
    <t>https://www.embase.com/search/results?subaction=viewrecord&amp;id=LNCT07040384&amp;from=export</t>
  </si>
  <si>
    <t>Knee Extensors Activation Device Versus Rolled Towel for Early Quadriceps Activation After ACL Reconstruction: Protocol for a Randomized Controlled Trial</t>
  </si>
  <si>
    <t>clinicaltrials.gov (2025). Date of Publication: 18 Jun 2025</t>
  </si>
  <si>
    <t>kneeextensorsactivationdeviceversusrolledtowelforearlyquadricepsactivationafteraclreconstruction:protocolforarandomizedcontrolledtrial</t>
  </si>
  <si>
    <t>https://www.embase.com/search/results?subaction=viewrecord&amp;id=LNCT06430775&amp;from=export</t>
  </si>
  <si>
    <t>Exploring Prolonged Arthrogenic Muscle Responses and Associated Factors After Anterior Cruciate Ligament Reconstruction</t>
  </si>
  <si>
    <t>clinicaltrials.gov (2024). Date of Publication: 17 May 2024</t>
  </si>
  <si>
    <t>exploringprolongedarthrogenicmuscleresponsesandassociatedfactorsafteranteriorcruciateligamentreconstruction</t>
  </si>
  <si>
    <t>https://www.embase.com/search/results?subaction=viewrecord&amp;id=LNCT05481918&amp;from=export</t>
  </si>
  <si>
    <t>Normalization of Gait After ACL Reconstruction: A Comparative Study Between Home-based Versus Standardized Therapy</t>
  </si>
  <si>
    <t>clinicaltrials.gov (2022). Date of Publication: 20 Jun 2022</t>
  </si>
  <si>
    <t>normalizationofgaitafteraclreconstruction:acomparativestudybetweenhomebasedversusstandardizedtherapy</t>
  </si>
  <si>
    <t>https://www.embase.com/search/results?subaction=viewrecord&amp;id=LNCT05426954&amp;from=export</t>
  </si>
  <si>
    <t>Blood Flow Restrictive Training Following Medial Patellofemoral Ligament and Anterior Cruciate Ligament Reconstruction Rehabilitation</t>
  </si>
  <si>
    <t>clinicaltrials.gov (2022). Date of Publication: 2 Jun 2022</t>
  </si>
  <si>
    <t>bloodflowrestrictivetrainingfollowingmedialpatellofemoralligamentandanteriorcruciateligamentreconstructionrehabilitation</t>
  </si>
  <si>
    <t>https://www.embase.com/search/results?subaction=viewrecord&amp;id=LNCT05180123&amp;from=export</t>
  </si>
  <si>
    <t>Clinical and MRI Evaluation of ACL Reconstruction Results in Adolescents With Follow-up at Least 3 Years.</t>
  </si>
  <si>
    <t>clinicaltrials.gov (2021). Date of Publication: 17 Dec 2021</t>
  </si>
  <si>
    <t>clinicalandmrievaluationofaclreconstructionresultsinadolescentswithfollowupatleast3years</t>
  </si>
  <si>
    <t>https://www.embase.com/search/results?subaction=viewrecord&amp;id=LNCT05184023&amp;from=export</t>
  </si>
  <si>
    <t>A Double-Blinded, Randomized-Controlled-Trial to Investigate the Effect of Pulsed Electromagnetic Field (PEMF) for Patients With Quadriceps Weakness After Anterior Cruciate Ligament Reconstruction (ACLR)</t>
  </si>
  <si>
    <t>clinicaltrials.gov (2021). Date of Publication: 23 Nov 2021</t>
  </si>
  <si>
    <t>adoubleblindedrandomizedcontrolledtrialtoinvestigatetheeffectofpulsedelectromagneticfield(pemf)forpatientswithquadricepsweaknessafteranteriorcruciateligamentreconstruction(aclr)</t>
  </si>
  <si>
    <t>https://www.embase.com/search/results?subaction=viewrecord&amp;id=LNCT04390035&amp;from=export</t>
  </si>
  <si>
    <t>Blood Flow Restriction Training in the Adolescent Patient: Effects on Muscle Strength and Overall Function Following Anterior Cruciate Ligament Reconstruction Surgery</t>
  </si>
  <si>
    <t>clinicaltrials.gov (2020). Date of Publication: 12 May 2020</t>
  </si>
  <si>
    <t>bloodflowrestrictiontrainingintheadolescentpatient:effectsonmusclestrengthandoverallfunctionfollowinganteriorcruciateligamentreconstructionsurgery</t>
  </si>
  <si>
    <t>https://www.embase.com/search/results?subaction=viewrecord&amp;id=LNCT03794570&amp;from=export</t>
  </si>
  <si>
    <t>Blood Flow Restriction Therapy to Prevent Muscle Atrophy Following Anterior Cruciate Ligament Reconstruction</t>
  </si>
  <si>
    <t>clinicaltrials.gov (2018). Date of Publication: 20 Dec 2018</t>
  </si>
  <si>
    <t>bloodflowrestrictiontherapytopreventmuscleatrophyfollowinganteriorcruciateligamentreconstruction</t>
  </si>
  <si>
    <t>https://www.embase.com/search/results?subaction=viewrecord&amp;id=LNCT00696319&amp;from=export</t>
  </si>
  <si>
    <t>Dynamic Stability of the ACL Deficient Knee - a Prospective Cohort Study</t>
  </si>
  <si>
    <t>clinicaltrials.gov (2008). Date of Publication: 9 Jun 2008</t>
  </si>
  <si>
    <t>dynamicstabilityoftheacldeficientkneeaprospectivecohortstudy</t>
  </si>
  <si>
    <t>26039020</t>
  </si>
  <si>
    <t>[Long-term outcomes after "anatomic" reconstruction of anterior cruciate ligament using central third of patellar tendon]</t>
  </si>
  <si>
    <t>Płomiński J, Piątkowski K, Rowicki K.</t>
  </si>
  <si>
    <t>Pol Merkur Lekarski</t>
  </si>
  <si>
    <t>Płomiński</t>
  </si>
  <si>
    <t>longtermoutcomesafter"anatomic"reconstructionofanteriorcruciateligamentusingcentralthirdofpatellartendon</t>
  </si>
  <si>
    <t>Płomiński+longtermoutcomesafter"anatomic"reconstructionofanteriorcruciateligamentusingcentralthirdofpatellartendon+2015</t>
  </si>
  <si>
    <t>12148189</t>
  </si>
  <si>
    <t>[Evaluation of the anterior cruciate ligament injury treatment results using patellar tendon grafts]</t>
  </si>
  <si>
    <t>Gaweda K, Godlewski P.</t>
  </si>
  <si>
    <t>Chir Narzadow Ruchu Ortop Pol</t>
  </si>
  <si>
    <t>Gaweda</t>
  </si>
  <si>
    <t>evaluationoftheanteriorcruciateligamentinjurytreatmentresultsusingpatellartendongrafts</t>
  </si>
  <si>
    <t>Gaweda+evaluationoftheanteriorcruciateligamentinjurytreatmentresultsusingpatellartendongrafts+2002</t>
  </si>
  <si>
    <t>9533048</t>
  </si>
  <si>
    <t>The effect of pretwisting the ACL autograft on knee laxity</t>
  </si>
  <si>
    <t>Diduch DR, Mann J, Geary SP, Scott WN, Huie G.</t>
  </si>
  <si>
    <t>Am J Knee Surg</t>
  </si>
  <si>
    <t>Diduch</t>
  </si>
  <si>
    <t>theeffectofpretwistingtheaclautograftonkneelaxity</t>
  </si>
  <si>
    <t>Diduch+theeffectofpretwistingtheaclautograftonkneelaxity+1998</t>
  </si>
  <si>
    <t>9520889</t>
  </si>
  <si>
    <t>Home based rehabilitation for anterior cruciate ligament reconstruction</t>
  </si>
  <si>
    <t>Fischer DA, Tewes DP, Boyd JL, Smith JP, Quick DC.</t>
  </si>
  <si>
    <t>Fischer</t>
  </si>
  <si>
    <t>homebasedrehabilitationforanteriorcruciateligamentreconstruction</t>
  </si>
  <si>
    <t>Fischer+homebasedrehabilitationforanteriorcruciateligamentreconstruction+1998</t>
  </si>
  <si>
    <t>9377970</t>
  </si>
  <si>
    <t>[Arthroscopy or arthrotomy in anterior cruciate ligament reconstruction with autogenous bone-tendon-bone-graft]</t>
  </si>
  <si>
    <t>Witoński D, Kozłowski P.</t>
  </si>
  <si>
    <t>Witoński</t>
  </si>
  <si>
    <t>arthroscopyorarthrotomyinanteriorcruciateligamentreconstructionwithautogenousbonetendonbonegraft</t>
  </si>
  <si>
    <t>Witoński+arthroscopyorarthrotomyinanteriorcruciateligamentreconstructionwithautogenousbonetendonbonegraft+1997</t>
  </si>
  <si>
    <t>8165955</t>
  </si>
  <si>
    <t>[The new "Marburg rehabilitation concept". "On the status of exercise equipment within the scope of rehabilitation of patients after surgery of the anterior cruciate ligament"]</t>
  </si>
  <si>
    <t>Knaepler H, Schenk C.</t>
  </si>
  <si>
    <t>Aktuelle Traumatol</t>
  </si>
  <si>
    <t>Knaepler</t>
  </si>
  <si>
    <t>thenew"marburgrehabilitationconcept""onthestatusofexerciseequipmentwithinthescopeofrehabilitationofpatientsaftersurgeryoftheanteriorcruciateligament"</t>
  </si>
  <si>
    <t>Knaepler+thenew"marburgrehabilitationconcept""onthestatusofexerciseequipmentwithinthescopeofrehabilitationofpatientsaftersurgeryoftheanteriorcruciateligament"+1994</t>
  </si>
  <si>
    <t>8403647</t>
  </si>
  <si>
    <t>Patellar tendon or Leeds-Keio graft in the surgical treatment of anterior cruciate ligament ruptures. Intermediate results</t>
  </si>
  <si>
    <t>Engström B, Wredmark T, Westblad P.</t>
  </si>
  <si>
    <t>Engström</t>
  </si>
  <si>
    <t>patellartendonorleedskeiograftinthesurgicaltreatmentofanteriorcruciateligamentrupturesintermediateresults</t>
  </si>
  <si>
    <t>Engström+patellartendonorleedskeiograftinthesurgicaltreatmentofanteriorcruciateligamentrupturesintermediateresults+1993</t>
  </si>
  <si>
    <t>2323135</t>
  </si>
  <si>
    <t>Arthroscopic evaluation of anterior cruciate ligament reconstruction using a free patellar tendon autograft. A prospective, randomized study</t>
  </si>
  <si>
    <t>Kohn D.</t>
  </si>
  <si>
    <t>Kohn</t>
  </si>
  <si>
    <t>arthroscopicevaluationofanteriorcruciateligamentreconstructionusingafreepatellartendonautograftaprospectiverandomizedstudy</t>
  </si>
  <si>
    <t>Kohn+arthroscopicevaluationofanteriorcruciateligamentreconstructionusingafreepatellartendonautograftaprospectiverandomizedstudy+1990</t>
  </si>
  <si>
    <t>24755056</t>
  </si>
  <si>
    <t>[Anatomical ACL reconstruction by a double- versus a single-bundle technique. Prospective randomised study of short-term clinical results]</t>
  </si>
  <si>
    <t>Zeman P, Koudela K, Kasl J, Nepraš P, Zeman J, Matějka J.</t>
  </si>
  <si>
    <t>Acta Chir Orthop Traumatol Cech</t>
  </si>
  <si>
    <t>22816221</t>
  </si>
  <si>
    <t>Results of the surgical reconstruction of the anterior cruciate ligament</t>
  </si>
  <si>
    <t>Zelić Z, Jovanović S, Wertheimer V, Sarić G, Biuk E, Gulan G.</t>
  </si>
  <si>
    <t>Coll Antropol</t>
  </si>
  <si>
    <t>Zelić</t>
  </si>
  <si>
    <t>resultsofthesurgicalreconstructionoftheanteriorcruciateligament</t>
  </si>
  <si>
    <t>Zelić+resultsofthesurgicalreconstructionoftheanteriorcruciateligament+2012</t>
  </si>
  <si>
    <t>19323939</t>
  </si>
  <si>
    <t>Clinical evaluation of double-bundle anterior cruciate ligament reconstruction procedure using hamstring tendon grafts: a prospective, randomized and controlled study</t>
  </si>
  <si>
    <t>Wang JQ, Ao YF, Yu CL, Liu P, Xu Y, Chen LX.</t>
  </si>
  <si>
    <t>18630561</t>
  </si>
  <si>
    <t>[Comparison between four-strand semitendinosus tendon autograft and ligament advanced reinforcement system for anterior cruciate ligament reconstruction by arthroscopy]</t>
  </si>
  <si>
    <t>Fan Q, Fan J.</t>
  </si>
  <si>
    <t>Fan</t>
  </si>
  <si>
    <t>comparisonbetweenfourstrandsemitendinosustendonautograftandligamentadvancedreinforcementsystemforanteriorcruciateligamentreconstructionbyarthroscopy</t>
  </si>
  <si>
    <t>Fan+comparisonbetweenfourstrandsemitendinosustendonautograftandligamentadvancedreinforcementsystemforanteriorcruciateligamentreconstructionbyarthroscopy+2008</t>
  </si>
  <si>
    <t>15174545</t>
  </si>
  <si>
    <t>Reconstruction of the anterior cruciate ligament. Single- versus double-bundle multistranded hamstring tendons</t>
  </si>
  <si>
    <t>Adachi N, Ochi M, Uchio Y, Iwasa J, Kuriwaka M, Ito Y.</t>
  </si>
  <si>
    <t>reconstructionoftheanteriorcruciateligamentsingleversusdoublebundlemultistrandedhamstringtendons</t>
  </si>
  <si>
    <t>Adachi+reconstructionoftheanteriorcruciateligamentsingleversusdoublebundlemultistrandedhamstringtendons+2004</t>
  </si>
  <si>
    <t>11401167</t>
  </si>
  <si>
    <t>Biodegradable interference screw augmentation reduces tunnel expansion after ACL reconstruction</t>
  </si>
  <si>
    <t>Simonian PT, Monson JT, Larson RV.</t>
  </si>
  <si>
    <t>biodegradableinterferencescrewaugmentationreducestunnelexpansionafteraclreconstruction</t>
  </si>
  <si>
    <t>Simonian+biodegradableinterferencescrewaugmentationreducestunnelexpansionafteraclreconstruction+2001</t>
  </si>
  <si>
    <t>8666597</t>
  </si>
  <si>
    <t>Arthroscopically assisted reconstruction of the anterior cruciate ligament. A prospective randomized analysis of three techniques</t>
  </si>
  <si>
    <t>arthroscopicallyassistedreconstructionoftheanteriorcruciateligamentaprospectiverandomizedanalysisofthreetechniques</t>
  </si>
  <si>
    <t>O'Neill+arthroscopicallyassistedreconstructionoftheanteriorcruciateligamentaprospectiverandomizedanalysisofthreetechniques+1996</t>
  </si>
  <si>
    <t>8300688</t>
  </si>
  <si>
    <t>Over-the-top or tunnel reconstruction of the anterior cruciate ligament? A prospective randomised study of 54 patients</t>
  </si>
  <si>
    <t>Jonsson H, Elmqvist LG, Kärrholm J, Tegner Y.</t>
  </si>
  <si>
    <t>Jonsson</t>
  </si>
  <si>
    <t>overthetoportunnelreconstructionoftheanteriorcruciateligament?aprospectiverandomisedstudyof54patients</t>
  </si>
  <si>
    <t>Jonsson+overthetoportunnelreconstructionoftheanteriorcruciateligament?aprospectiverandomisedstudyof54patients+1994</t>
  </si>
  <si>
    <t>https://www.embase.com/search/results?subaction=viewrecord&amp;id=L33452408&amp;from=export</t>
  </si>
  <si>
    <t>Is a knee brace advantageous after anterior cruciate ligament surgery? A prospective, randomised study with a two-year follow-up.</t>
  </si>
  <si>
    <t>Brandsson S., Faxén E., Kartus J., Eriksson B.I., Karlsson J.</t>
  </si>
  <si>
    <t>Scandinavian journal of medicine &amp; science in sports (2001) 11:2 (110-114). Date of Publication: Apr 2001</t>
  </si>
  <si>
    <t>https://www.embase.com/search/results?subaction=viewrecord&amp;id=L33458262&amp;from=export</t>
  </si>
  <si>
    <t>Preconditioning patellar tendon autografts in arthroscopic anterior cruciate ligament reconstruction: a prospective randomized study.</t>
  </si>
  <si>
    <t>Ejerhed L., Kartus J., Köhler K., Sernert N., Brandsson S., Karlsson J.</t>
  </si>
  <si>
    <t>Knee surgery, sports traumatology, arthroscopy : official journal of the ESSKA (2001) 9:1 (6-11). Date of Publication: 2001</t>
  </si>
  <si>
    <t>https://www.embase.com/search/results?subaction=viewrecord&amp;id=L128262800&amp;from=export</t>
  </si>
  <si>
    <t>Closing patellar tendon defects after anterior cruciate ligament reconstruction: absence of any benefit.</t>
  </si>
  <si>
    <t>Brandsson S., Faxén E., Eriksson B.I., Kälebo P., Swärd L., Lundin O., Karlsson J.</t>
  </si>
  <si>
    <t>Knee surgery, sports traumatology, arthroscopy : official journal of the ESSKA (1998) 6:2 (82-87). Date of Publication: 1998</t>
  </si>
  <si>
    <t>https://www.embase.com/search/results?subaction=viewrecord&amp;id=L128212690&amp;from=export</t>
  </si>
  <si>
    <t>One- versus two-incision technique for anterior cruciate ligament reconstruction with patellar tendon graft. Results on early rehabilitation and stability.</t>
  </si>
  <si>
    <t>Gerich T.G., Lattermann C., Fremerey R.W., Zeichen J., Lobenhoffer H.P.</t>
  </si>
  <si>
    <t>Knee surgery, sports traumatology, arthroscopy : official journal of the ESSKA (1997) 5:4 (213-216). Date of Publication: 1997</t>
  </si>
  <si>
    <t>https://www.embase.com/search/results?subaction=viewrecord&amp;id=L127191273&amp;from=export</t>
  </si>
  <si>
    <t>Anterior cruciate ligament reconstruction with the patellar tendon--augmentation or not? A 2-year follow-up of 82 patients.</t>
  </si>
  <si>
    <t>Thuresson P., Sandberg R., Johansson O., Balkfors B., Westlin N.</t>
  </si>
  <si>
    <t>Scandinavian journal of medicine &amp; science in sports (1996) 6:4 (247-254). Date of Publication: Aug 1996</t>
  </si>
  <si>
    <t>https://www.embase.com/search/results?subaction=viewrecord&amp;id=L126274565&amp;from=export</t>
  </si>
  <si>
    <t>Comparison between two techniques for surgical repair of the acutely torn anterior cruciate ligament. A prospective, randomized follow-up study of 48 patients.</t>
  </si>
  <si>
    <t>Grøntvedt T., Engebretsen L.</t>
  </si>
  <si>
    <t>Scandinavian journal of medicine &amp; science in sports (1995) 5:6 (358-363). Date of Publication: Dec 1995</t>
  </si>
  <si>
    <t>https://www.embase.com/search/results?subaction=viewrecord&amp;id=L25159707&amp;from=export</t>
  </si>
  <si>
    <t>Effect on knee stability if full hyperextension is restored immediately after autogenous bone-patellar tendon-bone anterior cruciate ligament reconstruction</t>
  </si>
  <si>
    <t>Rubinstein Jr. R.A., Shelbourne K.D., VanMeter C.D., McCarroll J.R., Rettig A.C., Gloyeske R.L.</t>
  </si>
  <si>
    <t>American Journal of Sports Medicine (1995) 23:3 (365-368). Date of Publication: 1995</t>
  </si>
  <si>
    <t>Rubinstein</t>
  </si>
  <si>
    <t>effectonkneestabilityiffullhyperextensionisrestoredimmediatelyafterautogenousbonepatellartendonboneanteriorcruciateligamentreconstruction</t>
  </si>
  <si>
    <t>Rubinstein+effectonkneestabilityiffullhyperextensionisrestoredimmediatelyafterautogenousbonepatellartendonboneanteriorcruciateligamentreconstruction+1995</t>
  </si>
  <si>
    <t>https://www.embase.com/search/results?subaction=viewrecord&amp;id=L25093144&amp;from=export</t>
  </si>
  <si>
    <t>Cameron S.E., Wilson W., St.Pierre P.</t>
  </si>
  <si>
    <t>Orthopedics (1995) 18:3 (249-252). Date of Publication: 1995</t>
  </si>
  <si>
    <t>https://www.embase.com/search/results?subaction=viewrecord&amp;id=L24092602&amp;from=export</t>
  </si>
  <si>
    <t>A new postoperative treatment following ACL-reconstruction</t>
  </si>
  <si>
    <t>Knaepler H., Schenk C.</t>
  </si>
  <si>
    <t>Aktuelle Traumatologie (1994) 24:1 (17-23). Date of Publication: 1994</t>
  </si>
  <si>
    <t>anewpostoperativetreatmentfollowingaclreconstruction</t>
  </si>
  <si>
    <t>Knaepler+anewpostoperativetreatmentfollowingaclreconstruction+1994</t>
  </si>
  <si>
    <t>https://www.embase.com/search/results?subaction=viewrecord&amp;id=L2023822448&amp;from=export</t>
  </si>
  <si>
    <t>Prospective Study of Assessment of Proprioception Recovery Post Anatomical Anterior Cruciate Ligament Reconstruction with Remnant Retention</t>
  </si>
  <si>
    <t>Bansal A., Dachepalli S., Agarwal S.</t>
  </si>
  <si>
    <t>International Journal of Pharmaceutical and Clinical Research (2023) 15:4 (1619-1629). Date of Publication: 2023</t>
  </si>
  <si>
    <t>Bansal</t>
  </si>
  <si>
    <t>prospectivestudyofassessmentofproprioceptionrecoverypostanatomicalanteriorcruciateligamentreconstructionwithremnantretention</t>
  </si>
  <si>
    <t>Bansal+prospectivestudyofassessmentofproprioceptionrecoverypostanatomicalanteriorcruciateligamentreconstructionwithremnantretention+2023</t>
  </si>
  <si>
    <t>https://www.embase.com/search/results?subaction=viewrecord&amp;id=L2017379457&amp;from=export</t>
  </si>
  <si>
    <t>Combining ACL Reconstruction and Refixation: the Single Anteromedial Bundle Biological Augmentation and Refixation (SAMBBAR) Technique</t>
  </si>
  <si>
    <t>Döbele S., Ziegler P., Hofmann V., Histing T., Konrads C.</t>
  </si>
  <si>
    <t>Acta Chirurgiae Orthopaedicae et Traumatologiae Cechoslovaca (2021) 88:6 (423-427). Date of Publication: 2021</t>
  </si>
  <si>
    <t>Döbele</t>
  </si>
  <si>
    <t>combiningaclreconstructionandrefixation:thesingleanteromedialbundlebiologicalaugmentationandrefixation(sambbar)technique</t>
  </si>
  <si>
    <t>Döbele+combiningaclreconstructionandrefixation:thesingleanteromedialbundlebiologicalaugmentationandrefixation(sambbar)technique+2021</t>
  </si>
  <si>
    <t>https://www.embase.com/search/results?subaction=viewrecord&amp;id=L624866580&amp;from=export</t>
  </si>
  <si>
    <t>Evaluation of the MRI findings on a tendon graft after the anatomic anterior cruciate ligament reconstruction in patients with versus without the application of platelet-rich fibrin - Results of the</t>
  </si>
  <si>
    <t>Zeman P., Kasl J., Tupý R., Frei R., Kott O., Kautzner J.</t>
  </si>
  <si>
    <t>Acta Chirurgiae Orthopaedicae et Traumatologiae Cechoslovaca (2018) 85:5 (343-350). Date of Publication: 2018</t>
  </si>
  <si>
    <t>evaluationofthemrifindingsonatendongraftaftertheanatomicanteriorcruciateligamentreconstructioninpatientswithversuswithouttheapplicationofplateletrichfibrinresultsofthe</t>
  </si>
  <si>
    <t>Zeman+evaluationofthemrifindingsonatendongraftaftertheanatomicanteriorcruciateligamentreconstructioninpatientswithversuswithouttheapplicationofplateletrichfibrinresultsofthe+2018</t>
  </si>
  <si>
    <t>https://www.embase.com/search/results?subaction=viewrecord&amp;id=L563021961&amp;from=export</t>
  </si>
  <si>
    <t>The effect of early whole-body vibration therapy on neuromuscular control after anterior cruciate ligament reconstruction: a randomized controlled trial.</t>
  </si>
  <si>
    <t>Fu C.L., Yung S.H., Law K.Y., Leung K.H., Lui P.Y., Siu H.K., Chan K.M.</t>
  </si>
  <si>
    <t>The American journal of sports medicine (2013) 41:4 (804-814). Date of Publication: Apr 2013</t>
  </si>
  <si>
    <t>https://www.embase.com/search/results?subaction=viewrecord&amp;id=L563069648&amp;from=export</t>
  </si>
  <si>
    <t>A prospective randomized study comparing double- and single-bundle techniques for anterior cruciate ligament reconstruction.</t>
  </si>
  <si>
    <t>Ahldén M., Sernert N., Karlsson J., Kartus J.</t>
  </si>
  <si>
    <t>The American journal of sports medicine (2013) 41:11 (2484-2491). Date of Publication: Nov 2013</t>
  </si>
  <si>
    <t>https://www.embase.com/search/results?subaction=viewrecord&amp;id=L366357224&amp;from=export</t>
  </si>
  <si>
    <t>Effect of calcium phosphate-hybridized tendon graft in anterior cruciate ligament reconstruction: a randomized controlled trial.</t>
  </si>
  <si>
    <t>Mutsuzaki H., Kanamori A., Ikeda K., Hioki S., Kinugasa T., Sakane M.</t>
  </si>
  <si>
    <t>The American journal of sports medicine (2012) 40:8 (1772-1780). Date of Publication: Aug 2012</t>
  </si>
  <si>
    <t>https://www.embase.com/search/results?subaction=viewrecord&amp;id=L366005418&amp;from=export</t>
  </si>
  <si>
    <t>Double-bundle versus single-bundle anterior cruciate ligament reconstruction: a prospective randomized study with 5-year results.</t>
  </si>
  <si>
    <t>Suomalainen P., Järvelä T., Paakkala A., Kannus P., Järvinen M.</t>
  </si>
  <si>
    <t>The American journal of sports medicine (2012) 40:7 (1511-1518). Date of Publication: Jul 2012</t>
  </si>
  <si>
    <t>https://www.embase.com/search/results?subaction=viewrecord&amp;id=L365234555&amp;from=export</t>
  </si>
  <si>
    <t>Prospective randomized clinical evaluation of conventional single-bundle, anatomic single-bundle, and anatomic double-bundle anterior cruciate ligament reconstruction: 281 cases with 3- to 5-year follow-up.</t>
  </si>
  <si>
    <t>Hussein M., van Eck C.F., Cretnik A., Dinevski D., Fu F.H.</t>
  </si>
  <si>
    <t>The American journal of sports medicine (2012) 40:3 (512-520). Date of Publication: Mar 2012</t>
  </si>
  <si>
    <t>https://www.embase.com/search/results?subaction=viewrecord&amp;id=L560020602&amp;from=export</t>
  </si>
  <si>
    <t>Tibial fixation in anterior cruciate ligament reconstruction: a prospective randomized study comparing metal interference screw and staples with a centrally placed polyethylene screw and sheath.</t>
  </si>
  <si>
    <t>De Wall M., Scholes C.J., Patel S., Coolican M.R., Parker D.A.</t>
  </si>
  <si>
    <t>The American journal of sports medicine (2011) 39:9 (1858-1864). Date of Publication: Sep 2011</t>
  </si>
  <si>
    <t>https://www.embase.com/search/results?subaction=viewrecord&amp;id=L560029995&amp;from=export</t>
  </si>
  <si>
    <t>Double-bundle versus single-bundle anterior cruciate ligament reconstruction: randomized clinical and magnetic resonance imaging study with 2-year follow-up.</t>
  </si>
  <si>
    <t>Suomalainen P., Moisala A.S., Paakkala A., Kannus P., Järvelä T.</t>
  </si>
  <si>
    <t>The American journal of sports medicine (2011) 39:8 (1615-1622). Date of Publication: Aug 2011</t>
  </si>
  <si>
    <t>https://www.embase.com/search/results?subaction=viewrecord&amp;id=L360300164&amp;from=export</t>
  </si>
  <si>
    <t>A long-term, prospective, randomized study comparing biodegradable and metal interference screws in anterior cruciate ligament reconstruction surgery: radiographic results and clinical outcome.</t>
  </si>
  <si>
    <t>Stener S., Ejerhed L., Sernert N., Laxdal G., Rostgård-Christensen L., Kartus J.</t>
  </si>
  <si>
    <t>The American journal of sports medicine (2010) 38:8 (1598-1605). Date of Publication: Aug 2010</t>
  </si>
  <si>
    <t>https://www.embase.com/search/results?subaction=viewrecord&amp;id=L358986090&amp;from=export</t>
  </si>
  <si>
    <t>Biodegradable screw versus a press-fit bone plug fixation for hamstring anterior cruciate ligament reconstruction: a prospective randomized study.</t>
  </si>
  <si>
    <t>Jagodzinski M., Geiges B., von Falck C., Knobloch K., Haasper C., Brand J., Hankemeier S., Krettek C., Meller R.</t>
  </si>
  <si>
    <t>The American journal of sports medicine (2010) 38:3 (501-508). Date of Publication: Mar 2010</t>
  </si>
  <si>
    <t>https://www.embase.com/search/results?subaction=viewrecord&amp;id=L360248818&amp;from=export</t>
  </si>
  <si>
    <t>Comparison between single-and double-bundle anterior cruciate ligament reconstruction: a prospective, randomized, single-blinded clinical trial.</t>
  </si>
  <si>
    <t>Aglietti P., Giron F., Losco M., Cuomo P., Ciardullo A., Mondanelli N.</t>
  </si>
  <si>
    <t>The American journal of sports medicine (2010) 38:1 (25-34). Date of Publication: Jan 2010</t>
  </si>
  <si>
    <t>https://www.embase.com/search/results?subaction=viewrecord&amp;id=L39074351&amp;from=export</t>
  </si>
  <si>
    <t>The role of periosteal flap in the prevention of femoral widening in anterior cruciate ligament reconstruction using hamstring tendons.</t>
  </si>
  <si>
    <t>Robert H., Es-Sayeh J.</t>
  </si>
  <si>
    <t>Knee surgery, sports traumatology, arthroscopy : official journal of the ESSKA (2004) 12:1 (30-35). Date of Publication: Jan 2004</t>
  </si>
  <si>
    <t>https://www.embase.com/search/results?subaction=viewrecord&amp;id=L44249535&amp;from=export</t>
  </si>
  <si>
    <t>Effects of traditional Chinese medicine and rehabilitation training on knee joint function after anterior cruciate ligament reconstruction in arthroscopy</t>
  </si>
  <si>
    <t>Liang Y., Zhang S.-M., Hu Y., Zhang H.-W., Yuan R.-X.</t>
  </si>
  <si>
    <t>Chinese Journal of Clinical Rehabilitation (2006) 10:27 (6-10). Date of Publication: 20 Jul 2006</t>
  </si>
  <si>
    <t>Liang</t>
  </si>
  <si>
    <t>effectsoftraditionalchinesemedicineandrehabilitationtrainingonkneejointfunctionafteranteriorcruciateligamentreconstructioninarthroscopy</t>
  </si>
  <si>
    <t>Liang+effectsoftraditionalchinesemedicineandrehabilitationtrainingonkneejointfunctionafteranteriorcruciateligamentreconstructioninarthroscopy+2006</t>
  </si>
  <si>
    <t>WOS:000237710900006</t>
  </si>
  <si>
    <t>Anterior cruciate ligament replacement with distally inserted doubled hamstring graft: prospective clinical and instrumental evaluation</t>
  </si>
  <si>
    <t>Buda, R; Verni, E; Ferruzzi, A; Di Caprio, F; Giannini, S</t>
  </si>
  <si>
    <t>MEDICINA DELLO SPORT</t>
  </si>
  <si>
    <t>Buda</t>
  </si>
  <si>
    <t>anteriorcruciateligamentreplacementwithdistallyinserteddoubledhamstringgraft:prospectiveclinicalandinstrumentalevaluation</t>
  </si>
  <si>
    <t>Buda+anteriorcruciateligamentreplacementwithdistallyinserteddoubledhamstringgraft:prospectiveclinicalandinstrumentalevaluation+2005</t>
  </si>
  <si>
    <t>WOS:000431090500003</t>
  </si>
  <si>
    <t>Anatomical All-Inside Anterior Cruciate Ligament Reconstruction Using Quadrupled Semitendinosus Tendon Graft with Posteromedial Harvest - Clinical Results of Prospective Study at a Minimum 12-Months Follow-up</t>
  </si>
  <si>
    <t>Zeman, P; Kautzner, J; Havel, O; Matejka, J; Pavelka, T; Havlas, V</t>
  </si>
  <si>
    <t>ACTA CHIRURGIAE ORTHOPAEDICAE ET TRAUMATOLOGIAE CECHOSLOVACA</t>
  </si>
  <si>
    <t>anatomicalallinsideanteriorcruciateligamentreconstructionusingquadrupledsemitendinosustendongraftwithposteromedialharvestclinicalresultsofprospectivestudyataminimum12monthsfollowup</t>
  </si>
  <si>
    <t>Zeman+anatomicalallinsideanteriorcruciateligamentreconstructionusingquadrupledsemitendinosustendongraftwithposteromedialharvestclinicalresultsofprospectivestudyataminimum12monthsfollowup+2018</t>
  </si>
  <si>
    <t>19374299</t>
  </si>
  <si>
    <t>Clinical comparison between six-strand hamstring tendon and patellar tendon autograft in arthroscopic anterior cruciate ligament reconstruction: a prospective, randomized clinical trial</t>
  </si>
  <si>
    <t>Laoruengthana A, Pattayakorn S, Chotanaputhi T, Kosiyatrakul A.</t>
  </si>
  <si>
    <t>J Med Assoc Thai</t>
  </si>
  <si>
    <t>Laoruengthana</t>
  </si>
  <si>
    <t>clinicalcomparisonbetweensixstrandhamstringtendonandpatellartendonautograftinarthroscopicanteriorcruciateligamentreconstruction:aprospectiverandomizedclinicaltrial</t>
  </si>
  <si>
    <t>Laoruengthana+clinicalcomparisonbetweensixstrandhamstringtendonandpatellartendonautograftinarthroscopicanteriorcruciateligamentreconstruction:aprospectiverandomizedclinicaltrial+2009</t>
  </si>
  <si>
    <t>15516013</t>
  </si>
  <si>
    <t>Arthroscopically assisted anterior cruciate ligament reconstruction: comparison of bone-patellar tendon-bone versus hamstring tendon autograft</t>
  </si>
  <si>
    <t>Boonriong T, Kietsiriroje N.</t>
  </si>
  <si>
    <t>Boonriong</t>
  </si>
  <si>
    <t>arthroscopicallyassistedanteriorcruciateligamentreconstruction:comparisonofbonepatellartendonboneversushamstringtendonautograft</t>
  </si>
  <si>
    <t>Boonriong+arthroscopicallyassistedanteriorcruciateligamentreconstruction:comparisonofbonepatellartendonboneversushamstringtendonautograft+2004</t>
  </si>
  <si>
    <t>15466722</t>
  </si>
  <si>
    <t>Anterior cruciate ligament reconstruction: bone-patellar tendon-bone compared with double semitendinosus and gracilis tendon grafts. A prospective, randomized clinical trial</t>
  </si>
  <si>
    <t>Aglietti P, Giron F, Buzzi R, Biddau F, Sasso F.</t>
  </si>
  <si>
    <t>13679741</t>
  </si>
  <si>
    <t>[Patellar tendon-bone autograft reconstruction of the anterior cruciate ligament for advanced-stage chronic anterior laxity: is an extra-articular plasty necessary? A prospective randomized study of 100 patients with five year follow-up]</t>
  </si>
  <si>
    <t>Acquitter Y, Hulet C, Locker B, Delbarre JC, Jambou S, Vielpeau C.</t>
  </si>
  <si>
    <t>Acquitter</t>
  </si>
  <si>
    <t>patellartendonboneautograftreconstructionoftheanteriorcruciateligamentforadvancedstagechronicanteriorlaxity:isanextraarticularplastynecessary?aprospectiverandomizedstudyof100patientswithfiveyearfollowup</t>
  </si>
  <si>
    <t>Acquitter+patellartendonboneautograftreconstructionoftheanteriorcruciateligamentforadvancedstagechronicanteriorlaxity:isanextraarticularplastynecessary?aprospectiverandomizedstudyof100patientswithfiveyearfollowup+2003</t>
  </si>
  <si>
    <t>11973544</t>
  </si>
  <si>
    <t>[Anterior cruciate ligament reconstruction: patellar tendon autograft versus four-strand hamstring tendon autografts. A comparative study at one year follow-up]</t>
  </si>
  <si>
    <t>Katabi M, Djian P, Christel P.</t>
  </si>
  <si>
    <t>Katabi</t>
  </si>
  <si>
    <t>anteriorcruciateligamentreconstruction:patellartendonautograftversusfourstrandhamstringtendonautograftsacomparativestudyatoneyearfollowup</t>
  </si>
  <si>
    <t>Katabi+anteriorcruciateligamentreconstruction:patellartendonautograftversusfourstrandhamstringtendonautograftsacomparativestudyatoneyearfollowup+2002</t>
  </si>
  <si>
    <t>11374431</t>
  </si>
  <si>
    <t>There are differences in early morbidity after ACL reconstruction when comparing patellar tendon and semitendinosus tendon graft. A prospective randomized study of 107 patients</t>
  </si>
  <si>
    <t>Eriksson K, Anderberg P, Hamberg P, Olerud P, Wredmark T.</t>
  </si>
  <si>
    <t>therearedifferencesinearlymorbidityafteraclreconstructionwhencomparingpatellartendonandsemitendinosustendongraftaprospectiverandomizedstudyof107patients</t>
  </si>
  <si>
    <t>Eriksson+therearedifferencesinearlymorbidityafteraclreconstructionwhencomparingpatellartendonandsemitendinosustendongraftaprospectiverandomizedstudyof107patients+2001</t>
  </si>
  <si>
    <t>39855903</t>
  </si>
  <si>
    <t>[Autologous hamstring versus quadriceps graft in anterior cruciate ligament plasty. Comparative study with focus on Return-To-Sport]</t>
  </si>
  <si>
    <t>García-Linage R, Lassard-Rosenthal J, Noval-García R, Muñiz-Madrazo A, Fraind-Maya G, Palmero-Picazo J, German-Córdoba I, Zimbrón-López D.</t>
  </si>
  <si>
    <t>Acta Ortop Mex</t>
  </si>
  <si>
    <t>García-Linage</t>
  </si>
  <si>
    <t>autologoushamstringversusquadricepsgraftinanteriorcruciateligamentplastycomparativestudywithfocusonreturntosport</t>
  </si>
  <si>
    <t>García-Linage+autologoushamstringversusquadricepsgraftinanteriorcruciateligamentplastycomparativestudywithfocusonreturntosport+2025</t>
  </si>
  <si>
    <t>37499157</t>
  </si>
  <si>
    <t>Application of 3D-Printed Personalized Guide for Lateral Femoral Positioning in Anterior Cruciate Ligament Reconstruction of the Knee</t>
  </si>
  <si>
    <t>Lan X, Huang J, Tian F, Wang S, Liu C, Wang J.</t>
  </si>
  <si>
    <t>Altern Ther Health Med</t>
  </si>
  <si>
    <t>Lan</t>
  </si>
  <si>
    <t>applicationof3dprintedpersonalizedguideforlateralfemoralpositioninginanteriorcruciateligamentreconstructionoftheknee</t>
  </si>
  <si>
    <t>Lan+applicationof3dprintedpersonalizedguideforlateralfemoralpositioninginanteriorcruciateligamentreconstructionoftheknee+2023</t>
  </si>
  <si>
    <t>36055668</t>
  </si>
  <si>
    <t>[Clinical Outcomes of the Application of Platelet-Rich Fibrin during Anatomic Anterior Cruciate Ligament Reconstruction: Results of Prospective Randomised Study]</t>
  </si>
  <si>
    <t>Kasl J, Zeman P, Pavelka T, Cibulková J, Pilný J, Matějka J.</t>
  </si>
  <si>
    <t>Kasl</t>
  </si>
  <si>
    <t>clinicaloutcomesoftheapplicationofplateletrichfibrinduringanatomicanteriorcruciateligamentreconstruction:resultsofprospectiverandomisedstudy</t>
  </si>
  <si>
    <t>Kasl+clinicaloutcomesoftheapplicationofplateletrichfibrinduringanatomicanteriorcruciateligamentreconstruction:resultsofprospectiverandomisedstudy+2022</t>
  </si>
  <si>
    <t>28327683</t>
  </si>
  <si>
    <t>Infra Patellar Branch of Saphenous Nerve Injury during Hamstring Graft Harvest: Vertical versus Oblique Incisions</t>
  </si>
  <si>
    <t>Joshi A, Kayasth N, Shrestha S, Kc BR.</t>
  </si>
  <si>
    <t>J Nepal Health Res Counc</t>
  </si>
  <si>
    <t>Joshi</t>
  </si>
  <si>
    <t>infrapatellarbranchofsaphenousnerveinjuryduringhamstringgraftharvest:verticalversusobliqueincisions</t>
  </si>
  <si>
    <t>Joshi+infrapatellarbranchofsaphenousnerveinjuryduringhamstringgraftharvest:verticalversusobliqueincisions+2016</t>
  </si>
  <si>
    <t>23145756</t>
  </si>
  <si>
    <t>A comparison of clinical outcome of augmentation and standard reconstruction techniques for partial anterior cruciate ligament tears</t>
  </si>
  <si>
    <t>Demirağ B, Ermutlu C, Aydemir F, Durak K.</t>
  </si>
  <si>
    <t>Eklem Hastalik Cerrahisi</t>
  </si>
  <si>
    <t>Demirağ</t>
  </si>
  <si>
    <t>acomparisonofclinicaloutcomeofaugmentationandstandardreconstructiontechniquesforpartialanteriorcruciateligamenttears</t>
  </si>
  <si>
    <t>Demirağ+acomparisonofclinicaloutcomeofaugmentationandstandardreconstructiontechniquesforpartialanteriorcruciateligamenttears+2012</t>
  </si>
  <si>
    <t>19102185</t>
  </si>
  <si>
    <t>[Comparative study on reconstruction of anterior cruciate ligaments with allografts and hamstring tendon under arthroscopy]</t>
  </si>
  <si>
    <t>Liu HG, Chen SX, Zhao CD, Ding LJ, Situ J.</t>
  </si>
  <si>
    <t>Zhongguo Gu Shang</t>
  </si>
  <si>
    <t>comparativestudyonreconstructionofanteriorcruciateligamentswithallograftsandhamstringtendonunderarthroscopy</t>
  </si>
  <si>
    <t>Liu+comparativestudyonreconstructionofanteriorcruciateligamentswithallograftsandhamstringtendonunderarthroscopy+2008</t>
  </si>
  <si>
    <t>7899626</t>
  </si>
  <si>
    <t>[Isolated intraarticular plasty of the semitendinosus or combined intra- and extra-articular plasty in chronic anterior laxity of the knee]</t>
  </si>
  <si>
    <t>Goertzen M, Schulitz KP.</t>
  </si>
  <si>
    <t>Goertzen</t>
  </si>
  <si>
    <t>isolatedintraarticularplastyofthesemitendinosusorcombinedintraandextraarticularplastyinchronicanteriorlaxityoftheknee</t>
  </si>
  <si>
    <t>Goertzen+isolatedintraarticularplastyofthesemitendinosusorcombinedintraandextraarticularplastyinchronicanteriorlaxityoftheknee+1994</t>
  </si>
  <si>
    <t>26875887</t>
  </si>
  <si>
    <t>The curative efficacy of arthroscopic therapy in treating anterior cruciate ligament rupture with secondary osteoarthritis</t>
  </si>
  <si>
    <t>Ouyang X, Hong SD, Xin F, Wang L, Yang XW, Wang JR, Wang Q, Cui WD, Zhang AJ, Zhao ZX.</t>
  </si>
  <si>
    <t>Eur Rev Med Pharmacol Sci</t>
  </si>
  <si>
    <t>Ouyang</t>
  </si>
  <si>
    <t>thecurativeefficacyofarthroscopictherapyintreatinganteriorcruciateligamentrupturewithsecondaryosteoarthritis</t>
  </si>
  <si>
    <t>Ouyang+thecurativeefficacyofarthroscopictherapyintreatinganteriorcruciateligamentrupturewithsecondaryosteoarthritis+2016</t>
  </si>
  <si>
    <t>3896609</t>
  </si>
  <si>
    <t>Surgical or conservative treatment of the acutely torn anterior cruciate ligament. A randomized study with short-term follow-up observations</t>
  </si>
  <si>
    <t>Odensten M, Hamberg P, Nordin M, Lysholm J, Gillquist J.</t>
  </si>
  <si>
    <t>Odensten</t>
  </si>
  <si>
    <t>surgicalorconservativetreatmentoftheacutelytornanteriorcruciateligamentarandomizedstudywithshorttermfollowupobservations</t>
  </si>
  <si>
    <t>Odensten+surgicalorconservativetreatmentoftheacutelytornanteriorcruciateligamentarandomizedstudywithshorttermfollowupobservations+1985</t>
  </si>
  <si>
    <t>27682300</t>
  </si>
  <si>
    <t>Supplementary tibial fixation in anterior cruciate ligament reconstruction - Direct cortical fixation using spiked washer screw vs. post-tie using washer screw</t>
  </si>
  <si>
    <t>Noh JH, Kyiung HS, Yoon KH, Roh YH.</t>
  </si>
  <si>
    <t>Acta Orthop Belg</t>
  </si>
  <si>
    <t>supplementarytibialfixationinanteriorcruciateligamentreconstructiondirectcorticalfixationusingspikedwasherscrewvsposttieusingwasherscrew</t>
  </si>
  <si>
    <t>Noh+supplementarytibialfixationinanteriorcruciateligamentreconstructiondirectcorticalfixationusingspikedwasherscrewvsposttieusingwasherscrew+2016</t>
  </si>
  <si>
    <t>https://www.embase.com/search/results?subaction=viewrecord&amp;id=L2039490534&amp;from=export</t>
  </si>
  <si>
    <t>To Compare the Functional Outcome of Arthroscopic Reconstruction of Anterior Cruciate Ligament Using Patellar Tendon Bone Grafts v/s Hamstrings Graft: A Multicentric Study</t>
  </si>
  <si>
    <t>Meena V.K., Lakhotia D., Nama K.G., Joshi S.</t>
  </si>
  <si>
    <t>International Journal of Life Sciences Biotechnology and Pharma Research (2023) 12:2 (2277-2281). Date of Publication: 1 Apr 2023</t>
  </si>
  <si>
    <t>Meena</t>
  </si>
  <si>
    <t>tocomparethefunctionaloutcomeofarthroscopicreconstructionofanteriorcruciateligamentusingpatellartendonbonegraftsv/shamstringsgraft:amulticentricstudy</t>
  </si>
  <si>
    <t>Meena+tocomparethefunctionaloutcomeofarthroscopicreconstructionofanteriorcruciateligamentusingpatellartendonbonegraftsv/shamstringsgraft:amulticentricstudy+2023</t>
  </si>
  <si>
    <t>https://www.embase.com/search/results?subaction=viewrecord&amp;id=L2008563345&amp;from=export</t>
  </si>
  <si>
    <t>To compare the functional outcome of the Patellar Tendon and hamstring tendon autograft for anterior cruciate ligament reconstruction in males</t>
  </si>
  <si>
    <t>Rajput I.M., Ali M., Siddiqui A.A., Sahito B., Doltani D.K., Khaskheli J.H.</t>
  </si>
  <si>
    <t>Pakistan Journal of Medical and Health Sciences (2020) 14:3 (839-842). Date of Publication: 1 Jul 2020</t>
  </si>
  <si>
    <t>Rajput</t>
  </si>
  <si>
    <t>tocomparethefunctionaloutcomeofthepatellartendonandhamstringtendonautograftforanteriorcruciateligamentreconstructioninmales</t>
  </si>
  <si>
    <t>Rajput+tocomparethefunctionaloutcomeofthepatellartendonandhamstringtendonautograftforanteriorcruciateligamentreconstructioninmales+2020</t>
  </si>
  <si>
    <t>https://www.embase.com/search/results?subaction=viewrecord&amp;id=L373981905&amp;from=export</t>
  </si>
  <si>
    <t>Increased risk of osteoarthritis after anterior cruciate ligament reconstruction: a 14-year follow-up study of a randomized controlled trial.</t>
  </si>
  <si>
    <t>Barenius B., Ponzer S., Shalabi A., Bujak R., Norlén L., Eriksson K.</t>
  </si>
  <si>
    <t>The American journal of sports medicine (2014) 42:5 (1049-1057). Date of Publication: May 2014</t>
  </si>
  <si>
    <t>https://www.embase.com/search/results?subaction=viewrecord&amp;id=L563069668&amp;from=export</t>
  </si>
  <si>
    <t>Ipsilateral versus contralateral hamstring grafts in anterior cruciate ligament reconstruction: a prospective randomized trial.</t>
  </si>
  <si>
    <t>McRae S., Leiter J., McCormack R., Old J., MacDonald P.</t>
  </si>
  <si>
    <t>The American journal of sports medicine (2013) 41:11 (2492-2499). Date of Publication: Nov 2013</t>
  </si>
  <si>
    <t>https://www.embase.com/search/results?subaction=viewrecord&amp;id=L560045113&amp;from=export</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</si>
  <si>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</si>
  <si>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</si>
  <si>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The American journal of sports medicine (2011) 39:10 (2161-2169). Date of Publication: Oct 2011</t>
  </si>
  <si>
    <t>https://www.embase.com/search/results?subaction=viewrecord&amp;id=L360300182&amp;from=export</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</si>
  <si>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</si>
  <si>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</si>
  <si>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The American journal of sports medicine (2010) 38:8 (1533-1541). Date of Publication: Aug 2010</t>
  </si>
  <si>
    <t>https://www.embase.com/search/results?subaction=viewrecord&amp;id=L358986098&amp;from=export</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</si>
  <si>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</si>
  <si>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</si>
  <si>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The American journal of sports medicine (2010) 38:3 (448-454). Date of Publication: Mar 2010</t>
  </si>
  <si>
    <t>https://www.embase.com/search/results?subaction=viewrecord&amp;id=L358986106&amp;from=export</t>
  </si>
  <si>
    <t>Early versus late start of isokinetic hamstring-strengthening exercise after anterior cruciate ligament reconstruction with patellar tendon graft.</t>
  </si>
  <si>
    <t>Sekir U., Gur H., Akova B.</t>
  </si>
  <si>
    <t>The American journal of sports medicine (2010) 38:3 (492-500). Date of Publication: Mar 2010</t>
  </si>
  <si>
    <t>https://www.embase.com/search/results?subaction=viewrecord&amp;id=L35615671&amp;from=export</t>
  </si>
  <si>
    <t>Range of motion training in brace vs. plaster immobilization after anterior cruciate ligament reconstruction: a prospective randomized comparison with a 2-year follow-up.</t>
  </si>
  <si>
    <t>Henriksson M., Rockborn P., Good L.</t>
  </si>
  <si>
    <t>Scandinavian journal of medicine &amp; science in sports (2002) 12:2 (73-80). Date of Publication: Apr 2002</t>
  </si>
  <si>
    <t>https://www.embase.com/search/results?subaction=viewrecord&amp;id=L33540224&amp;from=export</t>
  </si>
  <si>
    <t>Early post-operative morbidity following anterior cruciate ligament reconstruction: patellar tendon versus hamstring graft.</t>
  </si>
  <si>
    <t>Feller J.A., Webster K.E., Gavin B.</t>
  </si>
  <si>
    <t>Knee surgery, sports traumatology, arthroscopy : official journal of the ESSKA (2001) 9:5 (260-266). Date of Publication: Sep 2001</t>
  </si>
  <si>
    <t>https://www.embase.com/search/results?subaction=viewrecord&amp;id=L129474280&amp;from=export</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</si>
  <si>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</si>
  <si>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</si>
  <si>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Knee surgery, sports traumatology, arthroscopy : official journal of the ESSKA (1999) 7:5 (290-295). Date of Publication: 1999</t>
  </si>
  <si>
    <t>https://www.embase.com/search/results?subaction=viewrecord&amp;id=L127257411&amp;from=export</t>
  </si>
  <si>
    <t>Use of an extension-assisting brace following anterior cruciate ligament reconstruction.</t>
  </si>
  <si>
    <t>Feller J., Bartlett J., Chapman S., Delahunt M.</t>
  </si>
  <si>
    <t>Knee surgery, sports traumatology, arthroscopy : official journal of the ESSKA (1997) 5:1 (6-9). Date of Publication: 1997</t>
  </si>
  <si>
    <t>https://www.embase.com/search/results?subaction=viewrecord&amp;id=L2039492805&amp;from=export</t>
  </si>
  <si>
    <t>Autologous Peroneus Longus Versus Hamstring Tendon for Anterior Cruciate Ligament Reconstruction in Knee</t>
  </si>
  <si>
    <t>Kumar D., Kunder R., Verma P.K., Lakhtakia P.K.</t>
  </si>
  <si>
    <t>International Journal of Life Sciences Biotechnology and Pharma Research (2023) 12:4 (2052-2054). Date of Publication: 1 Oct 2023</t>
  </si>
  <si>
    <t>Kumar</t>
  </si>
  <si>
    <t>autologousperoneuslongusversushamstringtendonforanteriorcruciateligamentreconstructioninknee</t>
  </si>
  <si>
    <t>Kumar+autologousperoneuslongusversushamstringtendonforanteriorcruciateligamentreconstructioninknee+2023</t>
  </si>
  <si>
    <t>https://www.embase.com/search/results?subaction=viewrecord&amp;id=L563021956&amp;from=export</t>
  </si>
  <si>
    <t>Open kinetic chain exercises in a restricted range of motion after anterior cruciate ligament reconstruction: a randomized controlled clinical trial.</t>
  </si>
  <si>
    <t>Fukuda T.Y., Fingerhut D., Moreira V.C., Camarini P.M., Scodeller N.F., Duarte Jr. A., Martinelli M., Bryk F.F.</t>
  </si>
  <si>
    <t>The American journal of sports medicine (2013) 41:4 (788-794). Date of Publication: Apr 2013</t>
  </si>
  <si>
    <t>https://www.embase.com/search/results?subaction=viewrecord&amp;id=L33421621&amp;from=export</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</si>
  <si>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</si>
  <si>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</si>
  <si>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Knee surgery, sports traumatology, arthroscopy : official journal of the ESSKA (2000) 8:6 (337-342). Date of Publication: 2000</t>
  </si>
  <si>
    <t>WOS:000408643700110</t>
  </si>
  <si>
    <t>The comparison of clinical efficacy of arthroscopic anterior cruciate ligament reconstruction via autologous bone-patellar tendon-bone, autologous hamstring tendon and allogeneic bone-patellar tendon-bone</t>
  </si>
  <si>
    <t>Lu, C; Huang, X</t>
  </si>
  <si>
    <t>INTERNATIONAL JOURNAL OF CLINICAL AND EXPERIMENTAL MEDICINE</t>
  </si>
  <si>
    <t>Lu</t>
  </si>
  <si>
    <t>thecomparisonofclinicalefficacyofarthroscopicanteriorcruciateligamentreconstructionviaautologousbonepatellartendonboneautologoushamstringtendonandallogeneicbonepatellartendonbone</t>
  </si>
  <si>
    <t>Lu+thecomparisonofclinicalefficacyofarthroscopicanteriorcruciateligamentreconstructionviaautologousbonepatellartendonboneautologoushamstringtendonandallogeneicbonepatellartendonbone+2017</t>
  </si>
  <si>
    <t>Higher incidence of postoperative complications in patients with simultaneous patellar tendon and anterior cruciate ligament ruptures following single surgery: a case series and literature review</t>
  </si>
  <si>
    <t>Su HR, Gong X, Wang C, Wang HJ, Gao YT, Wang J, Ma Y, Wang JQ, Shi WL.</t>
  </si>
  <si>
    <t>10.1186/s12891-024-08173-8</t>
  </si>
  <si>
    <t>Su</t>
  </si>
  <si>
    <t>higherincidenceofpostoperativecomplicationsinpatientswithsimultaneouspatellartendonandanteriorcruciateligamentrupturesfollowingsinglesurgery:acaseseriesandliteraturereview</t>
  </si>
  <si>
    <t>Su+higherincidenceofpostoperativecomplicationsinpatientswithsimultaneouspatellartendonandanteriorcruciateligamentrupturesfollowingsinglesurgery:acaseseriesandliteraturereview+2025</t>
  </si>
  <si>
    <t>Lower ACLR Failure Rates in Bone-Soft Tissue Versus Soft Tissue-Only Allografts in Adults: A Systematic Review and Meta-analysis</t>
  </si>
  <si>
    <t>Tabbaa A, Atkins M, Montalvo AM, Petit CB, White MS, Petushek EJ, Diekfuss JA, Myer GD, Lamplot JD.</t>
  </si>
  <si>
    <t>10.1177/03635465241250016</t>
  </si>
  <si>
    <t>Tabbaa</t>
  </si>
  <si>
    <t>loweraclrfailureratesinbonesofttissueversussofttissueonlyallograftsinadults:asystematicreviewandmetaanalysis</t>
  </si>
  <si>
    <t>Tabbaa+loweraclrfailureratesinbonesofttissueversussofttissueonlyallograftsinadults:asystematicreviewandmetaanalysis+2025</t>
  </si>
  <si>
    <t>Patellar tendon restoration techniques: a systematic review of outcomes for repair and reconstruction methods</t>
  </si>
  <si>
    <t>Fortier LM, Adelstein JM, Sinkler MA, Moyal AJ, Burkhart RJ, Vakharia AM, Dasari SP, Chahla J.</t>
  </si>
  <si>
    <t>10.1007/s00590-024-04078-3</t>
  </si>
  <si>
    <t>Fortier</t>
  </si>
  <si>
    <t>patellartendonrestorationtechniques:asystematicreviewofoutcomesforrepairandreconstructionmethods</t>
  </si>
  <si>
    <t>Fortier+patellartendonrestorationtechniques:asystematicreviewofoutcomesforrepairandreconstructionmethods+2024</t>
  </si>
  <si>
    <t>[Subtuberosity anterior closing wedge osteotomy to correct the increased posterior slope of the tibial plateau]</t>
  </si>
  <si>
    <t>Petersen W, Al Mustafa H, Häner M, Harrer J, Braun K.</t>
  </si>
  <si>
    <t>10.1007/s00064-024-00845-x</t>
  </si>
  <si>
    <t>Petersen</t>
  </si>
  <si>
    <t>subtuberosityanteriorclosingwedgeosteotomytocorrecttheincreasedposteriorslopeofthetibialplateau</t>
  </si>
  <si>
    <t>Petersen+subtuberosityanteriorclosingwedgeosteotomytocorrecttheincreasedposteriorslopeofthetibialplateau+2024</t>
  </si>
  <si>
    <t>A slight degree of osteoarthritis appears to be present after anterior cruciate ligament reconstruction compared with contralateral healthy knees at a minimum of 20 years: A systematic review of the literature</t>
  </si>
  <si>
    <t>D'Ambrosi R, Carrozzo A, Meena A, Corona K, Yadav AK, Annibaldi A, Kambhampati SBS, Abermann E, Fink C.</t>
  </si>
  <si>
    <t>J Exp Orthop</t>
  </si>
  <si>
    <t>10.1002/jeo2.12017</t>
  </si>
  <si>
    <t>D'Ambrosi</t>
  </si>
  <si>
    <t>aslightdegreeofosteoarthritisappearstobepresentafteranteriorcruciateligamentreconstructioncomparedwithcontralateralhealthykneesataminimumof20years:asystematicreviewoftheliterature</t>
  </si>
  <si>
    <t>D'Ambrosi+aslightdegreeofosteoarthritisappearstobepresentafteranteriorcruciateligamentreconstructioncomparedwithcontralateralhealthykneesataminimumof20years:asystematicreviewoftheliterature+2024</t>
  </si>
  <si>
    <t>Clinical outcomes and complications after anterior cruciate ligament reconstruction with bone-patellar tendon-bone in patient Tanner 3 and 4: a systematic review</t>
  </si>
  <si>
    <t>Turati M, Caliandro M, Gaddi D, Piatti M, Rigamonti L, Zanchi N, Di Benedetto P, Boerci L, Catalano M, Zatti G, Ollivier M, Bigoni M.</t>
  </si>
  <si>
    <t>10.1007/s00590-022-03402-z</t>
  </si>
  <si>
    <t>Turati</t>
  </si>
  <si>
    <t>clinicaloutcomesandcomplicationsafteranteriorcruciateligamentreconstructionwithbonepatellartendonboneinpatienttanner3and4:asystematicreview</t>
  </si>
  <si>
    <t>Turati+clinicaloutcomesandcomplicationsafteranteriorcruciateligamentreconstructionwithbonepatellartendonboneinpatienttanner3and4:asystematicreview+2023</t>
  </si>
  <si>
    <t>Effects of Platelet-Rich Plasma on Clinical Outcomes After Anterior Cruciate Ligament Reconstruction: A Systematic Review and Meta-analysis</t>
  </si>
  <si>
    <t>Zhu T, Zhou J, Hwang J, Xu X.</t>
  </si>
  <si>
    <t>Orthop J Sports Med</t>
  </si>
  <si>
    <t>10.1177/23259671211061535</t>
  </si>
  <si>
    <t>Zhu</t>
  </si>
  <si>
    <t>effectsofplateletrichplasmaonclinicaloutcomesafteranteriorcruciateligamentreconstruction:asystematicreviewandmetaanalysis</t>
  </si>
  <si>
    <t>Zhu+effectsofplateletrichplasmaonclinicaloutcomesafteranteriorcruciateligamentreconstruction:asystematicreviewandmetaanalysis+2022</t>
  </si>
  <si>
    <t>Clinical Outcomes and Osteoarthritis at Very Long-term Follow-up After ACL Reconstruction: A Systematic Review and Meta-analysis</t>
  </si>
  <si>
    <t>Grassi A, Pizza N, Al-Zu'bi BBH, Fabbro GD, Lucidi GA, Zaffagnini S.</t>
  </si>
  <si>
    <t>10.1177/23259671211062238</t>
  </si>
  <si>
    <t>clinicaloutcomesandosteoarthritisatverylongtermfollowupafteraclreconstruction:asystematicreviewandmetaanalysis</t>
  </si>
  <si>
    <t>Grassi+clinicaloutcomesandosteoarthritisatverylongtermfollowupafteraclreconstruction:asystematicreviewandmetaanalysis+2022</t>
  </si>
  <si>
    <t>Patellar tendon versus artificial grafts in anterior cruciate ligament reconstruction: a systematic review and meta-analysis</t>
  </si>
  <si>
    <t>Fan D, Ma J, Zhang L.</t>
  </si>
  <si>
    <t>J Orthop Surg Res</t>
  </si>
  <si>
    <t>10.1186/s13018-021-02624-x</t>
  </si>
  <si>
    <t>patellartendonversusartificialgraftsinanteriorcruciateligamentreconstruction:asystematicreviewandmetaanalysis</t>
  </si>
  <si>
    <t>Fan+patellartendonversusartificialgraftsinanteriorcruciateligamentreconstruction:asystematicreviewandmetaanalysis+2021</t>
  </si>
  <si>
    <t>Management of Simultaneous Patellar Tendon and Anterior Cruciate Ligament Ruptures-A Systematic Review of Available Literature</t>
  </si>
  <si>
    <t>Matthews AH, Fraser EJ, Parkinson B.</t>
  </si>
  <si>
    <t>J Orthop Trauma</t>
  </si>
  <si>
    <t>10.1097/BOT.0000000000001219</t>
  </si>
  <si>
    <t>Matthews</t>
  </si>
  <si>
    <t>managementofsimultaneouspatellartendonandanteriorcruciateligamentrupturesasystematicreviewofavailableliterature</t>
  </si>
  <si>
    <t>Matthews+managementofsimultaneouspatellartendonandanteriorcruciateligamentrupturesasystematicreviewofavailableliterature+2018</t>
  </si>
  <si>
    <t>Early combined arthroscopic treatment for simultaneous ruptures of the patellar tendon and the anterior cruciate ligament leads to good radiological results and patient satisfaction</t>
  </si>
  <si>
    <t>Cucchi D, Aliprandi A, Nocerino E, Randelli P.</t>
  </si>
  <si>
    <t>10.1007/s00167-017-4562-2</t>
  </si>
  <si>
    <t>Cucchi</t>
  </si>
  <si>
    <t>earlycombinedarthroscopictreatmentforsimultaneousrupturesofthepatellartendonandtheanteriorcruciateligamentleadstogoodradiologicalresultsandpatientsatisfaction</t>
  </si>
  <si>
    <t>Cucchi+earlycombinedarthroscopictreatmentforsimultaneousrupturesofthepatellartendonandtheanteriorcruciateligamentleadstogoodradiologicalresultsandpatientsatisfaction+2018</t>
  </si>
  <si>
    <t>Closure of patellar tendon defect in anterior cruciate ligament reconstruction with bone-patellar tendon-bone autograft: systematic review of randomized controlled trials</t>
  </si>
  <si>
    <t>Frank RM, Mascarenhas R, Haro M, Verma NN, Cole BJ, Bush-Joseph CA, Bach BR Jr.</t>
  </si>
  <si>
    <t>10.1016/j.arthro.2014.09.004</t>
  </si>
  <si>
    <t>Frank</t>
  </si>
  <si>
    <t>closureofpatellartendondefectinanteriorcruciateligamentreconstructionwithbonepatellartendonboneautograft:systematicreviewofrandomizedcontrolledtrials</t>
  </si>
  <si>
    <t>Frank+closureofpatellartendondefectinanteriorcruciateligamentreconstructionwithbonepatellartendonboneautograft:systematicreviewofrandomizedcontrolledtrials+2015</t>
  </si>
  <si>
    <t>The transtibial versus the anteromedial portal technique in the arthroscopic bone-patellar tendon-bone anterior cruciate ligament reconstruction</t>
  </si>
  <si>
    <t>Alentorn-Geli E, Lajara F, Samitier G, Cugat R.</t>
  </si>
  <si>
    <t>10.1007/s00167-009-0964-0</t>
  </si>
  <si>
    <t>thetranstibialversustheanteromedialportaltechniqueinthearthroscopicbonepatellartendonboneanteriorcruciateligamentreconstruction</t>
  </si>
  <si>
    <t>Alentorn-Geli+thetranstibialversustheanteromedialportaltechniqueinthearthroscopicbonepatellartendonboneanteriorcruciateligamentreconstruction+2010</t>
  </si>
  <si>
    <t>Comparison of sagittal obliquity of the reconstructed anterior cruciate ligament with native anterior cruciate ligament using magnetic resonance imaging</t>
  </si>
  <si>
    <t>Ayerza MA, Múscolo DL, Costa-Paz M, Makino A, Rondón L.</t>
  </si>
  <si>
    <t>10.1053/jars.2003.50066</t>
  </si>
  <si>
    <t>Ayerza</t>
  </si>
  <si>
    <t>comparisonofsagittalobliquityofthereconstructedanteriorcruciateligamentwithnativeanteriorcruciateligamentusingmagneticresonanceimaging</t>
  </si>
  <si>
    <t>Ayerza+comparisonofsagittalobliquityofthereconstructedanteriorcruciateligamentwithnativeanteriorcruciateligamentusingmagneticresonanceimaging+2003</t>
  </si>
  <si>
    <t>Anterior cruciate ligament anatomy of Vietnamese adults and applications in arthroscopic anterior cruciate ligament reconstruction surgery with all-inside single-bundle technique</t>
  </si>
  <si>
    <t>Quoc LT, Le Khanh T, Mi HT.</t>
  </si>
  <si>
    <t>J Orthop</t>
  </si>
  <si>
    <t>10.1016/j.jor.2025.12.027</t>
  </si>
  <si>
    <t>Quoc</t>
  </si>
  <si>
    <t>anteriorcruciateligamentanatomyofvietnameseadultsandapplicationsinarthroscopicanteriorcruciateligamentreconstructionsurgerywithallinsidesinglebundletechnique</t>
  </si>
  <si>
    <t>Quoc+anteriorcruciateligamentanatomyofvietnameseadultsandapplicationsinarthroscopicanteriorcruciateligamentreconstructionsurgerywithallinsidesinglebundletechnique+2025</t>
  </si>
  <si>
    <t>Clinical Outcomes of Platelet-Rich Plasma Augmentation in Anterior Cruciate Ligament Reconstruction Using Hamstring Tendon Autografts: A Systematic Review and Meta-analysis of Randomized Controlled Trials</t>
  </si>
  <si>
    <t>Han JH, Jung M, Chung K, Moon HS, Jung SH, Kim SH.</t>
  </si>
  <si>
    <t>10.1177/03635465251337766</t>
  </si>
  <si>
    <t>clinicaloutcomesofplateletrichplasmaaugmentationinanteriorcruciateligamentreconstructionusinghamstringtendonautografts:asystematicreviewandmetaanalysisofrandomizedcontrolledtrials</t>
  </si>
  <si>
    <t>Han+clinicaloutcomesofplateletrichplasmaaugmentationinanteriorcruciateligamentreconstructionusinghamstringtendonautografts:asystematicreviewandmetaanalysisofrandomizedcontrolledtrials+2026</t>
  </si>
  <si>
    <t>Concomitant Anterior Cruciate Ligament and Medial Collateral Ligament Reconstruction: A Systematic Review</t>
  </si>
  <si>
    <t>Touhey DC, Garcia FN, Tartibi S, Brophy RH, Matava MJ, Smith MV, Knapik DM.</t>
  </si>
  <si>
    <t>10.1177/23259671251369019</t>
  </si>
  <si>
    <t>Touhey</t>
  </si>
  <si>
    <t>concomitantanteriorcruciateligamentandmedialcollateralligamentreconstruction:asystematicreview</t>
  </si>
  <si>
    <t>Touhey+concomitantanteriorcruciateligamentandmedialcollateralligamentreconstruction:asystematicreview+2025</t>
  </si>
  <si>
    <t>Impact of tibial supplementary fixation in anterior cruciate ligament reconstruction for soft tissue auto and allografts: Modest enhancement in stability and increased incidence of pain: A systematic review and meta-analysis</t>
  </si>
  <si>
    <t>Zheng F, Gao J, Wang C, Zheng X, Tang J, Zhang J, Zuo J.</t>
  </si>
  <si>
    <t>10.1002/jeo2.70390</t>
  </si>
  <si>
    <t>Zheng</t>
  </si>
  <si>
    <t>impactoftibialsupplementaryfixationinanteriorcruciateligamentreconstructionforsofttissueautoandallografts:modestenhancementinstabilityandincreasedincidenceofpain:asystematicreviewandmetaanalysis</t>
  </si>
  <si>
    <t>Zheng+impactoftibialsupplementaryfixationinanteriorcruciateligamentreconstructionforsofttissueautoandallografts:modestenhancementinstabilityandincreasedincidenceofpain:asystematicreviewandmetaanalysis+2025</t>
  </si>
  <si>
    <t>Clinical outcomes of quadrupled hamstring tendon use for anterior cruciate ligament reconstruction in the paediatric population: A systematic review</t>
  </si>
  <si>
    <t>Mostafa OES, Tahir M, Alkhatib L, Meena A, de Sa D, Mughal E, D'Alessandro P, Nicolaou N, Malik SS.</t>
  </si>
  <si>
    <t>10.1016/j.knee.2025.07.006</t>
  </si>
  <si>
    <t>Mostafa</t>
  </si>
  <si>
    <t>clinicaloutcomesofquadrupledhamstringtendonuseforanteriorcruciateligamentreconstructioninthepaediatricpopulation:asystematicreview</t>
  </si>
  <si>
    <t>Mostafa+clinicaloutcomesofquadrupledhamstringtendonuseforanteriorcruciateligamentreconstructioninthepaediatricpopulation:asystematicreview+2025</t>
  </si>
  <si>
    <t>Indications for Lateral Extra-articular Procedures in the Anterior Cruciate Ligament-Reconstructed Knee: Part I of an International Consensus Statement</t>
  </si>
  <si>
    <t>Sonnery-Cottet B, Carrozzo A, Saithna A, Monaco E, Vieira TD, Musahl V, Getgood A, Helito CP; International Experts Panel; Bedi A, Bryant D, Cavaignac E, Chahla J, Claes S, Cordasco F, Daggett M, Devitt B, Feller J, Fink C, Frank R, Geeslin A, Grassi A, Green D, Guenther D, Heard M, Herbst E, Hopper G, Inderhaug E, Irrgang J, Kaeding C, Kittl C, Kocher M, Koga H, Krych AJ, LaPrade R, Levy B, Litchfield RB, Lording T, Lowe W, MacDonald P, Marx R, Moatshe G, Neri T, Ouanezar H, Barion de Castro Padua V, Parker D, Pioger C, Servien E, Sherman S, Smith P, Spalding T, Tapasvi S, Verdonk P, Williams A, Xerogeanes J, Young SW.</t>
  </si>
  <si>
    <t>10.1016/j.arthro.2025.06.012</t>
  </si>
  <si>
    <t>indicationsforlateralextraarticularproceduresintheanteriorcruciateligamentreconstructedknee:partiofaninternationalconsensusstatement</t>
  </si>
  <si>
    <t>Sonnery-Cottet+indicationsforlateralextraarticularproceduresintheanteriorcruciateligamentreconstructedknee:partiofaninternationalconsensusstatement+2025</t>
  </si>
  <si>
    <t>Combined Anterior Cruciate Ligament and Anterolateral Ligament Reconstruction Shows Reduced Graft Failure Rates and Superior Residual Rotational Stability Regardless of Anterolateral Ligament Reconstruction Graft: A Systematic Review</t>
  </si>
  <si>
    <t>Han JH, Kim SH, Jung M, Moon HS, Chung K.</t>
  </si>
  <si>
    <t>J Clin Med</t>
  </si>
  <si>
    <t>10.3390/jcm14072237</t>
  </si>
  <si>
    <t>combinedanteriorcruciateligamentandanterolateralligamentreconstructionshowsreducedgraftfailureratesandsuperiorresidualrotationalstabilityregardlessofanterolateralligamentreconstructiongraft:asystematicreview</t>
  </si>
  <si>
    <t>Han+combinedanteriorcruciateligamentandanterolateralligamentreconstructionshowsreducedgraftfailureratesandsuperiorresidualrotationalstabilityregardlessofanterolateralligamentreconstructiongraft:asystematicreview+2025</t>
  </si>
  <si>
    <t>Anterior cruciate ligament reconstruction with six and eight-strand hamstring tendon autografts produces adequate graft dimensions and functional outcomes: A systematic review</t>
  </si>
  <si>
    <t>Sun B, Lee B, Grad J, Cohen D, Abouali J, Tapasvi S, Maniar A, de Sa D.</t>
  </si>
  <si>
    <t>10.1002/ksa.12556</t>
  </si>
  <si>
    <t>Sun</t>
  </si>
  <si>
    <t>anteriorcruciateligamentreconstructionwithsixandeightstrandhamstringtendonautograftsproducesadequategraftdimensionsandfunctionaloutcomes:asystematicreview</t>
  </si>
  <si>
    <t>Sun+anteriorcruciateligamentreconstructionwithsixandeightstrandhamstringtendonautograftsproducesadequategraftdimensionsandfunctionaloutcomes:asystematicreview+2025</t>
  </si>
  <si>
    <t>Functional outcome of anterior cruciate ligament reconstruction with hamstring tendon autograft in Indian population: A systematic review and meta-analysis</t>
  </si>
  <si>
    <t>Annamalai R, Venkatramanaiah C, Sujhithra A, Vignesh N, Danis Vijay D.</t>
  </si>
  <si>
    <t>J Clin Orthop Trauma</t>
  </si>
  <si>
    <t>10.1016/j.jcot.2024.102805</t>
  </si>
  <si>
    <t>Annamalai</t>
  </si>
  <si>
    <t>functionaloutcomeofanteriorcruciateligamentreconstructionwithhamstringtendonautograftinindianpopulation:asystematicreviewandmetaanalysis</t>
  </si>
  <si>
    <t>Annamalai+functionaloutcomeofanteriorcruciateligamentreconstructionwithhamstringtendonautograftinindianpopulation:asystematicreviewandmetaanalysis+2024</t>
  </si>
  <si>
    <t>Comparison of clinical outcomes between hamstring tendon autografts and hybrid grafts in ACL reconstruction: a systematic review and meta-analysis</t>
  </si>
  <si>
    <t>Fan L, Zhang L, Tang J, Xu Z, Fu W.</t>
  </si>
  <si>
    <t>10.1186/s13018-024-05310-w</t>
  </si>
  <si>
    <t>comparisonofclinicaloutcomesbetweenhamstringtendonautograftsandhybridgraftsinaclreconstruction:asystematicreviewandmetaanalysis</t>
  </si>
  <si>
    <t>Fan+comparisonofclinicaloutcomesbetweenhamstringtendonautograftsandhybridgraftsinaclreconstruction:asystematicreviewandmetaanalysis+2024</t>
  </si>
  <si>
    <t>Hamstring tendon graft with LARS augmentation showed superior short-term clinical efficacy compared to hamstring tendon alone as graft in ACL reconstruction: a systematic review and meta-analysis</t>
  </si>
  <si>
    <t>Zhao T, Zhang K, Li J, Fu W.</t>
  </si>
  <si>
    <t>10.1186/s13018-024-05234-5</t>
  </si>
  <si>
    <t>hamstringtendongraftwithlarsaugmentationshowedsuperiorshorttermclinicalefficacycomparedtohamstringtendonaloneasgraftinaclreconstruction:asystematicreviewandmetaanalysis</t>
  </si>
  <si>
    <t>Zhao+hamstringtendongraftwithlarsaugmentationshowedsuperiorshorttermclinicalefficacycomparedtohamstringtendonaloneasgraftinaclreconstruction:asystematicreviewandmetaanalysis+2024</t>
  </si>
  <si>
    <t>The effectiveness of quadrupled semitendinosus graft technique in anterior cruciate ligament reconstruction: A network meta-analysis assessing various graft preparation techniques</t>
  </si>
  <si>
    <t>Malesa K, Tramś E, Kuliński K, Kamiński R.</t>
  </si>
  <si>
    <t>10.1002/ksa.12421</t>
  </si>
  <si>
    <t>Malesa</t>
  </si>
  <si>
    <t>theeffectivenessofquadrupledsemitendinosusgrafttechniqueinanteriorcruciateligamentreconstruction:anetworkmetaanalysisassessingvariousgraftpreparationtechniques</t>
  </si>
  <si>
    <t>Malesa+theeffectivenessofquadrupledsemitendinosusgrafttechniqueinanteriorcruciateligamentreconstruction:anetworkmetaanalysisassessingvariousgraftpreparationtechniques+2025</t>
  </si>
  <si>
    <t>Anterior Cruciate Ligament Repair Augmented With Dynamic Intraligamentary Stabilization Is Equivalent to Hamstring Autograft Reconstruction at Short- and Mid-Term Follow-Up: A Systematic Review</t>
  </si>
  <si>
    <t>Ambrosio L, Franco D, Vadalà G, Russo F, Papalia R.</t>
  </si>
  <si>
    <t>10.1016/j.arthro.2023.12.011</t>
  </si>
  <si>
    <t>Ambrosio</t>
  </si>
  <si>
    <t>anteriorcruciateligamentrepairaugmentedwithdynamicintraligamentarystabilizationisequivalenttohamstringautograftreconstructionatshortandmidtermfollowup:asystematicreview</t>
  </si>
  <si>
    <t>Ambrosio+anteriorcruciateligamentrepairaugmentedwithdynamicintraligamentarystabilizationisequivalenttohamstringautograftreconstructionatshortandmidtermfollowup:asystematicreview+2024</t>
  </si>
  <si>
    <t>Comparison of Clinical Outcomes Between Modern Augmented ACL Repair and Autograft ACL Reconstruction: A Systematic Review and Meta-analysis of Studies With Minimum 2-Year Follow-up</t>
  </si>
  <si>
    <t>Ren Y, Wang J, Ji J, Zhang C, Meng Q.</t>
  </si>
  <si>
    <t>10.1177/23259671231223743</t>
  </si>
  <si>
    <t>Ren</t>
  </si>
  <si>
    <t>comparisonofclinicaloutcomesbetweenmodernaugmentedaclrepairandautograftaclreconstruction:asystematicreviewandmetaanalysisofstudieswithminimum2yearfollowup</t>
  </si>
  <si>
    <t>Ren+comparisonofclinicaloutcomesbetweenmodernaugmentedaclrepairandautograftaclreconstruction:asystematicreviewandmetaanalysisofstudieswithminimum2yearfollowup+2024</t>
  </si>
  <si>
    <t>There is no difference in the efficacy of anterior cruciate ligament reconstruction using autograft combined with or without ligament augmentation: a systematic review and meta-analysis</t>
  </si>
  <si>
    <t>Man Q, Gao Y, Wang H, Ma Y, Meng Q.</t>
  </si>
  <si>
    <t>10.1007/s00167-023-07605-7</t>
  </si>
  <si>
    <t>Man</t>
  </si>
  <si>
    <t>thereisnodifferenceintheefficacyofanteriorcruciateligamentreconstructionusingautograftcombinedwithorwithoutligamentaugmentation:asystematicreviewandmetaanalysis</t>
  </si>
  <si>
    <t>Man+thereisnodifferenceintheefficacyofanteriorcruciateligamentreconstructionusingautograftcombinedwithorwithoutligamentaugmentation:asystematicreviewandmetaanalysis+2023</t>
  </si>
  <si>
    <t>Outcomes of hamstring graft with preserved tibial insertion for ACL reconstruction: systematic review and meta-analysis</t>
  </si>
  <si>
    <t>Vari N, Cavaignac E, Cavaignac M, Bérard É, Marot V.</t>
  </si>
  <si>
    <t>10.1007/s00590-023-03698-5</t>
  </si>
  <si>
    <t>Vari</t>
  </si>
  <si>
    <t>outcomesofhamstringgraftwithpreservedtibialinsertionforaclreconstruction:systematicreviewandmetaanalysis</t>
  </si>
  <si>
    <t>Vari+outcomesofhamstringgraftwithpreservedtibialinsertionforaclreconstruction:systematicreviewandmetaanalysis+2024</t>
  </si>
  <si>
    <t>Though five-strand hamstring autografts demonstrate greater graft diameter, postoperative outcomes are equivocal to four-strand hamstring autograft preparations: a systematic review and meta-analysis of level I and II studies</t>
  </si>
  <si>
    <t>Vivekanantha P, Nedaie S, Grzela P, Cohen D, Hoshino Y, Nagai K, Kay J, de Sa D.</t>
  </si>
  <si>
    <t>10.1007/s00167-023-07515-8</t>
  </si>
  <si>
    <t>Vivekanantha</t>
  </si>
  <si>
    <t>thoughfivestrandhamstringautograftsdemonstrategreatergraftdiameterpostoperativeoutcomesareequivocaltofourstrandhamstringautograftpreparations:asystematicreviewandmetaanalysisofleveliandiistudies</t>
  </si>
  <si>
    <t>Vivekanantha+thoughfivestrandhamstringautograftsdemonstrategreatergraftdiameterpostoperativeoutcomesareequivocaltofourstrandhamstringautograftpreparations:asystematicreviewandmetaanalysisofleveliandiistudies+2023</t>
  </si>
  <si>
    <t>Do lateral extra-articular tenodeses play a role in the control of sagittal knee laxity in short hamstring tendon graft ACL reconstruction? A retrospective study of 80 cases with and without tenodesis</t>
  </si>
  <si>
    <t>Frigout F, Pouderoux T, Vincelot-Chainard C, Robert H.</t>
  </si>
  <si>
    <t>10.1016/j.otsr.2023.103656</t>
  </si>
  <si>
    <t>Frigout</t>
  </si>
  <si>
    <t>dolateralextraarticulartenodesesplayaroleinthecontrolofsagittalkneelaxityinshorthamstringtendongraftaclreconstruction?aretrospectivestudyof80caseswithandwithouttenodesis</t>
  </si>
  <si>
    <t>Frigout+dolateralextraarticulartenodesesplayaroleinthecontrolofsagittalkneelaxityinshorthamstringtendongraftaclreconstruction?aretrospectivestudyof80caseswithandwithouttenodesis+2024</t>
  </si>
  <si>
    <t>Combined Anterior Cruciate Ligament and Medial Collateral Ligament Reconstruction Shows High Rates of Return to Activity and Low Rates of Recurrent Valgus Instability: An Updated Systematic Review</t>
  </si>
  <si>
    <t>Wright ML, Coladonato C, Ciccotti MG, Tjoumakaris FP, Freedman KB.</t>
  </si>
  <si>
    <t>Arthrosc Sports Med Rehabil</t>
  </si>
  <si>
    <t>10.1016/j.asmr.2023.03.006</t>
  </si>
  <si>
    <t>Wright</t>
  </si>
  <si>
    <t>combinedanteriorcruciateligamentandmedialcollateralligamentreconstructionshowshighratesofreturntoactivityandlowratesofrecurrentvalgusinstability:anupdatedsystematicreview</t>
  </si>
  <si>
    <t>Wright+combinedanteriorcruciateligamentandmedialcollateralligamentreconstructionshowshighratesofreturntoactivityandlowratesofrecurrentvalgusinstability:anupdatedsystematicreview+2023</t>
  </si>
  <si>
    <t>The 25-year experience of over-the-top ACL reconstruction plus extra-articular lateral tenodesis with hamstring tendon grafts: the story so far</t>
  </si>
  <si>
    <t>Zaffagnini S, Lucidi GA, Macchiarola L, Agostinone P, Neri MP, Marcacci M, Grassi A.</t>
  </si>
  <si>
    <t>10.1186/s40634-023-00599-8</t>
  </si>
  <si>
    <t>the25yearexperienceofoverthetopaclreconstructionplusextraarticularlateraltenodesiswithhamstringtendongrafts:thestorysofar</t>
  </si>
  <si>
    <t>Zaffagnini+the25yearexperienceofoverthetopaclreconstructionplusextraarticularlateraltenodesiswithhamstringtendongrafts:thestorysofar+2023</t>
  </si>
  <si>
    <t>Comparison of failure rates and functional outcomes between hamstring autografts and hybrid grafts in anterior cruciate ligament reconstruction: A systematic review and meta-analysis</t>
  </si>
  <si>
    <t>Chang MJ, Choi YS, Shin JH, Yoon TH, Kim TW, Chang CB, Kang SB.</t>
  </si>
  <si>
    <t>10.1016/j.otsr.2022.103499</t>
  </si>
  <si>
    <t>Chang</t>
  </si>
  <si>
    <t>comparisonoffailureratesandfunctionaloutcomesbetweenhamstringautograftsandhybridgraftsinanteriorcruciateligamentreconstruction:asystematicreviewandmetaanalysis</t>
  </si>
  <si>
    <t>Chang+comparisonoffailureratesandfunctionaloutcomesbetweenhamstringautograftsandhybridgraftsinanteriorcruciateligamentreconstruction:asystematicreviewandmetaanalysis+2023</t>
  </si>
  <si>
    <t>Chalidis B, Pitsilos C, Kitridis D, Givissis P.</t>
  </si>
  <si>
    <t>World J Clin Cases</t>
  </si>
  <si>
    <t>Femoral fixation methods for hamstring graft in anterior cruciate ligament reconstruction: A network meta-analysis of controlled clinical trials</t>
  </si>
  <si>
    <t>Nie S, Zhou S, Huang W.</t>
  </si>
  <si>
    <t>PLoS One</t>
  </si>
  <si>
    <t>10.1371/journal.pone.0275097</t>
  </si>
  <si>
    <t>Nie</t>
  </si>
  <si>
    <t>femoralfixationmethodsforhamstringgraftinanteriorcruciateligamentreconstruction:anetworkmetaanalysisofcontrolledclinicaltrials</t>
  </si>
  <si>
    <t>Nie+femoralfixationmethodsforhamstringgraftinanteriorcruciateligamentreconstruction:anetworkmetaanalysisofcontrolledclinicaltrials+2022</t>
  </si>
  <si>
    <t>The incidence of tibial tunnel coalition is higher than femoral tunnel coalition in double-bundle anterior cruciate ligament reconstruction using hamstring autografts: A systematic review</t>
  </si>
  <si>
    <t>Nakanishi Y, Nagai K, Kay J, Zakharia A, Nukuto K, Hoshino Y, Matsushita T, Kuroda R, de Sa D.</t>
  </si>
  <si>
    <t>10.1016/j.otsr.2022.103407</t>
  </si>
  <si>
    <t>Nakanishi</t>
  </si>
  <si>
    <t>theincidenceoftibialtunnelcoalitionishigherthanfemoraltunnelcoalitionindoublebundleanteriorcruciateligamentreconstructionusinghamstringautografts:asystematicreview</t>
  </si>
  <si>
    <t>Nakanishi+theincidenceoftibialtunnelcoalitionishigherthanfemoraltunnelcoalitionindoublebundleanteriorcruciateligamentreconstructionusinghamstringautografts:asystematicreview+2022</t>
  </si>
  <si>
    <t>Transportal versus all-inside techniques of anterior cruciate ligament reconstruction: a systematic review</t>
  </si>
  <si>
    <t>Bhimani R, Shahriarirad R, Ranjbar K, Erfani A, Ashkani-Esfahani S.</t>
  </si>
  <si>
    <t>10.1186/s13018-021-02872-x</t>
  </si>
  <si>
    <t>Bhimani</t>
  </si>
  <si>
    <t>transportalversusallinsidetechniquesofanteriorcruciateligamentreconstruction:asystematicreview</t>
  </si>
  <si>
    <t>Bhimani+transportalversusallinsidetechniquesofanteriorcruciateligamentreconstruction:asystematicreview+2021</t>
  </si>
  <si>
    <t>Hamstring graft diameter above 7 mm has a lower risk of failure following anterior cruciate ligament reconstruction</t>
  </si>
  <si>
    <t>Alomar AZ, Nasser ASB, Kumar A, Kumar M, Das S, Mittal S.</t>
  </si>
  <si>
    <t>10.1007/s00167-021-06503-0</t>
  </si>
  <si>
    <t>Alomar</t>
  </si>
  <si>
    <t>hamstringgraftdiameterabove7mmhasalowerriskoffailurefollowinganteriorcruciateligamentreconstruction</t>
  </si>
  <si>
    <t>Alomar+hamstringgraftdiameterabove7mmhasalowerriskoffailurefollowinganteriorcruciateligamentreconstruction+2022</t>
  </si>
  <si>
    <t>Superior Postoperative Stability and Functional Outcomes With Anteromedial Versus Transtibial Technique of Single-Bundle Autologous Hamstring Anterior Cruciate Ligament Reconstruction: A Meta-analysis of Prospective Randomized Controlled Trials</t>
  </si>
  <si>
    <t>Moorthy V, Sayampanathan AA, Tan AHC.</t>
  </si>
  <si>
    <t>10.1016/j.arthro.2020.07.018</t>
  </si>
  <si>
    <t>Moorthy</t>
  </si>
  <si>
    <t>superiorpostoperativestabilityandfunctionaloutcomeswithanteromedialversustranstibialtechniqueofsinglebundleautologoushamstringanteriorcruciateligamentreconstruction:ametaanalysisofprospectiverandomizedcontrolledtrials</t>
  </si>
  <si>
    <t>Moorthy+superiorpostoperativestabilityandfunctionaloutcomeswithanteromedialversustranstibialtechniqueofsinglebundleautologoushamstringanteriorcruciateligamentreconstruction:ametaanalysisofprospectiverandomizedcontrolledtrials+2021</t>
  </si>
  <si>
    <t>Clinico-radiological outcomes following anatomical anterior cruciate ligament reconstruction using the TransLateral, all-inside technique</t>
  </si>
  <si>
    <t>Shah R, Srinivasan S, Hamed Y, Menon DK.</t>
  </si>
  <si>
    <t>10.1016/j.jcot.2019.09.008</t>
  </si>
  <si>
    <t>Shah</t>
  </si>
  <si>
    <t>clinicoradiologicaloutcomesfollowinganatomicalanteriorcruciateligamentreconstructionusingthetranslateralallinsidetechnique</t>
  </si>
  <si>
    <t>Shah+clinicoradiologicaloutcomesfollowinganatomicalanteriorcruciateligamentreconstructionusingthetranslateralallinsidetechnique+2020</t>
  </si>
  <si>
    <t>Comparing Hamstring Autograft With Hybrid Graft for Anterior Cruciate Ligament Reconstruction: A Systematic Review</t>
  </si>
  <si>
    <t>Belk JW, Kraeutler MJ, Houck DA, Smith JR, McCarty EC.</t>
  </si>
  <si>
    <t>10.1016/j.arthro.2019.10.010</t>
  </si>
  <si>
    <t>Belk</t>
  </si>
  <si>
    <t>comparinghamstringautograftwithhybridgraftforanteriorcruciateligamentreconstruction:asystematicreview</t>
  </si>
  <si>
    <t>Belk+comparinghamstringautograftwithhybridgraftforanteriorcruciateligamentreconstruction:asystematicreview+2020</t>
  </si>
  <si>
    <t>Hamstring Autograft Versus Hybrid Graft for Anterior Cruciate Ligament Reconstruction: A Systematic Review</t>
  </si>
  <si>
    <t>Wang HD, Gao SJ, Zhang YZ.</t>
  </si>
  <si>
    <t>10.1177/0363546519849483</t>
  </si>
  <si>
    <t>hamstringautograftversushybridgraftforanteriorcruciateligamentreconstruction:asystematicreview</t>
  </si>
  <si>
    <t>Wang+hamstringautograftversushybridgraftforanteriorcruciateligamentreconstruction:asystematicreview+2020</t>
  </si>
  <si>
    <t>Hamstring Autograft Versus Hybrid Graft in Anterior Cruciate Ligament Reconstruction: A Systematic Review of Comparative Studies</t>
  </si>
  <si>
    <t>Sochacki KR, McCulloch PC, Lintner DM, Harris JD.</t>
  </si>
  <si>
    <t>10.1016/j.arthro.2018.11.070</t>
  </si>
  <si>
    <t>Sochacki</t>
  </si>
  <si>
    <t>hamstringautograftversushybridgraftinanteriorcruciateligamentreconstruction:asystematicreviewofcomparativestudies</t>
  </si>
  <si>
    <t>Sochacki+hamstringautograftversushybridgraftinanteriorcruciateligamentreconstruction:asystematicreviewofcomparativestudies+2019</t>
  </si>
  <si>
    <t>No difference in outcomes between femoral fixation methods with hamstring autograft in anterior cruciate ligament reconstruction - A network meta-analysis</t>
  </si>
  <si>
    <t>Hurley ET, Gianakos AL, Anil U, Strauss EJ, Gonzalez-Lomas G.</t>
  </si>
  <si>
    <t>10.1016/j.knee.2019.01.015</t>
  </si>
  <si>
    <t>Hurley</t>
  </si>
  <si>
    <t>nodifferenceinoutcomesbetweenfemoralfixationmethodswithhamstringautograftinanteriorcruciateligamentreconstructionanetworkmetaanalysis</t>
  </si>
  <si>
    <t>Hurley+nodifferenceinoutcomesbetweenfemoralfixationmethodswithhamstringautograftinanteriorcruciateligamentreconstructionanetworkmetaanalysis+2019</t>
  </si>
  <si>
    <t>Vancomycin-soaking of the graft reduces the incidence of septic arthritis following ACL reconstruction: results of a systematic review and meta-analysis</t>
  </si>
  <si>
    <t>Naendrup JH, Marche B, de Sa D, Koenen P, Otchwemah R, Wafaisade A, Pfeiffer TR.</t>
  </si>
  <si>
    <t>10.1007/s00167-019-05353-1</t>
  </si>
  <si>
    <t>Naendrup</t>
  </si>
  <si>
    <t>vancomycinsoakingofthegraftreducestheincidenceofsepticarthritisfollowingaclreconstruction:resultsofasystematicreviewandmetaanalysis</t>
  </si>
  <si>
    <t>Naendrup+vancomycinsoakingofthegraftreducestheincidenceofsepticarthritisfollowingaclreconstruction:resultsofasystematicreviewandmetaanalysis+2020</t>
  </si>
  <si>
    <t>Association between incision technique for hamstring tendon harvest in anterior cruciate ligament reconstruction and the risk of injury to the infra-patellar branch of the saphenous nerve: a meta-analysis</t>
  </si>
  <si>
    <t>Grassi A, Perdisa F, Samuelsson K, Svantesson E, Romagnoli M, Raggi F, Gaziano T, Mosca M, Ayeni O, Zaffagnini S.</t>
  </si>
  <si>
    <t>10.1007/s00167-018-4858-x</t>
  </si>
  <si>
    <t>associationbetweenincisiontechniqueforhamstringtendonharvestinanteriorcruciateligamentreconstructionandtheriskofinjurytotheinfrapatellarbranchofthesaphenousnerve:ametaanalysis</t>
  </si>
  <si>
    <t>Grassi+associationbetweenincisiontechniqueforhamstringtendonharvestinanteriorcruciateligamentreconstructionandtheriskofinjurytotheinfrapatellarbranchofthesaphenousnerve:ametaanalysis+2018</t>
  </si>
  <si>
    <t>Role of anterolateral reconstruction in patients undergoing anterior cruciate ligament reconstruction</t>
  </si>
  <si>
    <t>Lutz C.</t>
  </si>
  <si>
    <t>10.1016/j.otsr.2017.03.031</t>
  </si>
  <si>
    <t>Lutz</t>
  </si>
  <si>
    <t>roleofanterolateralreconstructioninpatientsundergoinganteriorcruciateligamentreconstruction</t>
  </si>
  <si>
    <t>Lutz+roleofanterolateralreconstructioninpatientsundergoinganteriorcruciateligamentreconstruction+2018</t>
  </si>
  <si>
    <t>Anteromedial versus transtibial technique in single-bundle autologous hamstring ACL reconstruction: a meta-analysis of prospective randomized controlled trials</t>
  </si>
  <si>
    <t>Chen H, Tie K, Qi Y, Li B, Chen B, Chen L.</t>
  </si>
  <si>
    <t>10.1186/s13018-017-0671-3</t>
  </si>
  <si>
    <t>anteromedialversustranstibialtechniqueinsinglebundleautologoushamstringaclreconstruction:ametaanalysisofprospectiverandomizedcontrolledtrials</t>
  </si>
  <si>
    <t>Chen+anteromedialversustranstibialtechniqueinsinglebundleautologoushamstringaclreconstruction:ametaanalysisofprospectiverandomizedcontrolledtrials+2017</t>
  </si>
  <si>
    <t>Cross Pin Versus Interference Screw for Femoral Graft Fixation in Hamstring Anterior Cruciate Ligament Reconstruction: A Systematic Review and Meta-analysis of Clinical Outcomes</t>
  </si>
  <si>
    <t>Hu B, Shen W, Zhou C, Meng J, Wu H, Yan S.</t>
  </si>
  <si>
    <t>10.1016/j.arthro.2017.07.031</t>
  </si>
  <si>
    <t>Hu</t>
  </si>
  <si>
    <t>crosspinversusinterferencescrewforfemoralgraftfixationinhamstringanteriorcruciateligamentreconstruction:asystematicreviewandmetaanalysisofclinicaloutcomes</t>
  </si>
  <si>
    <t>Hu+crosspinversusinterferencescrewforfemoralgraftfixationinhamstringanteriorcruciateligamentreconstruction:asystematicreviewandmetaanalysisofclinicaloutcomes+2018</t>
  </si>
  <si>
    <t>Cortical Button Versus Cross-pin Femoral Fixation for Hamstring Anterior Cruciate Ligament Reconstruction: A Meta-analysis of Randomized Controlled Trials</t>
  </si>
  <si>
    <t>Jiang H, Ma G, Li Q, Hu Y, Li J, Tang X.</t>
  </si>
  <si>
    <t>10.1177/0363546517717672</t>
  </si>
  <si>
    <t>Jiang</t>
  </si>
  <si>
    <t>corticalbuttonversuscrosspinfemoralfixationforhamstringanteriorcruciateligamentreconstruction:ametaanalysisofrandomizedcontrolledtrials</t>
  </si>
  <si>
    <t>Jiang+corticalbuttonversuscrosspinfemoralfixationforhamstringanteriorcruciateligamentreconstruction:ametaanalysisofrandomizedcontrolledtrials+2018</t>
  </si>
  <si>
    <t>Anterolateral Ligament Reconstruction Techniques, Biomechanics, and Clinical Outcomes: A Systematic Review</t>
  </si>
  <si>
    <t>DePhillipo NN, Cinque ME, Chahla J, Geeslin AG, LaPrade RF.</t>
  </si>
  <si>
    <t>10.1016/j.arthro.2017.03.009</t>
  </si>
  <si>
    <t>DePhillipo</t>
  </si>
  <si>
    <t>anterolateralligamentreconstructiontechniquesbiomechanicsandclinicaloutcomes:asystematicreview</t>
  </si>
  <si>
    <t>DePhillipo+anterolateralligamentreconstructiontechniquesbiomechanicsandclinicaloutcomes:asystematicreview+2017</t>
  </si>
  <si>
    <t>Suspensory Versus Aperture Fixation of a Quadrupled Hamstring Tendon Autograft in Anterior Cruciate Ligament Reconstruction: A Meta-analysis</t>
  </si>
  <si>
    <t>Browning WM 3rd, Kluczynski MA, Curatolo C, Marzo JM.</t>
  </si>
  <si>
    <t>10.1177/0363546516680995</t>
  </si>
  <si>
    <t>Browning</t>
  </si>
  <si>
    <t>suspensoryversusaperturefixationofaquadrupledhamstringtendonautograftinanteriorcruciateligamentreconstruction:ametaanalysis</t>
  </si>
  <si>
    <t>Browning+suspensoryversusaperturefixationofaquadrupledhamstringtendonautograftinanteriorcruciateligamentreconstruction:ametaanalysis+2017</t>
  </si>
  <si>
    <t>Limitations in predicting outcome following primary ACL reconstruction with single-bundle hamstring autograft - A systematic review</t>
  </si>
  <si>
    <t>An VV, Scholes C, Mhaskar VA, Hadden WJ, Parker D.</t>
  </si>
  <si>
    <t>10.1016/j.knee.2016.10.006</t>
  </si>
  <si>
    <t>An</t>
  </si>
  <si>
    <t>limitationsinpredictingoutcomefollowingprimaryaclreconstructionwithsinglebundlehamstringautograftasystematicreview</t>
  </si>
  <si>
    <t>An+limitationsinpredictingoutcomefollowingprimaryaclreconstructionwithsinglebundlehamstringautograftasystematicreview+2017</t>
  </si>
  <si>
    <t>Outcome of Single-Bundle Hamstring Anterior Cruciate Ligament Reconstruction Using the Anteromedial Versus the Transtibial Technique: A Systematic Review and Meta-analysis</t>
  </si>
  <si>
    <t>Chen Y, Chua KH, Singh A, Tan JH, Chen X, Tan SH, Tai BC, Lingaraj K.</t>
  </si>
  <si>
    <t>10.1016/j.arthro.2015.06.001</t>
  </si>
  <si>
    <t>outcomeofsinglebundlehamstringanteriorcruciateligamentreconstructionusingtheanteromedialversusthetranstibialtechnique:asystematicreviewandmetaanalysis</t>
  </si>
  <si>
    <t>Chen+outcomeofsinglebundlehamstringanteriorcruciateligamentreconstructionusingtheanteromedialversusthetranstibialtechnique:asystematicreviewandmetaanalysis+2015</t>
  </si>
  <si>
    <t>Clinical and functional outcomes after anterior cruciate ligament reconstruction using cortical button fixation versus transfemoral suspensory fixation: a systematic review of randomized controlled trials</t>
  </si>
  <si>
    <t>Saccomanno MF, Shin JJ, Mascarenhas R, Haro M, Verma NN, Cole BJ, Bach BR Jr.</t>
  </si>
  <si>
    <t>10.1016/j.arthro.2014.05.028</t>
  </si>
  <si>
    <t>Saccomanno</t>
  </si>
  <si>
    <t>clinicalandfunctionaloutcomesafteranteriorcruciateligamentreconstructionusingcorticalbuttonfixationversustransfemoralsuspensoryfixation:asystematicreviewofrandomizedcontrolledtrials</t>
  </si>
  <si>
    <t>Saccomanno+clinicalandfunctionaloutcomesafteranteriorcruciateligamentreconstructionusingcorticalbuttonfixationversustransfemoralsuspensoryfixation:asystematicreviewofrandomizedcontrolledtrials+2014</t>
  </si>
  <si>
    <t>Intratunnel versus extratunnel fixation of hamstring autograft for anterior cruciate ligament reconstruction</t>
  </si>
  <si>
    <t>Han DL, Nyland J, Kendzior M, Nawab A, Caborn DN.</t>
  </si>
  <si>
    <t>10.1016/j.arthro.2012.02.021</t>
  </si>
  <si>
    <t>intratunnelversusextratunnelfixationofhamstringautograftforanteriorcruciateligamentreconstruction</t>
  </si>
  <si>
    <t>Han+intratunnelversusextratunnelfixationofhamstringautograftforanteriorcruciateligamentreconstruction+2012</t>
  </si>
  <si>
    <t>Ipsilateral graft and contralateral ACL rupture at five years or more following ACL reconstruction: a systematic review</t>
  </si>
  <si>
    <t>Wright RW, Magnussen RA, Dunn WR, Spindler KP.</t>
  </si>
  <si>
    <t>10.2106/JBJS.J.00898</t>
  </si>
  <si>
    <t>ipsilateralgraftandcontralateralaclruptureatfiveyearsormorefollowingaclreconstruction:asystematicreview</t>
  </si>
  <si>
    <t>Wright+ipsilateralgraftandcontralateralaclruptureatfiveyearsormorefollowingaclreconstruction:asystematicreview+2011</t>
  </si>
  <si>
    <t>Outcomes of posterior cruciate ligament treatment: a review of the evidence</t>
  </si>
  <si>
    <t>Hammoud S, Reinhardt KR, Marx RG.</t>
  </si>
  <si>
    <t>Sports Med Arthrosc Rev</t>
  </si>
  <si>
    <t>10.1097/JSA.0b013e3181eaf8b4</t>
  </si>
  <si>
    <t>Hammoud</t>
  </si>
  <si>
    <t>outcomesofposteriorcruciateligamenttreatment:areviewoftheevidence</t>
  </si>
  <si>
    <t>Hammoud+outcomesofposteriorcruciateligamenttreatment:areviewoftheevidence+2010</t>
  </si>
  <si>
    <t>What is the best femoral fixation of hamstring autografts in anterior cruciate ligament reconstruction?: a meta-analysis</t>
  </si>
  <si>
    <t>Colvin A, Sharma C, Parides M, Glashow J.</t>
  </si>
  <si>
    <t>10.1007/s11999-010-1662-4</t>
  </si>
  <si>
    <t>Colvin</t>
  </si>
  <si>
    <t>whatisthebestfemoralfixationofhamstringautograftsinanteriorcruciateligamentreconstruction?:ametaanalysis</t>
  </si>
  <si>
    <t>Colvin+whatisthebestfemoralfixationofhamstringautograftsinanteriorcruciateligamentreconstruction?:ametaanalysis+2011</t>
  </si>
  <si>
    <t>[Rupture of the anterior cruciate ligament. Diagnostics and therapy]</t>
  </si>
  <si>
    <t>Teske W, Anastisiadis A, Lichtinger T, von Schulze Pellengahr C, von Engelhardt LV, Theodoridis T.</t>
  </si>
  <si>
    <t>10.1007/s00132-010-1670-9</t>
  </si>
  <si>
    <t>Teske</t>
  </si>
  <si>
    <t>ruptureoftheanteriorcruciateligamentdiagnosticsandtherapy</t>
  </si>
  <si>
    <t>Teske+ruptureoftheanteriorcruciateligamentdiagnosticsandtherapy+2010</t>
  </si>
  <si>
    <t>Prognosis of conservatively managed anterior cruciate ligament injury: a systematic review</t>
  </si>
  <si>
    <t>Muaidi QI, Nicholson LL, Refshauge KM, Herbert RD, Maher CG.</t>
  </si>
  <si>
    <t>10.2165/00007256-200737080-00004</t>
  </si>
  <si>
    <t>Muaidi</t>
  </si>
  <si>
    <t>prognosisofconservativelymanagedanteriorcruciateligamentinjury:asystematicreview</t>
  </si>
  <si>
    <t>Muaidi+prognosisofconservativelymanagedanteriorcruciateligamentinjury:asystematicreview+2007</t>
  </si>
  <si>
    <t>Anterior cruciate ligament reconstruction with a four-strand hamstring tendon autograft. Surgical technique</t>
  </si>
  <si>
    <t>Williams RJ 3rd, Hyman J, Petrigliano F, Rozental T, Wickiewicz TL.</t>
  </si>
  <si>
    <t>10.2106/JBJS.D.02805</t>
  </si>
  <si>
    <t>Williams</t>
  </si>
  <si>
    <t>anteriorcruciateligamentreconstructionwithafourstrandhamstringtendonautograftsurgicaltechnique</t>
  </si>
  <si>
    <t>Williams+anteriorcruciateligamentreconstructionwithafourstrandhamstringtendonautograftsurgicaltechnique+2005</t>
  </si>
  <si>
    <t>Patients Who Underwent Anterior Cruciate Ligament Reconstruction With an All Soft-Tissue Quadriceps Tendon Graft Had a Greater Return-to-Play Rate Than Patients Who Received a Quadriceps Tendon Bone Graft</t>
  </si>
  <si>
    <t>Woodhams W, Ford D, Hutson J, Reisner J, Hamilton K, Menge T.</t>
  </si>
  <si>
    <t>10.1016/j.asmr.2025.101223</t>
  </si>
  <si>
    <t>Woodhams</t>
  </si>
  <si>
    <t>patientswhounderwentanteriorcruciateligamentreconstructionwithanallsofttissuequadricepstendongrafthadagreaterreturntoplayratethanpatientswhoreceivedaquadricepstendonbonegraft</t>
  </si>
  <si>
    <t>Woodhams+patientswhounderwentanteriorcruciateligamentreconstructionwithanallsofttissuequadricepstendongrafthadagreaterreturntoplayratethanpatientswhoreceivedaquadricepstendonbonegraft+2025</t>
  </si>
  <si>
    <t>All-Epiphyseal Versus Micheli-Kocher Anterior Cruciate Ligament Reconstruction in Skeletally Immature Patients: A Systematic Review</t>
  </si>
  <si>
    <t>Zakharia A, Al Katanani F, Hatem A, Dhillon S, Vivekanantha P, Cohen D, de Sa D.</t>
  </si>
  <si>
    <t>J Pediatr Orthop</t>
  </si>
  <si>
    <t>10.1097/BPO.0000000000002953</t>
  </si>
  <si>
    <t>Zakharia</t>
  </si>
  <si>
    <t>allepiphysealversusmichelikocheranteriorcruciateligamentreconstructioninskeletallyimmaturepatients:asystematicreview</t>
  </si>
  <si>
    <t>Zakharia+allepiphysealversusmichelikocheranteriorcruciateligamentreconstructioninskeletallyimmaturepatients:asystematicreview+2025</t>
  </si>
  <si>
    <t>Effects of Neuromuscular Electrical Stimulation on Quadriceps Femoris Muscle Strength and Knee Joint Function in Patients After ACL Surgery: A Systematic Review and Meta-analysis of Randomized Controlled Trials</t>
  </si>
  <si>
    <t>Li Z, Jin L, Chen Z, Shang Z, Geng Y, Tian S, Dong J.</t>
  </si>
  <si>
    <t>10.1177/23259671241275071</t>
  </si>
  <si>
    <t>effectsofneuromuscularelectricalstimulationonquadricepsfemorismusclestrengthandkneejointfunctioninpatientsafteraclsurgery:asystematicreviewandmetaanalysisofrandomizedcontrolledtrials</t>
  </si>
  <si>
    <t>Li+effectsofneuromuscularelectricalstimulationonquadricepsfemorismusclestrengthandkneejointfunctioninpatientsafteraclsurgery:asystematicreviewandmetaanalysisofrandomizedcontrolledtrials+2025</t>
  </si>
  <si>
    <t>Effects of Low-Load Blood Flow Restriction Training on Muscle Volume After Anterior Cruciate Ligament Reconstruction: A Systematic Review and Meta-analysis</t>
  </si>
  <si>
    <t>Lin Q, Zhang Y, Qin J, Wu F.</t>
  </si>
  <si>
    <t>10.1177/23259671241301731</t>
  </si>
  <si>
    <t>Lin</t>
  </si>
  <si>
    <t>effectsoflowloadbloodflowrestrictiontrainingonmusclevolumeafteranteriorcruciateligamentreconstruction:asystematicreviewandmetaanalysis</t>
  </si>
  <si>
    <t>Lin+effectsoflowloadbloodflowrestrictiontrainingonmusclevolumeafteranteriorcruciateligamentreconstruction:asystematicreviewandmetaanalysis+2024</t>
  </si>
  <si>
    <t>Return to Sport Following Anterior Cruciate Ligament Reconstruction: A Scoping Review of Criteria Determining Return to Sport Readiness</t>
  </si>
  <si>
    <t>Kodama E, Tartibi S, Brophy RH, Smith MV, Matava MJ, Knapik DM.</t>
  </si>
  <si>
    <t>Curr Rev Musculoskelet Med</t>
  </si>
  <si>
    <t>10.1007/s12178-024-09934-7</t>
  </si>
  <si>
    <t>Kodama</t>
  </si>
  <si>
    <t>returntosportfollowinganteriorcruciateligamentreconstruction:ascopingreviewofcriteriadeterminingreturntosportreadiness</t>
  </si>
  <si>
    <t>Kodama+returntosportfollowinganteriorcruciateligamentreconstruction:ascopingreviewofcriteriadeterminingreturntosportreadiness+2025</t>
  </si>
  <si>
    <t>Comparison of blood flow restriction training rehabilitation and general rehabilitation exercise after anterior cruciate ligament reconstruction: A meta-analysis of randomized controlled trials</t>
  </si>
  <si>
    <t>Zhou L, Rothrauff B, Chen L, Jin S, He S, He J.</t>
  </si>
  <si>
    <t>10.1002/ksa.12527</t>
  </si>
  <si>
    <t>Zhou</t>
  </si>
  <si>
    <t>comparisonofbloodflowrestrictiontrainingrehabilitationandgeneralrehabilitationexerciseafteranteriorcruciateligamentreconstruction:ametaanalysisofrandomizedcontrolledtrials</t>
  </si>
  <si>
    <t>Zhou+comparisonofbloodflowrestrictiontrainingrehabilitationandgeneralrehabilitationexerciseafteranteriorcruciateligamentreconstruction:ametaanalysisofrandomizedcontrolledtrials+2025</t>
  </si>
  <si>
    <t>Use of electromyographic biofeedback in rehabilitation following anterior cruciate ligament reconstruction: a systematic review and meta-analysis</t>
  </si>
  <si>
    <t>Ananías J, Vidal C, Ortiz-Muñoz L, Irarrázaval S, Besa P.</t>
  </si>
  <si>
    <t>Physiotherapy</t>
  </si>
  <si>
    <t>10.1016/j.physio.2023.12.005</t>
  </si>
  <si>
    <t>Ananías</t>
  </si>
  <si>
    <t>useofelectromyographicbiofeedbackinrehabilitationfollowinganteriorcruciateligamentreconstruction:asystematicreviewandmetaanalysis</t>
  </si>
  <si>
    <t>Ananías+useofelectromyographicbiofeedbackinrehabilitationfollowinganteriorcruciateligamentreconstruction:asystematicreviewandmetaanalysis+2024</t>
  </si>
  <si>
    <t>Adverse Events and Complications After Primary ACL Reconstruction With Quadriceps Tendon Autograft: A Systematic Review</t>
  </si>
  <si>
    <t>Jackson GR, Mameri ES, Tuthill T, Wessels M, Asif S, Sugrañes J, Batra AK, McCormick JR, Obioha OA, Kaplan DJ, Knapik DM, Verma NN, Chahla J.</t>
  </si>
  <si>
    <t>10.1177/23259671231199728</t>
  </si>
  <si>
    <t>Jackson</t>
  </si>
  <si>
    <t>adverseeventsandcomplicationsafterprimaryaclreconstructionwithquadricepstendonautograft:asystematicreview</t>
  </si>
  <si>
    <t>Jackson+adverseeventsandcomplicationsafterprimaryaclreconstructionwithquadricepstendonautograft:asystematicreview+2023</t>
  </si>
  <si>
    <t>Nonoperative Management, Repair, or Reconstruction of the Medial Collateral Ligament in Combined Anterior Cruciate and Medial Collateral Ligament Injuries-Which Is Best? A Systematic Review and Meta-analysis</t>
  </si>
  <si>
    <t>Shultz CL, Poehlein E, Morriss NJ, Green CL, Hu J, Lander S, Amoo-Achampong K, Lau BC.</t>
  </si>
  <si>
    <t>10.1177/03635465231153157</t>
  </si>
  <si>
    <t>Shultz</t>
  </si>
  <si>
    <t>nonoperativemanagementrepairorreconstructionofthemedialcollateralligamentincombinedanteriorcruciateandmedialcollateralligamentinjurieswhichisbest?asystematicreviewandmetaanalysis</t>
  </si>
  <si>
    <t>Shultz+nonoperativemanagementrepairorreconstructionofthemedialcollateralligamentincombinedanteriorcruciateandmedialcollateralligamentinjurieswhichisbest?asystematicreviewandmetaanalysis+2024</t>
  </si>
  <si>
    <t>Less than 1% risk of donor-site quadriceps tendon rupture post-ACL reconstruction with quadriceps tendon autograft: a systematic review</t>
  </si>
  <si>
    <t>Singh H, Glassman I, Sheean A, Hoshino Y, Nagai K, de Sa D.</t>
  </si>
  <si>
    <t>10.1007/s00167-022-07175-0</t>
  </si>
  <si>
    <t>Singh</t>
  </si>
  <si>
    <t>lessthan1%riskofdonorsitequadricepstendonrupturepostaclreconstructionwithquadricepstendonautograft:asystematicreview</t>
  </si>
  <si>
    <t>Singh+lessthan1%riskofdonorsitequadricepstendonrupturepostaclreconstructionwithquadricepstendonautograft:asystematicreview+2023</t>
  </si>
  <si>
    <t>Evidence for isokinetic and functional testing in return to sport decisions following ACL surgery</t>
  </si>
  <si>
    <t>Rivera-Brown AM, Frontera WR, Fontánez R, Micheo WF.</t>
  </si>
  <si>
    <t>PM R</t>
  </si>
  <si>
    <t>10.1002/pmrj.12815</t>
  </si>
  <si>
    <t>Rivera-Brown</t>
  </si>
  <si>
    <t>evidenceforisokineticandfunctionaltestinginreturntosportdecisionsfollowingaclsurgery</t>
  </si>
  <si>
    <t>Rivera-Brown+evidenceforisokineticandfunctionaltestinginreturntosportdecisionsfollowingaclsurgery+2022</t>
  </si>
  <si>
    <t>Delayed versus Accelerated Weight-bearing Rehabilitation Protocol Following Anterior Cruciate Ligament Reconstruction: A Systematic Review and Meta-analysis</t>
  </si>
  <si>
    <t>Fan Z, Yan J, Zhou Z, Gao Y, Tang J, Li Y, Zhang Z, Yang M, Lv J.</t>
  </si>
  <si>
    <t>10.2340/jrm.v53.1438</t>
  </si>
  <si>
    <t>delayedversusacceleratedweightbearingrehabilitationprotocolfollowinganteriorcruciateligamentreconstruction:asystematicreviewandmetaanalysis</t>
  </si>
  <si>
    <t>Fan+delayedversusacceleratedweightbearingrehabilitationprotocolfollowinganteriorcruciateligamentreconstruction:asystematicreviewandmetaanalysis+2022</t>
  </si>
  <si>
    <t>Disparities in ACL Reconstruction: the Influence of Gender and Race on Incidence, Treatment, and Outcomes</t>
  </si>
  <si>
    <t>Devana SK, Solorzano C, Nwachukwu B, Jones KJ.</t>
  </si>
  <si>
    <t>10.1007/s12178-021-09736-1</t>
  </si>
  <si>
    <t>Devana</t>
  </si>
  <si>
    <t>disparitiesinaclreconstruction:theinfluenceofgenderandraceonincidencetreatmentandoutcomes</t>
  </si>
  <si>
    <t>Devana+disparitiesinaclreconstruction:theinfluenceofgenderandraceonincidencetreatmentandoutcomes+2022</t>
  </si>
  <si>
    <t>Mechanism of non-contact ACL injury: OREF Clinical Research Award 2021</t>
  </si>
  <si>
    <t>Boden BP, Sheehan FT.</t>
  </si>
  <si>
    <t>J Orthop Res</t>
  </si>
  <si>
    <t>10.1002/jor.25257</t>
  </si>
  <si>
    <t>Boden</t>
  </si>
  <si>
    <t>mechanismofnoncontactaclinjury:orefclinicalresearchaward2021</t>
  </si>
  <si>
    <t>Boden+mechanismofnoncontactaclinjury:orefclinicalresearchaward2021+2022</t>
  </si>
  <si>
    <t>Quadriceps Tendon Anterior Cruciate Ligament Reconstruction: A Systematic Review of Postoperative Rehabilitation and Complication Profiles</t>
  </si>
  <si>
    <t>Zhang K, Beshay T, Murphy B, Sheean A, de Sa D.</t>
  </si>
  <si>
    <t>10.1016/j.arthro.2021.12.020</t>
  </si>
  <si>
    <t>quadricepstendonanteriorcruciateligamentreconstruction:asystematicreviewofpostoperativerehabilitationandcomplicationprofiles</t>
  </si>
  <si>
    <t>Zhang+quadricepstendonanteriorcruciateligamentreconstruction:asystematicreviewofpostoperativerehabilitationandcomplicationprofiles+2022</t>
  </si>
  <si>
    <t>Bone Versus All Soft Tissue Quadriceps Tendon Autografts for Anterior Cruciate Ligament Reconstruction: A Systematic Review</t>
  </si>
  <si>
    <t>Crum RJ, Kay J, Lesniak BP, Getgood A, Musahl V, de Sa D.</t>
  </si>
  <si>
    <t>10.1016/j.arthro.2020.10.018</t>
  </si>
  <si>
    <t>Crum</t>
  </si>
  <si>
    <t>boneversusallsofttissuequadricepstendonautograftsforanteriorcruciateligamentreconstruction:asystematicreview</t>
  </si>
  <si>
    <t>Crum+boneversusallsofttissuequadricepstendonautograftsforanteriorcruciateligamentreconstruction:asystematicreview+2021</t>
  </si>
  <si>
    <t>The Effectiveness of Nonoperative Treatment for Anterior Cruciate Ligament Rupture on Patient-Reported Outcomes and Muscular Strength: A Critically Appraised Topic</t>
  </si>
  <si>
    <t>Hunt ER, Parise CN, Butterfield TA.</t>
  </si>
  <si>
    <t>10.1123/jsr.2019-0131</t>
  </si>
  <si>
    <t>Hunt</t>
  </si>
  <si>
    <t>theeffectivenessofnonoperativetreatmentforanteriorcruciateligamentruptureonpatientreportedoutcomesandmuscularstrength:acriticallyappraisedtopic</t>
  </si>
  <si>
    <t>Hunt+theeffectivenessofnonoperativetreatmentforanteriorcruciateligamentruptureonpatientreportedoutcomesandmuscularstrength:acriticallyappraisedtopic+2020</t>
  </si>
  <si>
    <t>Aperture and Suspensory Fixation Equally Efficacious for Quadriceps Tendon Graft Fixation in Primary ACL Reconstruction: A Systematic Review</t>
  </si>
  <si>
    <t>Crum RJ, de Sa D, Kanakamedala AC, Obioha OA, Lesniak BP, Musahl V.</t>
  </si>
  <si>
    <t>10.1055/s-0039-1685160</t>
  </si>
  <si>
    <t>apertureandsuspensoryfixationequallyefficaciousforquadricepstendongraftfixationinprimaryaclreconstruction:asystematicreview</t>
  </si>
  <si>
    <t>Crum+apertureandsuspensoryfixationequallyefficaciousforquadricepstendongraftfixationinprimaryaclreconstruction:asystematicreview+2020</t>
  </si>
  <si>
    <t>No difference between full thickness and partial thickness quadriceps tendon autografts in anterior cruciate ligament reconstruction: a systematic review</t>
  </si>
  <si>
    <t>Kanakamedala AC, de Sa D, Obioha OA, Arakgi ME, Schmidt PB, Lesniak BP, Musahl V.</t>
  </si>
  <si>
    <t>10.1007/s00167-018-5042-z</t>
  </si>
  <si>
    <t>Kanakamedala</t>
  </si>
  <si>
    <t>nodifferencebetweenfullthicknessandpartialthicknessquadricepstendonautograftsinanteriorcruciateligamentreconstruction:asystematicreview</t>
  </si>
  <si>
    <t>Kanakamedala+nodifferencebetweenfullthicknessandpartialthicknessquadricepstendonautograftsinanteriorcruciateligamentreconstruction:asystematicreview+2019</t>
  </si>
  <si>
    <t>Femoral avulsion fracture of ACL proximal attachment in male scuba diver: case report and review of the literature</t>
  </si>
  <si>
    <t>Zabierek S, Nowak K, Domzalski M.</t>
  </si>
  <si>
    <t>10.1007/s00167-016-4373-x</t>
  </si>
  <si>
    <t>Zabierek</t>
  </si>
  <si>
    <t>femoralavulsionfractureofaclproximalattachmentinmalescubadiver:casereportandreviewoftheliterature</t>
  </si>
  <si>
    <t>Zabierek+femoralavulsionfractureofaclproximalattachmentinmalescubadiver:casereportandreviewoftheliterature+2017</t>
  </si>
  <si>
    <t>Quadriceps function following ACL reconstruction and rehabilitation: implications for optimisation of current practices</t>
  </si>
  <si>
    <t>Gokeler A, Bisschop M, Benjaminse A, Myer GD, Eppinga P, Otten E.</t>
  </si>
  <si>
    <t>10.1007/s00167-013-2577-x</t>
  </si>
  <si>
    <t>Gokeler</t>
  </si>
  <si>
    <t>quadricepsfunctionfollowingaclreconstructionandrehabilitation:implicationsforoptimisationofcurrentpractices</t>
  </si>
  <si>
    <t>Gokeler+quadricepsfunctionfollowingaclreconstructionandrehabilitation:implicationsforoptimisationofcurrentpractices+2014</t>
  </si>
  <si>
    <t>Anatomic anterior cruciate ligament reconstruction with quadriceps tendon autograft</t>
  </si>
  <si>
    <t>Rabuck SJ, Musahl V, Fu FH, West RV.</t>
  </si>
  <si>
    <t>10.1016/j.csm.2012.08.014</t>
  </si>
  <si>
    <t>Rabuck</t>
  </si>
  <si>
    <t>anatomicanteriorcruciateligamentreconstructionwithquadricepstendonautograft</t>
  </si>
  <si>
    <t>Rabuck+anatomicanteriorcruciateligamentreconstructionwithquadricepstendonautograft+2013</t>
  </si>
  <si>
    <t>A systematic literature review to investigate if we identify those patients who can cope with anterior cruciate ligament deficiency</t>
  </si>
  <si>
    <t>Herrington L, Fowler E.</t>
  </si>
  <si>
    <t>10.1016/j.knee.2006.02.010</t>
  </si>
  <si>
    <t>Herrington</t>
  </si>
  <si>
    <t>asystematicliteraturereviewtoinvestigateifweidentifythosepatientswhocancopewithanteriorcruciateligamentdeficiency</t>
  </si>
  <si>
    <t>Herrington+asystematicliteraturereviewtoinvestigateifweidentifythosepatientswhocancopewithanteriorcruciateligamentdeficiency+2006</t>
  </si>
  <si>
    <t>Recent advances in the rehabilitation of isolated and combined anterior cruciate ligament injuries</t>
  </si>
  <si>
    <t>Wilk KE, Reinold MM, Hooks TR.</t>
  </si>
  <si>
    <t>Orthop Clin North Am</t>
  </si>
  <si>
    <t>10.1016/s0030-5898(02)00064-0</t>
  </si>
  <si>
    <t>Wilk</t>
  </si>
  <si>
    <t>recentadvancesintherehabilitationofisolatedandcombinedanteriorcruciateligamentinjuries</t>
  </si>
  <si>
    <t>Wilk+recentadvancesintherehabilitationofisolatedandcombinedanteriorcruciateligamentinjuries+2003</t>
  </si>
  <si>
    <t>Neuromuscular performance in normal and anterior cruciate ligament-deficient lower extremities</t>
  </si>
  <si>
    <t>Wojtys EM, Huston LJ.</t>
  </si>
  <si>
    <t>10.1177/036354659402200116</t>
  </si>
  <si>
    <t>Wojtys</t>
  </si>
  <si>
    <t>neuromuscularperformanceinnormalandanteriorcruciateligamentdeficientlowerextremities</t>
  </si>
  <si>
    <t>Wojtys+neuromuscularperformanceinnormalandanteriorcruciateligamentdeficientlowerextremities+1994</t>
  </si>
  <si>
    <t>Posterior cruciate ligament involvement leads to inferior outcomes in multiligament knee injuries involving the medial collateral ligament: A systematic review and meta-analysis</t>
  </si>
  <si>
    <t>Hunter CDR, Sternbauer J, Kammerlander C, Grillari J, Neuper O, Ernat JJ, Klasan A.</t>
  </si>
  <si>
    <t>10.1002/ksa.70232</t>
  </si>
  <si>
    <t>Hunter</t>
  </si>
  <si>
    <t>posteriorcruciateligamentinvolvementleadstoinferioroutcomesinmultiligamentkneeinjuriesinvolvingthemedialcollateralligament:asystematicreviewandmetaanalysis</t>
  </si>
  <si>
    <t>Hunter+posteriorcruciateligamentinvolvementleadstoinferioroutcomesinmultiligamentkneeinjuriesinvolvingthemedialcollateralligament:asystematicreviewandmetaanalysis+2025</t>
  </si>
  <si>
    <t>The fate of unrepaired stable ramp lesions: a systematic review</t>
  </si>
  <si>
    <t>Misir A, Yuce A.</t>
  </si>
  <si>
    <t>10.52628/90.3.11174</t>
  </si>
  <si>
    <t>Misir</t>
  </si>
  <si>
    <t>thefateofunrepairedstableramplesions:asystematicreview</t>
  </si>
  <si>
    <t>Misir+thefateofunrepairedstableramplesions:asystematicreview+2024</t>
  </si>
  <si>
    <t>Return to Sport After Multiligament Knee Injury: A Systematic Review of the Literature</t>
  </si>
  <si>
    <t>D'Ambrosi R, Meena A, Ursino N, Di Feo F, Fusari N, Kambhampati SBS.</t>
  </si>
  <si>
    <t>Indian J Orthop</t>
  </si>
  <si>
    <t>10.1007/s43465-024-01237-w</t>
  </si>
  <si>
    <t>returntosportaftermultiligamentkneeinjury:asystematicreviewoftheliterature</t>
  </si>
  <si>
    <t>D'Ambrosi+returntosportaftermultiligamentkneeinjury:asystematicreviewoftheliterature+2024</t>
  </si>
  <si>
    <t>Anterior Cruciate Ligament Repair Results in Similar Patient-Reported Outcome Measures as Anterior Cruciate Ligament Reconstruction: A Systematic Review of Prospective Comparative Studies</t>
  </si>
  <si>
    <t>Saad Berreta R, Villarreal-Espinosa JB, Pallone L, Cotter E, Spaan J, Manivannan A, Jackson GR, Rafael Garcia J, Ayala S, Verma NN, Cole BJ, Chahla J.</t>
  </si>
  <si>
    <t>10.1016/j.arthro.2024.09.008</t>
  </si>
  <si>
    <t>Saad</t>
  </si>
  <si>
    <t>anteriorcruciateligamentrepairresultsinsimilarpatientreportedoutcomemeasuresasanteriorcruciateligamentreconstruction:asystematicreviewofprospectivecomparativestudies</t>
  </si>
  <si>
    <t>Saad+anteriorcruciateligamentrepairresultsinsimilarpatientreportedoutcomemeasuresasanteriorcruciateligamentreconstruction:asystematicreviewofprospectivecomparativestudies+2025</t>
  </si>
  <si>
    <t>Anterior Cruciate Ligament Reconstruction in Patients Aged 50 Years and Older Results in Improvements in Activity and Functional Outcome Measures, Whereas Reported Complication Rates Vary Widely: A Systematic Review</t>
  </si>
  <si>
    <t>Saad Berreta R, Knapik DM, Lawand J, Moews L, Villarreal-Espinosa JB, Pallone L, Dave U, Spaan J, Rafael Garcia J, Ayala S, Verma NN, Chahla J.</t>
  </si>
  <si>
    <t>10.1016/j.arthro.2024.08.008</t>
  </si>
  <si>
    <t>anteriorcruciateligamentreconstructioninpatientsaged50yearsandolderresultsinimprovementsinactivityandfunctionaloutcomemeasureswhereasreportedcomplicationratesvarywidely:asystematicreview</t>
  </si>
  <si>
    <t>Saad+anteriorcruciateligamentreconstructioninpatientsaged50yearsandolderresultsinimprovementsinactivityandfunctionaloutcomemeasureswhereasreportedcomplicationratesvarywidely:asystematicreview+2025</t>
  </si>
  <si>
    <t>Failure rate of isolated medial meniscus repair in the stable knee: Systematic review and meta-analysis</t>
  </si>
  <si>
    <t>Farinelli L, Meena A, Montini D, Patralekh MK, Piritore G, Grassi M, Gigante A, Hoser C, Fink C, Tapasvi S.</t>
  </si>
  <si>
    <t>10.1002/ksa.12441</t>
  </si>
  <si>
    <t>Farinelli</t>
  </si>
  <si>
    <t>failurerateofisolatedmedialmeniscusrepairinthestableknee:systematicreviewandmetaanalysis</t>
  </si>
  <si>
    <t>Farinelli+failurerateofisolatedmedialmeniscusrepairinthestableknee:systematicreviewandmetaanalysis+2025</t>
  </si>
  <si>
    <t>Secondary restraints in ACL reconstruction: State-of-the-art</t>
  </si>
  <si>
    <t>Saithna A, Helito CP, Bin Abd Razak HR, Cristiani R.</t>
  </si>
  <si>
    <t>10.1016/j.jisako.2024.05.001</t>
  </si>
  <si>
    <t>Saithna</t>
  </si>
  <si>
    <t>secondaryrestraintsinaclreconstruction:stateoftheart</t>
  </si>
  <si>
    <t>Saithna+secondaryrestraintsinaclreconstruction:stateoftheart+2024</t>
  </si>
  <si>
    <t>Spontaneous healing of a ruptured anterior cruciate ligament: a case series and literature review</t>
  </si>
  <si>
    <t>Previ L, Monaco E, Carrozzo A, Fedeli G, Annibaldi A, Cantagalli MR, Rossi G, Ferretti A.</t>
  </si>
  <si>
    <t>10.1186/s40634-022-00566-9</t>
  </si>
  <si>
    <t>Previ</t>
  </si>
  <si>
    <t>spontaneoushealingofarupturedanteriorcruciateligament:acaseseriesandliteraturereview</t>
  </si>
  <si>
    <t>Previ+spontaneoushealingofarupturedanteriorcruciateligament:acaseseriesandliteraturereview+2023</t>
  </si>
  <si>
    <t>Biological enhancement methods may be a viable option for ACL arthroscopic primary repair - A systematic review</t>
  </si>
  <si>
    <t>Cao Y, Zhang Z, Song G, Ni Q, Zheng T, Li Y.</t>
  </si>
  <si>
    <t>10.1016/j.otsr.2022.103227</t>
  </si>
  <si>
    <t>biologicalenhancementmethodsmaybeaviableoptionforaclarthroscopicprimaryrepairasystematicreview</t>
  </si>
  <si>
    <t>Cao+biologicalenhancementmethodsmaybeaviableoptionforaclarthroscopicprimaryrepairasystematicreview+2022</t>
  </si>
  <si>
    <t>The efficacy of platelet rich plasma on anterior cruciate ligament reconstruction: a systematic review and meta-analysis</t>
  </si>
  <si>
    <t>Lv ZT, Zhang JM, Pang ZY, Wang Z, Huang JM, Zhu WT.</t>
  </si>
  <si>
    <t>Platelets</t>
  </si>
  <si>
    <t>10.1080/09537104.2021.1902969</t>
  </si>
  <si>
    <t>Lv</t>
  </si>
  <si>
    <t>theefficacyofplateletrichplasmaonanteriorcruciateligamentreconstruction:asystematicreviewandmetaanalysis</t>
  </si>
  <si>
    <t>Lv+theefficacyofplateletrichplasmaonanteriorcruciateligamentreconstruction:asystematicreviewandmetaanalysis+2022</t>
  </si>
  <si>
    <t>Truly Existing or Hyped up? Unravelling the Current Knowledge Regarding the Anatomy, Radiology, Histology and Biomechanics of the Enigmatic Anterolateral Ligament of the Knee Joint</t>
  </si>
  <si>
    <t>Kumar V D, Sontakke YA, Murugharaj S.</t>
  </si>
  <si>
    <t>Arch Bone Jt Surg</t>
  </si>
  <si>
    <t>10.22038/abjs.2019.40067.2074</t>
  </si>
  <si>
    <t>trulyexistingorhypedup?unravellingthecurrentknowledgeregardingtheanatomyradiologyhistologyandbiomechanicsoftheenigmaticanterolateralligamentofthekneejoint</t>
  </si>
  <si>
    <t>Kumar+trulyexistingorhypedup?unravellingthecurrentknowledgeregardingtheanatomyradiologyhistologyandbiomechanicsoftheenigmaticanterolateralligamentofthekneejoint+2020</t>
  </si>
  <si>
    <t>[Research progress in anterolateral ligament of knee]</t>
  </si>
  <si>
    <t>Zhang Z, Zhang K, Mao B, Lai S, Li J, Fu W.</t>
  </si>
  <si>
    <t>10.7507/1002-1892.201909048</t>
  </si>
  <si>
    <t>researchprogressinanterolateralligamentofknee</t>
  </si>
  <si>
    <t>Zhang+researchprogressinanterolateralligamentofknee+2020</t>
  </si>
  <si>
    <t>The effect of knee bracing on the knee function and stability following anterior cruciate ligament reconstruction: A systematic review and meta-analysis of randomized controlled trials</t>
  </si>
  <si>
    <t>Yang XG, Feng JT, He X, Wang F, Hu YC.</t>
  </si>
  <si>
    <t>10.1016/j.otsr.2019.04.015</t>
  </si>
  <si>
    <t>theeffectofkneebracingonthekneefunctionandstabilityfollowinganteriorcruciateligamentreconstruction:asystematicreviewandmetaanalysisofrandomizedcontrolledtrials</t>
  </si>
  <si>
    <t>Yang+theeffectofkneebracingonthekneefunctionandstabilityfollowinganteriorcruciateligamentreconstruction:asystematicreviewandmetaanalysisofrandomizedcontrolledtrials+2019</t>
  </si>
  <si>
    <t>Anterior Cruciate Ligament Repair Outcomes: An Updated Systematic Review of Recent Literature</t>
  </si>
  <si>
    <t>Nwachukwu BU, Patel BH, Lu Y, Allen AA, Williams RJ 3rd.</t>
  </si>
  <si>
    <t>10.1016/j.arthro.2019.04.005</t>
  </si>
  <si>
    <t>Nwachukwu</t>
  </si>
  <si>
    <t>anteriorcruciateligamentrepairoutcomes:anupdatedsystematicreviewofrecentliterature</t>
  </si>
  <si>
    <t>Nwachukwu+anteriorcruciateligamentrepairoutcomes:anupdatedsystematicreviewofrecentliterature+2019</t>
  </si>
  <si>
    <t>Early or delayed anterior cruciate ligament reconstruction: Is one superior? A systematic review and meta-analysis</t>
  </si>
  <si>
    <t>Ferguson D, Palmer A, Khan S, Oduoza U, Atkinson H.</t>
  </si>
  <si>
    <t>10.1007/s00590-019-02442-2</t>
  </si>
  <si>
    <t>Ferguson</t>
  </si>
  <si>
    <t>earlyordelayedanteriorcruciateligamentreconstruction:isonesuperior?asystematicreviewandmetaanalysis</t>
  </si>
  <si>
    <t>Ferguson+earlyordelayedanteriorcruciateligamentreconstruction:isonesuperior?asystematicreviewandmetaanalysis+2019</t>
  </si>
  <si>
    <t>Infection after arthroscopic anterior cruciate ligament reconstruction</t>
  </si>
  <si>
    <t>Kim SJ, Postigo R, Koo S, Kim JH.</t>
  </si>
  <si>
    <t>10.3928/01477447-20140626-06</t>
  </si>
  <si>
    <t>infectionafterarthroscopicanteriorcruciateligamentreconstruction</t>
  </si>
  <si>
    <t>Kim+infectionafterarthroscopicanteriorcruciateligamentreconstruction+2014</t>
  </si>
  <si>
    <t>Does ACL reconstruction alter natural history?: A systematic literature review of long-term outcomes</t>
  </si>
  <si>
    <t>Chalmers PN, Mall NA, Moric M, Sherman SL, Paletta GP, Cole BJ, Bach BR Jr.</t>
  </si>
  <si>
    <t>10.2106/JBJS.L.01713</t>
  </si>
  <si>
    <t>Chalmers</t>
  </si>
  <si>
    <t>doesaclreconstructionalternaturalhistory?:asystematicliteraturereviewoflongtermoutcomes</t>
  </si>
  <si>
    <t>Chalmers+doesaclreconstructionalternaturalhistory?:asystematicliteraturereviewoflongtermoutcomes+2014</t>
  </si>
  <si>
    <t>Long-term failure of anterior cruciate ligament reconstruction</t>
  </si>
  <si>
    <t>Crawford SN, Waterman BR, Lubowitz JH.</t>
  </si>
  <si>
    <t>10.1016/j.arthro.2013.04.014</t>
  </si>
  <si>
    <t>Crawford</t>
  </si>
  <si>
    <t>longtermfailureofanteriorcruciateligamentreconstruction</t>
  </si>
  <si>
    <t>Crawford+longtermfailureofanteriorcruciateligamentreconstruction+2013</t>
  </si>
  <si>
    <t>Natural history of partial anterior cruciate ligament tears: a systematic literature review</t>
  </si>
  <si>
    <t>Pujol N, Colombet P, Cucurulo T, Graveleau N, Hulet C, Panisset JC, Potel JF, Servien E, Sonnery-Cottet B, Trojani C, Djian P; French Arthroscopy Society (SFA).</t>
  </si>
  <si>
    <t>10.1016/j.otsr.2012.09.013</t>
  </si>
  <si>
    <t>Pujol</t>
  </si>
  <si>
    <t>naturalhistoryofpartialanteriorcruciateligamenttears:asystematicliteraturereview</t>
  </si>
  <si>
    <t>Pujol+naturalhistoryofpartialanteriorcruciateligamenttears:asystematicliteraturereview+2012</t>
  </si>
  <si>
    <t>Double-bundle versus single-bundle reconstruction for anterior cruciate ligament rupture in adults</t>
  </si>
  <si>
    <t>Tiamklang T, Sumanont S, Foocharoen T, Laopaiboon M.</t>
  </si>
  <si>
    <t>Cochrane Database Syst Rev</t>
  </si>
  <si>
    <t>10.1002/14651858.CD008413.pub2</t>
  </si>
  <si>
    <t>Tiamklang</t>
  </si>
  <si>
    <t>doublebundleversussinglebundlereconstructionforanteriorcruciateligamentruptureinadults</t>
  </si>
  <si>
    <t>Tiamklang+doublebundleversussinglebundlereconstructionforanteriorcruciateligamentruptureinadults+2012</t>
  </si>
  <si>
    <t>Meniscal repair versus partial meniscectomy: a systematic review comparing reoperation rates and clinical outcomes</t>
  </si>
  <si>
    <t>Paxton ES, Stock MV, Brophy RH.</t>
  </si>
  <si>
    <t>10.1016/j.arthro.2011.03.088</t>
  </si>
  <si>
    <t>Paxton</t>
  </si>
  <si>
    <t>meniscalrepairversuspartialmeniscectomy:asystematicreviewcomparingreoperationratesandclinicaloutcomes</t>
  </si>
  <si>
    <t>Paxton+meniscalrepairversuspartialmeniscectomy:asystematicreviewcomparingreoperationratesandclinicaloutcomes+2011</t>
  </si>
  <si>
    <t>Analysis of rehabilitation techniques after anterior cruciate reconstruction</t>
  </si>
  <si>
    <t>Anderson AF, Lipscomb AB.</t>
  </si>
  <si>
    <t>10.1177/036354658901700203</t>
  </si>
  <si>
    <t>analysisofrehabilitationtechniquesafteranteriorcruciatereconstruction</t>
  </si>
  <si>
    <t>Anderson+analysisofrehabilitationtechniquesafteranteriorcruciatereconstruction+1989</t>
  </si>
  <si>
    <t>Posterior cruciate ligament insufficiency. A review of the literature</t>
  </si>
  <si>
    <t>Barton TM, Torg JS, Das M.</t>
  </si>
  <si>
    <t>10.2165/00007256-198401060-00002</t>
  </si>
  <si>
    <t>Barton</t>
  </si>
  <si>
    <t>posteriorcruciateligamentinsufficiencyareviewoftheliterature</t>
  </si>
  <si>
    <t>Barton+posteriorcruciateligamentinsufficiencyareviewoftheliterature+1984</t>
  </si>
  <si>
    <t>Ten-year outcomes of combined ACLR and lateral extra-articular tenodesis: A systematic review</t>
  </si>
  <si>
    <t>Bouchard MD, Haque O, Cruickshank M, Vivekanantha P, Tapasvi S, Meena A, de Sa D.</t>
  </si>
  <si>
    <t>10.1002/ksa.70231</t>
  </si>
  <si>
    <t>Bouchard</t>
  </si>
  <si>
    <t>tenyearoutcomesofcombinedaclrandlateralextraarticulartenodesis:asystematicreview</t>
  </si>
  <si>
    <t>Bouchard+tenyearoutcomesofcombinedaclrandlateralextraarticulartenodesis:asystematicreview+2025</t>
  </si>
  <si>
    <t>Graft selection in ACL reconstruction: Clinical and functional outcomes based on level I-II evidence</t>
  </si>
  <si>
    <t>Hasan M, Berkovich Y, Khatib M, Yonai Y, Ben Zvi L, Alhija AA, Shpigelman A, Ginesin E.</t>
  </si>
  <si>
    <t>10.1002/ksa.70167</t>
  </si>
  <si>
    <t>Hasan</t>
  </si>
  <si>
    <t>graftselectioninaclreconstruction:clinicalandfunctionaloutcomesbasedonleveliiievidence</t>
  </si>
  <si>
    <t>Hasan+graftselectioninaclreconstruction:clinicalandfunctionaloutcomesbasedonleveliiievidence+2026</t>
  </si>
  <si>
    <t>Smaller hamstrings autograft size after primary ACL reconstruction is associated with higher odds for graft failure: A meta-analysis on autografts sizes covering 46,268 patients</t>
  </si>
  <si>
    <t>Hamrin Senorski R, Högberg J, Teow K, Nordenholm A, Kaarre J, Snaebjörnsson T, Musahl V, Samuelsson K, Hamrin Senorski E.</t>
  </si>
  <si>
    <t>10.1002/ksa.70069</t>
  </si>
  <si>
    <t>smallerhamstringsautograftsizeafterprimaryaclreconstructionisassociatedwithhigheroddsforgraftfailure:ametaanalysisonautograftssizescovering46268patients</t>
  </si>
  <si>
    <t>Hamrin+smallerhamstringsautograftsizeafterprimaryaclreconstructionisassociatedwithhigheroddsforgraftfailure:ametaanalysisonautograftssizescovering46268patients+2025</t>
  </si>
  <si>
    <t>Hamstring Tendon Versus Bone-Patellar Tendon-Bone Autograft for ACL Reconstruction with Concurrent Lateral Extra-Articular Procedure: A Systematic Review and Network Meta-Analysis of Randomized Controlled Trials</t>
  </si>
  <si>
    <t>Chung K, Han JH, Jung SH, Moon HS, Jung M, Kim SH.</t>
  </si>
  <si>
    <t>10.2106/JBJS.25.00068</t>
  </si>
  <si>
    <t>Chung</t>
  </si>
  <si>
    <t>hamstringtendonversusbonepatellartendonboneautograftforaclreconstructionwithconcurrentlateralextraarticularprocedure:asystematicreviewandnetworkmetaanalysisofrandomizedcontrolledtrials</t>
  </si>
  <si>
    <t>Chung+hamstringtendonversusbonepatellartendonboneautograftforaclreconstructionwithconcurrentlateralextraarticularprocedure:asystematicreviewandnetworkmetaanalysisofrandomizedcontrolledtrials+2025</t>
  </si>
  <si>
    <t>Which Graft Is Associated With Better Outcomes in ACL Reconstruction? A Systematic Review and Network Meta-analysis of Randomized Controlled Trials</t>
  </si>
  <si>
    <t>Chen CF, Qian SY, Li T, Yao L, Xu Y, Wang L, Li J.</t>
  </si>
  <si>
    <t>10.1097/CORR.0000000000003585</t>
  </si>
  <si>
    <t>whichgraftisassociatedwithbetteroutcomesinaclreconstruction?asystematicreviewandnetworkmetaanalysisofrandomizedcontrolledtrials</t>
  </si>
  <si>
    <t>Chen+whichgraftisassociatedwithbetteroutcomesinaclreconstruction?asystematicreviewandnetworkmetaanalysisofrandomizedcontrolledtrials+2025</t>
  </si>
  <si>
    <t>Hamstring autograft, bone-patellar-tendon-bone autograft and synthetic graft in primary anterior cruciate ligament reconstruction: A meta-analysis of comparative studies</t>
  </si>
  <si>
    <t>Mercurio M, Cofano E, Cosentino O, Corona K, Mocini F, Rossi U, Galasso O, Gasparini G, Cerciello S.</t>
  </si>
  <si>
    <t>10.1002/jeo2.70326</t>
  </si>
  <si>
    <t>Mercurio</t>
  </si>
  <si>
    <t>hamstringautograftbonepatellartendonboneautograftandsyntheticgraftinprimaryanteriorcruciateligamentreconstruction:ametaanalysisofcomparativestudies</t>
  </si>
  <si>
    <t>Mercurio+hamstringautograftbonepatellartendonboneautograftandsyntheticgraftinprimaryanteriorcruciateligamentreconstruction:ametaanalysisofcomparativestudies+2025</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</si>
  <si>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</si>
  <si>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White T, Castro M, Antonio L, Hing W, Tudor F, Sattler L.</t>
  </si>
  <si>
    <t>10.1002/ksa.12755</t>
  </si>
  <si>
    <t>White</t>
  </si>
  <si>
    <t>quadricepshamstringandpatellatendonautograftsforprimaryanteriorcruciateligamentreconstructiondemonstratesimilarclinicaloutcomesincludinggraftfailurejointlaxityandcomplications:asystematicreviewwithmetaanalysisofrandomisedcontrolledtrials</t>
  </si>
  <si>
    <t>White+quadricepshamstringandpatellatendonautograftsforprimaryanteriorcruciateligamentreconstructiondemonstratesimilarclinicaloutcomesincludinggraftfailurejointlaxityandcomplications:asystematicreviewwithmetaanalysisofrandomisedcontrolledtrials+2025</t>
  </si>
  <si>
    <t>Patients Have Similar Clinical Outcomes and Failure Rates After Anterior Cruciate Ligament Reconstruction With Tibialis Anterior Tendon, Bone-Patellar Tendon-Bone, Hamstring Tendon, or Achilles Tendon Allografts: A Systematic Review</t>
  </si>
  <si>
    <t>Dave U, Villarreal-Espinosa JB, Shah H, Cotter EJ, Gómez-Verdejo F, Carpenter M, Gerhold C, Mamonov A, Chahla J, Verma NN.</t>
  </si>
  <si>
    <t>10.1016/j.asmr.2024.101035</t>
  </si>
  <si>
    <t>Dave</t>
  </si>
  <si>
    <t>patientshavesimilarclinicaloutcomesandfailureratesafteranteriorcruciateligamentreconstructionwithtibialisanteriortendonbonepatellartendonbonehamstringtendonorachillestendonallografts:asystematicreview</t>
  </si>
  <si>
    <t>Dave+patientshavesimilarclinicaloutcomesandfailureratesafteranteriorcruciateligamentreconstructionwithtibialisanteriortendonbonepatellartendonbonehamstringtendonorachillestendonallografts:asystematicreview+2024</t>
  </si>
  <si>
    <t>Varying Definitions of Return to Sport, Study Quality, and Outcome Measurements Limit Comparison of Primary Anterior Cruciate Ligament Reconstruction With Quadriceps Tendon Autografts to Hamstring and Bone-Patellar Tendon-Bone Autografts: A Systematic Review</t>
  </si>
  <si>
    <t>Emmert AS, Hale I, Lake LP, McMillan P, Johnson BM, Kurkowski SC, Kuechly HA, Grawe BM.</t>
  </si>
  <si>
    <t>10.1016/j.arthro.2025.03.036</t>
  </si>
  <si>
    <t>Emmert</t>
  </si>
  <si>
    <t>varyingdefinitionsofreturntosportstudyqualityandoutcomemeasurementslimitcomparisonofprimaryanteriorcruciateligamentreconstructionwithquadricepstendonautograftstohamstringandbonepatellartendonboneautografts:asystematicreview</t>
  </si>
  <si>
    <t>Emmert+varyingdefinitionsofreturntosportstudyqualityandoutcomemeasurementslimitcomparisonofprimaryanteriorcruciateligamentreconstructionwithquadricepstendonautograftstohamstringandbonepatellartendonboneautografts:asystematicreview+2025</t>
  </si>
  <si>
    <t>Return to Sport and Graft Failure Rates After Primary Anterior Cruciate Ligament Reconstruction With a Bone-Patellar Tendon-Bone Versus Hamstring Tendon Autograft: A Systematic Review and Meta-analysis</t>
  </si>
  <si>
    <t>Connors JP, Cusano A, Saleet J, Hao KA, Efremov K, Parisien RL, Seil R, Li X.</t>
  </si>
  <si>
    <t>10.1177/03635465241295713</t>
  </si>
  <si>
    <t>Connors</t>
  </si>
  <si>
    <t>returntosportandgraftfailureratesafterprimaryanteriorcruciateligamentreconstructionwithabonepatellartendonboneversushamstringtendonautograft:asystematicreviewandmetaanalysis</t>
  </si>
  <si>
    <t>Connors+returntosportandgraftfailureratesafterprimaryanteriorcruciateligamentreconstructionwithabonepatellartendonboneversushamstringtendonautograft:asystematicreviewandmetaanalysis+2025</t>
  </si>
  <si>
    <t>Graft Selection in Anterior Cruciate Ligament Reconstruction: A Comprehensive Review of Current Trends</t>
  </si>
  <si>
    <t>Ostojic M, Indelli PF, Lovrekovic B, Volcarenghi J, Juric D, Hakam HT, Salzmann M, Ramadanov N, Królikowska A, Becker R, Prill R.</t>
  </si>
  <si>
    <t>10.3390/medicina60122090</t>
  </si>
  <si>
    <t>Ostojic</t>
  </si>
  <si>
    <t>graftselectioninanteriorcruciateligamentreconstruction:acomprehensivereviewofcurrenttrends</t>
  </si>
  <si>
    <t>Ostojic+graftselectioninanteriorcruciateligamentreconstruction:acomprehensivereviewofcurrenttrends+2024</t>
  </si>
  <si>
    <t>Efficacy and safety of quadriceps tendon autograft versus bone-patellar tendon-bone and hamstring tendon autografts for anterior cruciate ligament reconstruction: a systematic review and meta-analysis</t>
  </si>
  <si>
    <t>Zhang XF, Liu P, Huang JW, He YH.</t>
  </si>
  <si>
    <t>J Orthop Traumatol</t>
  </si>
  <si>
    <t>10.1186/s10195-024-00801-2</t>
  </si>
  <si>
    <t>efficacyandsafetyofquadricepstendonautograftversusbonepatellartendonboneandhamstringtendonautograftsforanteriorcruciateligamentreconstruction:asystematicreviewandmetaanalysis</t>
  </si>
  <si>
    <t>Zhang+efficacyandsafetyofquadricepstendonautograftversusbonepatellartendonboneandhamstringtendonautograftsforanteriorcruciateligamentreconstruction:asystematicreviewandmetaanalysis+2024</t>
  </si>
  <si>
    <t>Quadriceps tendon versus hamstring tendon graft for primary anterior cruciate ligament reconstruction: A systematic review and meta-analysis of randomised trials</t>
  </si>
  <si>
    <t>Raj S, Ridha A, Searle HKC, Khatri C, Ahmed I, Metcalfe A, Smith N.</t>
  </si>
  <si>
    <t>10.1016/j.knee.2024.07.002</t>
  </si>
  <si>
    <t>Raj</t>
  </si>
  <si>
    <t>quadricepstendonversushamstringtendongraftforprimaryanteriorcruciateligamentreconstruction:asystematicreviewandmetaanalysisofrandomisedtrials</t>
  </si>
  <si>
    <t>Raj+quadricepstendonversushamstringtendongraftforprimaryanteriorcruciateligamentreconstruction:asystematicreviewandmetaanalysisofrandomisedtrials+2024</t>
  </si>
  <si>
    <t>No increased complication rate with the use of soft tissue quadriceps tendon autograft for primary ACL reconstruction - a systematic review</t>
  </si>
  <si>
    <t>Khalefa MA, Aujla RS, Aslam N, Boutefnouchet T, D'Alessandro P, MacDonald PB, Malik SS.</t>
  </si>
  <si>
    <t>10.1016/j.otsr.2024.103926</t>
  </si>
  <si>
    <t>Khalefa</t>
  </si>
  <si>
    <t>noincreasedcomplicationratewiththeuseofsofttissuequadricepstendonautograftforprimaryaclreconstructionasystematicreview</t>
  </si>
  <si>
    <t>Khalefa+noincreasedcomplicationratewiththeuseofsofttissuequadricepstendonautograftforprimaryaclreconstructionasystematicreview+2025</t>
  </si>
  <si>
    <t>Comparison of Graft Type and Fixation Method in Anterior Cruciate Ligament Reconstruction: A Systematic Review and Meta-analysis Based on Randomized Control Studies</t>
  </si>
  <si>
    <t>Beyer J, Jones R, Igo I, Furyes AR, Liu J, Sohn DH.</t>
  </si>
  <si>
    <t>JBJS Rev</t>
  </si>
  <si>
    <t>10.2106/JBJS.RVW.23.00222</t>
  </si>
  <si>
    <t>Beyer</t>
  </si>
  <si>
    <t>comparisonofgrafttypeandfixationmethodinanteriorcruciateligamentreconstruction:asystematicreviewandmetaanalysisbasedonrandomizedcontrolstudies</t>
  </si>
  <si>
    <t>Beyer+comparisonofgrafttypeandfixationmethodinanteriorcruciateligamentreconstruction:asystematicreviewandmetaanalysisbasedonrandomizedcontrolstudies+2024</t>
  </si>
  <si>
    <t>Comparing Clinical Outcomes and Knee Stability in Remnant-Preserving ACL Reconstruction Versus Standard ACL Reconstruction: A Systematic Review and Meta-analysis</t>
  </si>
  <si>
    <t>Allende F, Allahabadi S, Sachdev D, Gopinatth V, Saad Berreta R, LaPrade RF, Chahla J.</t>
  </si>
  <si>
    <t>10.1177/03635465231225984</t>
  </si>
  <si>
    <t>Allende</t>
  </si>
  <si>
    <t>comparingclinicaloutcomesandkneestabilityinremnantpreservingaclreconstructionversusstandardaclreconstruction:asystematicreviewandmetaanalysis</t>
  </si>
  <si>
    <t>Allende+comparingclinicaloutcomesandkneestabilityinremnantpreservingaclreconstructionversusstandardaclreconstruction:asystematicreviewandmetaanalysis+2024</t>
  </si>
  <si>
    <t>Current development in surgical techniques, graft selection and additional procedures for anterior cruciate ligament injury: a path towards anatomic restoration and improved clinical outcomes-a narrative review</t>
  </si>
  <si>
    <t>Nukuto K, Hoshino Y, Kataoka K, Kuroda R.</t>
  </si>
  <si>
    <t>Ann Jt</t>
  </si>
  <si>
    <t>10.21037/aoj-23-39</t>
  </si>
  <si>
    <t>Nukuto</t>
  </si>
  <si>
    <t>currentdevelopmentinsurgicaltechniquesgraftselectionandadditionalproceduresforanteriorcruciateligamentinjury:apathtowardsanatomicrestorationandimprovedclinicaloutcomesanarrativereview</t>
  </si>
  <si>
    <t>Nukuto+currentdevelopmentinsurgicaltechniquesgraftselectionandadditionalproceduresforanteriorcruciateligamentinjury:apathtowardsanatomicrestorationandimprovedclinicaloutcomesanarrativereview+2023</t>
  </si>
  <si>
    <t>Analysis of Graft Types Augmented With an Internal Brace for ACL Reconstruction: A Systematic Review</t>
  </si>
  <si>
    <t>Maginnis C, Root C, Schiavo JH, Ierulli VK, Vopat B, Mulcahey MK.</t>
  </si>
  <si>
    <t>10.1177/03635465231196157</t>
  </si>
  <si>
    <t>Maginnis</t>
  </si>
  <si>
    <t>analysisofgrafttypesaugmentedwithaninternalbraceforaclreconstruction:asystematicreview</t>
  </si>
  <si>
    <t>Maginnis+analysisofgrafttypesaugmentedwithaninternalbraceforaclreconstruction:asystematicreview+2024</t>
  </si>
  <si>
    <t>Higher Rates of Residual Postoperative Instability after Anterior Cruciate Ligament Reconstruction in Female Patients: A Systematic Review of Level II Studies</t>
  </si>
  <si>
    <t>Jackson GR, Lee J, Tuthill T, Chan J, Sugrañes J, Mowers CC, Batra A, Khan ZA, Mameri ES, Brusalis CM, Chahla J, Verma NN.</t>
  </si>
  <si>
    <t>10.1016/j.asmr.2023.100772</t>
  </si>
  <si>
    <t>higherratesofresidualpostoperativeinstabilityafteranteriorcruciateligamentreconstructioninfemalepatients:asystematicreviewofleveliistudies</t>
  </si>
  <si>
    <t>Jackson+higherratesofresidualpostoperativeinstabilityafteranteriorcruciateligamentreconstructioninfemalepatients:asystematicreviewofleveliistudies+2023</t>
  </si>
  <si>
    <t>Clinical outcomes of different autografts used for all-epiphyseal, partial epiphyseal or transphyseal anterior cruciate ligament reconstruction in skeletally immature patients - a systematic review</t>
  </si>
  <si>
    <t>Verhagen S, Dietvorst M, Delvaux E, van der Steen MC, Janssen R.</t>
  </si>
  <si>
    <t>10.1186/s12891-023-06749-4</t>
  </si>
  <si>
    <t>Verhagen</t>
  </si>
  <si>
    <t>clinicaloutcomesofdifferentautograftsusedforallepiphysealpartialepiphysealortransphysealanteriorcruciateligamentreconstructioninskeletallyimmaturepatientsasystematicreview</t>
  </si>
  <si>
    <t>Verhagen+clinicaloutcomesofdifferentautograftsusedforallepiphysealpartialepiphysealortransphysealanteriorcruciateligamentreconstructioninskeletallyimmaturepatientsasystematicreview+2023</t>
  </si>
  <si>
    <t>Preoperative predictors for return to physical activity following anterior cruciate ligament reconstruction (ACLR): a systematic review</t>
  </si>
  <si>
    <t>Carter HM, Lewis GN, Smith BE.</t>
  </si>
  <si>
    <t>10.1186/s12891-023-06489-5</t>
  </si>
  <si>
    <t>Carter</t>
  </si>
  <si>
    <t>preoperativepredictorsforreturntophysicalactivityfollowinganteriorcruciateligamentreconstruction(aclr):asystematicreview</t>
  </si>
  <si>
    <t>Carter+preoperativepredictorsforreturntophysicalactivityfollowinganteriorcruciateligamentreconstruction(aclr):asystematicreview+2023</t>
  </si>
  <si>
    <t>Bone-patellar tendon-bone versus two- and four-strand hamstring tendon autografts for ACL reconstruction in young adults: a Bayesian network meta-analysis</t>
  </si>
  <si>
    <t>Migliorini F, Torsiello E, Trivellas A, Eschweiler J, Hildebrand F, Maffulli N.</t>
  </si>
  <si>
    <t>10.1038/s41598-023-33899-1</t>
  </si>
  <si>
    <t>Migliorini</t>
  </si>
  <si>
    <t>bonepatellartendonboneversustwoandfourstrandhamstringtendonautograftsforaclreconstructioninyoungadults:abayesiannetworkmetaanalysis</t>
  </si>
  <si>
    <t>Migliorini+bonepatellartendonboneversustwoandfourstrandhamstringtendonautograftsforaclreconstructioninyoungadults:abayesiannetworkmetaanalysis+2023</t>
  </si>
  <si>
    <t>The reverse fragility index: RCTs reporting non-significant differences in failure rates between hamstring and bone-patellar tendon-bone autografts have fragile results</t>
  </si>
  <si>
    <t>Ruelos VCB, Masood R, Puzzitiello RN, Moverman MA, Pagani NR, Menendez ME, Salzler MJ.</t>
  </si>
  <si>
    <t>10.1007/s00167-023-07420-0</t>
  </si>
  <si>
    <t>Ruelos</t>
  </si>
  <si>
    <t>thereversefragilityindex:rctsreportingnonsignificantdifferencesinfailureratesbetweenhamstringandbonepatellartendonboneautograftshavefragileresults</t>
  </si>
  <si>
    <t>Ruelos+thereversefragilityindex:rctsreportingnonsignificantdifferencesinfailureratesbetweenhamstringandbonepatellartendonboneautograftshavefragileresults+2023</t>
  </si>
  <si>
    <t>Graft choices for paediatric anterior cruciate ligament reconstruction: State of the art</t>
  </si>
  <si>
    <t>Marx RG, Hsu J, Fink C, Eriksson K, Vincent A, van der Merwe WM.</t>
  </si>
  <si>
    <t>10.1016/j.jisako.2023.01.001</t>
  </si>
  <si>
    <t>Marx</t>
  </si>
  <si>
    <t>graftchoicesforpaediatricanteriorcruciateligamentreconstruction:stateoftheart</t>
  </si>
  <si>
    <t>Marx+graftchoicesforpaediatricanteriorcruciateligamentreconstruction:stateoftheart+2023</t>
  </si>
  <si>
    <t>Failure modes after anterior cruciate ligament reconstruction: a systematic review and meta-analysis</t>
  </si>
  <si>
    <t>Li X, Yan L, Li D, Fan Z, Liu H, Wang G, Jiu J, Yang Z, Li JJ, Wang B.</t>
  </si>
  <si>
    <t>10.1007/s00264-023-05687-z</t>
  </si>
  <si>
    <t>failuremodesafteranteriorcruciateligamentreconstruction:asystematicreviewandmetaanalysis</t>
  </si>
  <si>
    <t>Li+failuremodesafteranteriorcruciateligamentreconstruction:asystematicreviewandmetaanalysis+2023</t>
  </si>
  <si>
    <t>Long-term results after anterior cruciate ligament reconstruction using patellar tendon versus hamstring tendon autograft with a minimum follow-up of 10 years-a systematic review</t>
  </si>
  <si>
    <t>Sollberger VD, Korthaus A, Barg A, Pagenstert G.</t>
  </si>
  <si>
    <t>10.1007/s00402-022-04687-9</t>
  </si>
  <si>
    <t>Sollberger</t>
  </si>
  <si>
    <t>longtermresultsafteranteriorcruciateligamentreconstructionusingpatellartendonversushamstringtendonautograftwithaminimumfollowupof10yearsasystematicreview</t>
  </si>
  <si>
    <t>Sollberger+longtermresultsafteranteriorcruciateligamentreconstructionusingpatellartendonversushamstringtendonautograftwithaminimumfollowupof10yearsasystematicreview+2023</t>
  </si>
  <si>
    <t>Clinical Outcomes After Combined ACL and Anterolateral Ligament Reconstruction Versus Isolated ACL Reconstruction With Bone-Patellar Tendon-Bone Grafts: A Matched-Pair Analysis of 2018 Patients From the SANTI Study Group</t>
  </si>
  <si>
    <t>Pioger C, Gousopoulos L, Hopper GP, Vieira TD, Campos JP, El Helou A, Philippe C, Saithna A, Sonnery-Cottet B.</t>
  </si>
  <si>
    <t>10.1177/03635465221128261</t>
  </si>
  <si>
    <t>Pioger</t>
  </si>
  <si>
    <t>clinicaloutcomesaftercombinedaclandanterolateralligamentreconstructionversusisolatedaclreconstructionwithbonepatellartendonbonegrafts:amatchedpairanalysisof2018patientsfromthesantistudygroup</t>
  </si>
  <si>
    <t>Pioger+clinicaloutcomesaftercombinedaclandanterolateralligamentreconstructionversusisolatedaclreconstructionwithbonepatellartendonbonegrafts:amatchedpairanalysisof2018patientsfromthesantistudygroup+2022</t>
  </si>
  <si>
    <t>Quadriceps tendon autograft for anterior cruciate ligament reconstruction: state of the art</t>
  </si>
  <si>
    <t>Clinger B, Xerogeanes J, Feller J, Fink C, Runer A, Richter D, Wascher D.</t>
  </si>
  <si>
    <t>10.1016/j.jisako.2022.08.010</t>
  </si>
  <si>
    <t>Clinger</t>
  </si>
  <si>
    <t>quadricepstendonautograftforanteriorcruciateligamentreconstruction:stateoftheart</t>
  </si>
  <si>
    <t>Clinger+quadricepstendonautograftforanteriorcruciateligamentreconstruction:stateoftheart+2022</t>
  </si>
  <si>
    <t>Outcomes Following Anterior Cruciate Ligament Reconstruction with Patellar Tendon vs Hamstring Autografts: A Systematic Review of Randomized Controlled Trials with a Mean Follow-up of 15 Years</t>
  </si>
  <si>
    <t>Hoge CG, Matar RN, Khalil LS, Buchan JA, Johnson CM, Grawe BM.</t>
  </si>
  <si>
    <t>10.22038/ABJS.2021.53662.2668</t>
  </si>
  <si>
    <t>Hoge</t>
  </si>
  <si>
    <t>outcomesfollowinganteriorcruciateligamentreconstructionwithpatellartendonvshamstringautografts:asystematicreviewofrandomizedcontrolledtrialswithameanfollowupof15years</t>
  </si>
  <si>
    <t>Hoge+outcomesfollowinganteriorcruciateligamentreconstructionwithpatellartendonvshamstringautografts:asystematicreviewofrandomizedcontrolledtrialswithameanfollowupof15years+2022</t>
  </si>
  <si>
    <t>Graft Choice for Anterior Cruciate Ligament Reconstruction in Women Aged 25 Years and Younger: A Systematic Review</t>
  </si>
  <si>
    <t>Etzel CM, Nadeem M, Gao B, Boduch AN, Owens BD.</t>
  </si>
  <si>
    <t>10.1177/19417381221079632</t>
  </si>
  <si>
    <t>Etzel</t>
  </si>
  <si>
    <t>graftchoiceforanteriorcruciateligamentreconstructioninwomenaged25yearsandyounger:asystematicreview</t>
  </si>
  <si>
    <t>Etzel+graftchoiceforanteriorcruciateligamentreconstructioninwomenaged25yearsandyounger:asystematicreview+2022</t>
  </si>
  <si>
    <t>Twenty-Year Outcomes After Anterior Cruciate Ligament Reconstruction: A Systematic Review of Prospectively Collected Data</t>
  </si>
  <si>
    <t>Everhart JS, Yalcin S, Spindler KP.</t>
  </si>
  <si>
    <t>10.1177/03635465211027302</t>
  </si>
  <si>
    <t>Everhart</t>
  </si>
  <si>
    <t>twentyyearoutcomesafteranteriorcruciateligamentreconstruction:asystematicreviewofprospectivelycollecteddata</t>
  </si>
  <si>
    <t>Everhart+twentyyearoutcomesafteranteriorcruciateligamentreconstruction:asystematicreviewofprospectivelycollecteddata+2022</t>
  </si>
  <si>
    <t>Failure rates of common grafts used in ACL reconstructions: a systematic review of studies published in the last decade</t>
  </si>
  <si>
    <t>Haybäck G, Raas C, Rosenberger R.</t>
  </si>
  <si>
    <t>10.1007/s00402-021-04147-w</t>
  </si>
  <si>
    <t>Haybäck</t>
  </si>
  <si>
    <t>failureratesofcommongraftsusedinaclreconstructions:asystematicreviewofstudiespublishedinthelastdecade</t>
  </si>
  <si>
    <t>Haybäck+failureratesofcommongraftsusedinaclreconstructions:asystematicreviewofstudiespublishedinthelastdecade+2022</t>
  </si>
  <si>
    <t>Quadriceps Tendon Autograft Versus Bone-Patellar Tendon-Bone and Hamstring Tendon Autografts for Anterior Cruciate Ligament Reconstruction: A Systematic Review and Meta-analysis</t>
  </si>
  <si>
    <t>Dai W, Leng X, Wang J, Cheng J, Hu X, Ao Y.</t>
  </si>
  <si>
    <t>10.1177/03635465211030259</t>
  </si>
  <si>
    <t>Dai</t>
  </si>
  <si>
    <t>quadricepstendonautograftversusbonepatellartendonboneandhamstringtendonautograftsforanteriorcruciateligamentreconstruction:asystematicreviewandmetaanalysis</t>
  </si>
  <si>
    <t>Dai+quadricepstendonautograftversusbonepatellartendonboneandhamstringtendonautograftsforanteriorcruciateligamentreconstruction:asystematicreviewandmetaanalysis+2022</t>
  </si>
  <si>
    <t>Iliotibial band autograft is a suitable alternative graft for anterior cruciate ligament reconstruction: a systematic review and meta-analysis of outcomes</t>
  </si>
  <si>
    <t>Lucena T, Cavaignac M, Marot V, Courtot L, Lutz C, Bérard E, Cavaignac E.</t>
  </si>
  <si>
    <t>10.1007/s00167-021-06701-w</t>
  </si>
  <si>
    <t>Lucena</t>
  </si>
  <si>
    <t>iliotibialbandautograftisasuitablealternativegraftforanteriorcruciateligamentreconstruction:asystematicreviewandmetaanalysisofoutcomes</t>
  </si>
  <si>
    <t>Lucena+iliotibialbandautograftisasuitablealternativegraftforanteriorcruciateligamentreconstruction:asystematicreviewandmetaanalysisofoutcomes+2022</t>
  </si>
  <si>
    <t>Return to Baseline Physical Activity After Bone-Patellar Tendon-Bone Versus Hamstring Tendon Autografts for Anterior Cruciate Ligament Reconstruction: A Systematic Review and Meta-analysis of Randomized Controlled Trials</t>
  </si>
  <si>
    <t>Bergeron JJ, Sercia QP, Drager J, Pelet S, Belzile EL.</t>
  </si>
  <si>
    <t>10.1177/03635465211017522</t>
  </si>
  <si>
    <t>Bergeron</t>
  </si>
  <si>
    <t>returntobaselinephysicalactivityafterbonepatellartendonboneversushamstringtendonautograftsforanteriorcruciateligamentreconstruction:asystematicreviewandmetaanalysisofrandomizedcontrolledtrials</t>
  </si>
  <si>
    <t>Bergeron+returntobaselinephysicalactivityafterbonepatellartendonboneversushamstringtendonautograftsforanteriorcruciateligamentreconstruction:asystematicreviewandmetaanalysisofrandomizedcontrolledtrials+2022</t>
  </si>
  <si>
    <t>Generalized Joint Laxity Is Associated With Increased Failure Rates of Primary Anterior Cruciate Ligament Reconstructions: A Systematic Review</t>
  </si>
  <si>
    <t>Krebs NM, Barber-Westin S, Noyes FR.</t>
  </si>
  <si>
    <t>10.1016/j.arthro.2021.02.021</t>
  </si>
  <si>
    <t>Krebs</t>
  </si>
  <si>
    <t>generalizedjointlaxityisassociatedwithincreasedfailureratesofprimaryanteriorcruciateligamentreconstructions:asystematicreview</t>
  </si>
  <si>
    <t>Krebs+generalizedjointlaxityisassociatedwithincreasedfailureratesofprimaryanteriorcruciateligamentreconstructions:asystematicreview+2021</t>
  </si>
  <si>
    <t>The long-term outcomes of different grafts in anterior cruciate ligament reconstruction: a network meta-analysis</t>
  </si>
  <si>
    <t>Yang W, Huang X, Wang S, Wang H, Huang W, Shao Z.</t>
  </si>
  <si>
    <t>J Orthop Translat</t>
  </si>
  <si>
    <t>10.1016/j.jot.2020.03.008</t>
  </si>
  <si>
    <t>thelongtermoutcomesofdifferentgraftsinanteriorcruciateligamentreconstruction:anetworkmetaanalysis</t>
  </si>
  <si>
    <t>Yang+thelongtermoutcomesofdifferentgraftsinanteriorcruciateligamentreconstruction:anetworkmetaanalysis+2020</t>
  </si>
  <si>
    <t>Outcome of bone-patellar tendon-bone vs hamstring tendon autograft for anterior cruciate ligament reconstruction: A meta-analysis of randomized controlled trials with a 5-year minimum follow-up</t>
  </si>
  <si>
    <t>Zhao L, Lu M, Deng M, Xing J, He L, Wang C.</t>
  </si>
  <si>
    <t>10.1097/MD.0000000000023476</t>
  </si>
  <si>
    <t>outcomeofbonepatellartendonbonevshamstringtendonautograftforanteriorcruciateligamentreconstruction:ametaanalysisofrandomizedcontrolledtrialswitha5yearminimumfollowup</t>
  </si>
  <si>
    <t>Zhao+outcomeofbonepatellartendonbonevshamstringtendonautograftforanteriorcruciateligamentreconstruction:ametaanalysisofrandomizedcontrolledtrialswitha5yearminimumfollowup+2020</t>
  </si>
  <si>
    <t>Comparative Efficacy of Graft Options in Anterior Cruciate Ligament Reconstruction: A Systematic Review and Network Meta-Analysis</t>
  </si>
  <si>
    <t>Mo Z, Li D, Yang B, Tang S.</t>
  </si>
  <si>
    <t>10.1016/j.asmr.2020.05.007</t>
  </si>
  <si>
    <t>comparativeefficacyofgraftoptionsinanteriorcruciateligamentreconstruction:asystematicreviewandnetworkmetaanalysis</t>
  </si>
  <si>
    <t>Mo+comparativeefficacyofgraftoptionsinanteriorcruciateligamentreconstruction:asystematicreviewandnetworkmetaanalysis+2020</t>
  </si>
  <si>
    <t>[Outcomes of quadriceps tendon autograft versus bone-patellar tendon-bone autograft for anterior cruciate ligament reconstruction:a Meta-analysis]</t>
  </si>
  <si>
    <t>Li F, Gu XD, Wei XC.</t>
  </si>
  <si>
    <t>10.12200/j.issn.1003-0034.2020.07.018</t>
  </si>
  <si>
    <t>outcomesofquadricepstendonautograftversusbonepatellartendonboneautograftforanteriorcruciateligamentreconstruction:ametaanalysis</t>
  </si>
  <si>
    <t>Li+outcomesofquadricepstendonautograftversusbonepatellartendonboneautograftforanteriorcruciateligamentreconstruction:ametaanalysis+2020</t>
  </si>
  <si>
    <t>Clinical Outcomes of the Central Third Patellar Tendon Versus Four-strand Hamstring Tendon Autograft Used for Anterior Cruciate Ligament Reconstruction: A Systematic Review and Subgroup Meta-analysis of Randomized Controlled Trials</t>
  </si>
  <si>
    <t>He X, Yang XG, Feng JT, Wang F, Huang HC, He JQ, Hu YC.</t>
  </si>
  <si>
    <t>10.1016/j.injury.2020.05.025</t>
  </si>
  <si>
    <t>He</t>
  </si>
  <si>
    <t>clinicaloutcomesofthecentralthirdpatellartendonversusfourstrandhamstringtendonautograftusedforanteriorcruciateligamentreconstruction:asystematicreviewandsubgroupmetaanalysisofrandomizedcontrolledtrials</t>
  </si>
  <si>
    <t>He+clinicaloutcomesofthecentralthirdpatellartendonversusfourstrandhamstringtendonautograftusedforanteriorcruciateligamentreconstruction:asystematicreviewandsubgroupmetaanalysisofrandomizedcontrolledtrials+2020</t>
  </si>
  <si>
    <t>Prevalence of patellofemoral joint osteoarthritis after anterior cruciate ligament injury and associated risk factors: A systematic review</t>
  </si>
  <si>
    <t>Huang W, Ong TY, Fu SC, Yung SH.</t>
  </si>
  <si>
    <t>10.1016/j.jot.2019.07.004</t>
  </si>
  <si>
    <t>prevalenceofpatellofemoraljointosteoarthritisafteranteriorcruciateligamentinjuryandassociatedriskfactors:asystematicreview</t>
  </si>
  <si>
    <t>Huang+prevalenceofpatellofemoraljointosteoarthritisafteranteriorcruciateligamentinjuryandassociatedriskfactors:asystematicreview+2019</t>
  </si>
  <si>
    <t>Patellar Tendon Versus 4-Strand Semitendinosus and Gracilis Autografts for Anterior Cruciate Ligament Reconstruction: A Meta-analysis of Randomized Controlled Trials With Mid- to Long-Term Follow-Up</t>
  </si>
  <si>
    <t>Chen H, Liu H, Chen L.</t>
  </si>
  <si>
    <t>10.1016/j.arthro.2020.04.024</t>
  </si>
  <si>
    <t>patellartendonversus4strandsemitendinosusandgracilisautograftsforanteriorcruciateligamentreconstruction:ametaanalysisofrandomizedcontrolledtrialswithmidtolongtermfollowup</t>
  </si>
  <si>
    <t>Chen+patellartendonversus4strandsemitendinosusandgracilisautograftsforanteriorcruciateligamentreconstruction:ametaanalysisofrandomizedcontrolledtrialswithmidtolongtermfollowup+2020</t>
  </si>
  <si>
    <t>One in 5 Athletes Sustain Reinjury Upon Return to High-Risk Sports After ACL Reconstruction: A Systematic Review in 1239 Athletes Younger Than 20 Years</t>
  </si>
  <si>
    <t>Barber-Westin S, Noyes FR.</t>
  </si>
  <si>
    <t>10.1177/1941738120912846</t>
  </si>
  <si>
    <t>Barber-Westin</t>
  </si>
  <si>
    <t>onein5athletessustainreinjuryuponreturntohighrisksportsafteraclreconstruction:asystematicreviewin1239athletesyoungerthan20years</t>
  </si>
  <si>
    <t>Barber-Westin+onein5athletessustainreinjuryuponreturntohighrisksportsafteraclreconstruction:asystematicreviewin1239athletesyoungerthan20years+2020</t>
  </si>
  <si>
    <t>Quadriceps tendon autograft for primary ACL reconstruction: a Bayesian network meta-analysis</t>
  </si>
  <si>
    <t>Migliorini F, Eschweiler J, Mansy YE, Quack V, Tingart M, Driessen A.</t>
  </si>
  <si>
    <t>10.1007/s00590-020-02680-9</t>
  </si>
  <si>
    <t>quadricepstendonautograftforprimaryaclreconstruction:abayesiannetworkmetaanalysis</t>
  </si>
  <si>
    <t>Migliorini+quadricepstendonautograftforprimaryaclreconstruction:abayesiannetworkmetaanalysis+2020</t>
  </si>
  <si>
    <t>Autografts vs Synthetics for Cruciate Ligament Reconstruction: A Systematic Review and Meta-Analysis</t>
  </si>
  <si>
    <t>Sun J, Wei XC, Li L, Cao XM, Li K, Guo L, Lu JG, Duan ZQ, Xiang C, Wei L.</t>
  </si>
  <si>
    <t>Orthop Surg</t>
  </si>
  <si>
    <t>10.1111/os.12662</t>
  </si>
  <si>
    <t>autograftsvssyntheticsforcruciateligamentreconstruction:asystematicreviewandmetaanalysis</t>
  </si>
  <si>
    <t>Sun+autograftsvssyntheticsforcruciateligamentreconstruction:asystematicreviewandmetaanalysis+2020</t>
  </si>
  <si>
    <t>Bone-Patellar Tendon-Bone Autografts Versus Hamstring Autografts Using the Same Suspensory Fixations in ACL Reconstruction: A Systematic Review and Meta-analysis</t>
  </si>
  <si>
    <t>Chen W, Li H, Chen Y, Jiang F, Wu Y, Chen S.</t>
  </si>
  <si>
    <t>10.1177/2325967119885314</t>
  </si>
  <si>
    <t>bonepatellartendonboneautograftsversushamstringautograftsusingthesamesuspensoryfixationsinaclreconstruction:asystematicreviewandmetaanalysis</t>
  </si>
  <si>
    <t>Chen+bonepatellartendonboneautograftsversushamstringautograftsusingthesamesuspensoryfixationsinaclreconstruction:asystematicreviewandmetaanalysis+2019</t>
  </si>
  <si>
    <t>Anterior Cruciate Ligament Reconstruction with Platelet-Rich Plasma: A Systematic Review of Randomized Control Trials</t>
  </si>
  <si>
    <t>Davey MS, Hurley ET, Withers D, Moran R, Moran CJ.</t>
  </si>
  <si>
    <t>10.1016/j.arthro.2019.11.004</t>
  </si>
  <si>
    <t>Davey</t>
  </si>
  <si>
    <t>anteriorcruciateligamentreconstructionwithplateletrichplasma:asystematicreviewofrandomizedcontroltrials</t>
  </si>
  <si>
    <t>Davey+anteriorcruciateligamentreconstructionwithplateletrichplasma:asystematicreviewofrandomizedcontroltrials+2020</t>
  </si>
  <si>
    <t>Network meta-analysis of knee outcomes following anterior cruciate ligament reconstruction with various types of tendon grafts</t>
  </si>
  <si>
    <t>Yang XG, Wang F, He X, Feng JT, Hu YC, Zhang H, Yang L, Hua K.</t>
  </si>
  <si>
    <t>10.1007/s00264-019-04417-8</t>
  </si>
  <si>
    <t>networkmetaanalysisofkneeoutcomesfollowinganteriorcruciateligamentreconstructionwithvarioustypesoftendongrafts</t>
  </si>
  <si>
    <t>Yang+networkmetaanalysisofkneeoutcomesfollowinganteriorcruciateligamentreconstructionwithvarioustypesoftendongrafts+2020</t>
  </si>
  <si>
    <t>Generalised joint hypermobility increases ACL injury risk and is associated with inferior outcome after ACL reconstruction: a systematic review</t>
  </si>
  <si>
    <t>Sundemo D, Hamrin Senorski E, Karlsson L, Horvath A, Juul-Kristensen B, Karlsson J, Ayeni OR, Samuelsson K.</t>
  </si>
  <si>
    <t>BMJ Open Sport Exerc Med</t>
  </si>
  <si>
    <t>10.1136/bmjsem-2019-000620</t>
  </si>
  <si>
    <t>Sundemo</t>
  </si>
  <si>
    <t>generalisedjointhypermobilityincreasesaclinjuryriskandisassociatedwithinferioroutcomeafteraclreconstruction:asystematicreview</t>
  </si>
  <si>
    <t>Sundemo+generalisedjointhypermobilityincreasesaclinjuryriskandisassociatedwithinferioroutcomeafteraclreconstruction:asystematicreview+2019</t>
  </si>
  <si>
    <t>Quadriceps Tendon Autograft in Anterior Cruciate Ligament Reconstruction</t>
  </si>
  <si>
    <t>Mehran N, Damodar D, Shu Yang J.</t>
  </si>
  <si>
    <t>J Am Acad Orthop Surg</t>
  </si>
  <si>
    <t>10.5435/JAAOS-D-19-00032</t>
  </si>
  <si>
    <t>Mehran</t>
  </si>
  <si>
    <t>quadricepstendonautograftinanteriorcruciateligamentreconstruction</t>
  </si>
  <si>
    <t>Mehran+quadricepstendonautograftinanteriorcruciateligamentreconstruction+2020</t>
  </si>
  <si>
    <t>A Comparison of Quadriceps Tendon Autograft With Bone-Patellar Tendon-Bone Autograft and Hamstring Tendon Autograft for Primary Anterior Cruciate Ligament Reconstruction: A Systematic Review and Quantitative Synthesis</t>
  </si>
  <si>
    <t>Ajrawat P, Dwyer T, Whelan D, Theodoropoulos J, Murnaghan L, Bhargava M, Ogilvie-Harris D, Chahal J.</t>
  </si>
  <si>
    <t>10.1097/JSM.0000000000000765</t>
  </si>
  <si>
    <t>Ajrawat</t>
  </si>
  <si>
    <t>acomparisonofquadricepstendonautograftwithbonepatellartendonboneautograftandhamstringtendonautograftforprimaryanteriorcruciateligamentreconstruction:asystematicreviewandquantitativesynthesis</t>
  </si>
  <si>
    <t>Ajrawat+acomparisonofquadricepstendonautograftwithbonepatellartendonboneautograftandhamstringtendonautograftforprimaryanteriorcruciateligamentreconstruction:asystematicreviewandquantitativesynthesis+2021</t>
  </si>
  <si>
    <t>Anterior Cruciate Ligament Reconstruction in Young Females: A Systematic Review of Patellar Tendon Versus Hamstring Tendon Autografts</t>
  </si>
  <si>
    <t>Salem HS, Kraeutler MJ, Carter AH, Tjoumakaris FP, Freedman KB.</t>
  </si>
  <si>
    <t>10.3928/01477447-20190403-05</t>
  </si>
  <si>
    <t>Salem</t>
  </si>
  <si>
    <t>anteriorcruciateligamentreconstructioninyoungfemales:asystematicreviewofpatellartendonversushamstringtendonautografts</t>
  </si>
  <si>
    <t>Salem+anteriorcruciateligamentreconstructioninyoungfemales:asystematicreviewofpatellartendonversushamstringtendonautografts+2019</t>
  </si>
  <si>
    <t>Anterior Cruciate Ligament Reconstruction: A Systematic Review and Meta-analysis of Outcomes for Quadriceps Tendon Autograft Versus Bone-Patellar Tendon-Bone and Hamstring-Tendon Autografts</t>
  </si>
  <si>
    <t>Mouarbes D, Menetrey J, Marot V, Courtot L, Berard E, Cavaignac E.</t>
  </si>
  <si>
    <t>10.1177/0363546518825340</t>
  </si>
  <si>
    <t>Mouarbes</t>
  </si>
  <si>
    <t>anteriorcruciateligamentreconstruction:asystematicreviewandmetaanalysisofoutcomesforquadricepstendonautograftversusbonepatellartendonboneandhamstringtendonautografts</t>
  </si>
  <si>
    <t>Mouarbes+anteriorcruciateligamentreconstruction:asystematicreviewandmetaanalysisofoutcomesforquadricepstendonautograftversusbonepatellartendonboneandhamstringtendonautografts+2019</t>
  </si>
  <si>
    <t>Outcomes of Anterior Cruciate Ligament Reconstruction in Females Using Patellar-Tendon-Bone versus Hamstring Autografts: A Systematic Review and Meta-Analysis</t>
  </si>
  <si>
    <t>Tan SHS, Lau BPH, Krishna L.</t>
  </si>
  <si>
    <t>10.1055/s-0038-1669916</t>
  </si>
  <si>
    <t>Tan</t>
  </si>
  <si>
    <t>outcomesofanteriorcruciateligamentreconstructioninfemalesusingpatellartendonboneversushamstringautografts:asystematicreviewandmetaanalysis</t>
  </si>
  <si>
    <t>Tan+outcomesofanteriorcruciateligamentreconstructioninfemalesusingpatellartendonboneversushamstringautografts:asystematicreviewandmetaanalysis+2019</t>
  </si>
  <si>
    <t>Quadriceps Tendon Autograft in Anterior Cruciate Ligament Reconstruction: A Systematic Review</t>
  </si>
  <si>
    <t>Hurley ET, Calvo-Gurry M, Withers D, Farrington SK, Moran R, Moran CJ.</t>
  </si>
  <si>
    <t>10.1016/j.arthro.2018.01.046</t>
  </si>
  <si>
    <t>quadricepstendonautograftinanteriorcruciateligamentreconstruction:asystematicreview</t>
  </si>
  <si>
    <t>Hurley+quadricepstendonautograftinanteriorcruciateligamentreconstruction:asystematicreview+2018</t>
  </si>
  <si>
    <t>Quadriceps Tendon Autograft for Primary Anterior Cruciate Ligament Reconstruction: A Systematic Review of Comparative Studies With Minimum 2-Year Follow-Up</t>
  </si>
  <si>
    <t>Belk JW, Kraeutler MJ, Marshall HA, Goodrich JA, McCarty EC.</t>
  </si>
  <si>
    <t>10.1016/j.arthro.2018.01.047</t>
  </si>
  <si>
    <t>quadricepstendonautograftforprimaryanteriorcruciateligamentreconstruction:asystematicreviewofcomparativestudieswithminimum2yearfollowup</t>
  </si>
  <si>
    <t>Belk+quadricepstendonautograftforprimaryanteriorcruciateligamentreconstruction:asystematicreviewofcomparativestudieswithminimum2yearfollowup+2018</t>
  </si>
  <si>
    <t>Knee Osteoarthritis After Anterior Cruciate Ligament Reconstruction With Bone-Patellar Tendon-Bone Versus Hamstring Tendon Autograft: A Systematic Review of Randomized Controlled Trials</t>
  </si>
  <si>
    <t>Belk JW, Kraeutler MJ, Carver TJ, McCarty EC.</t>
  </si>
  <si>
    <t>10.1016/j.arthro.2017.11.032</t>
  </si>
  <si>
    <t>kneeosteoarthritisafteranteriorcruciateligamentreconstructionwithbonepatellartendonboneversushamstringtendonautograft:asystematicreviewofrandomizedcontrolledtrials</t>
  </si>
  <si>
    <t>Belk+kneeosteoarthritisafteranteriorcruciateligamentreconstructionwithbonepatellartendonboneversushamstringtendonautograft:asystematicreviewofrandomizedcontrolledtrials+2018</t>
  </si>
  <si>
    <t>Long-Term Outcomes in Anterior Cruciate Ligament Reconstruction: A Systematic Review of Patellar Tendon Versus Hamstring Autografts</t>
  </si>
  <si>
    <t>Poehling-Monaghan KL, Salem H, Ross KE, Secrist E, Ciccotti MC, Tjoumakaris F, Ciccotti MG, Freedman KB.</t>
  </si>
  <si>
    <t>10.1177/2325967117709735</t>
  </si>
  <si>
    <t>Poehling-Monaghan</t>
  </si>
  <si>
    <t>longtermoutcomesinanteriorcruciateligamentreconstruction:asystematicreviewofpatellartendonversushamstringautografts</t>
  </si>
  <si>
    <t>Poehling-Monaghan+longtermoutcomesinanteriorcruciateligamentreconstruction:asystematicreviewofpatellartendonversushamstringautografts+2017</t>
  </si>
  <si>
    <t>Quadriceps Tendon-Bone or Patellar Tendon-Bone Autografts When Reconstructing the Anterior Cruciate Ligament: A Meta-analysis</t>
  </si>
  <si>
    <t>Riaz O, Aqil A, Mannan A, Hossain F, Ali M, Chakrabarty G, Radcliffe G.</t>
  </si>
  <si>
    <t>10.1097/JSM.0000000000000451</t>
  </si>
  <si>
    <t>Riaz</t>
  </si>
  <si>
    <t>quadricepstendonboneorpatellartendonboneautograftswhenreconstructingtheanteriorcruciateligament:ametaanalysis</t>
  </si>
  <si>
    <t>Riaz+quadricepstendonboneorpatellartendonboneautograftswhenreconstructingtheanteriorcruciateligament:ametaanalysis+2018</t>
  </si>
  <si>
    <t>Hamstring Autograft versus Patellar Tendon Autograft for ACL Reconstruction: Is There a Difference in Graft Failure Rate? A Meta-analysis of 47,613 Patients</t>
  </si>
  <si>
    <t>Samuelsen BT, Webster KE, Johnson NR, Hewett TE, Krych AJ.</t>
  </si>
  <si>
    <t>10.1007/s11999-017-5278-9</t>
  </si>
  <si>
    <t>Samuelsen</t>
  </si>
  <si>
    <t>hamstringautograftversuspatellartendonautograftforaclreconstruction:isthereadifferenceingraftfailurerate?ametaanalysisof47613patients</t>
  </si>
  <si>
    <t>Samuelsen+hamstringautograftversuspatellartendonautograftforaclreconstruction:isthereadifferenceingraftfailurerate?ametaanalysisof47613patients+2017</t>
  </si>
  <si>
    <t>Outcome of Patellar Tendon Versus 4-Strand Hamstring Tendon Autografts for Anterior Cruciate Ligament Reconstruction: A Systematic Review and Meta-analysis of Prospective Randomized Trials</t>
  </si>
  <si>
    <t>Chee MY, Chen Y, Pearce CJ, Murphy DP, Krishna L, Hui JH, Wang WE, Tai BC, Salunke AA, Chen X, Chua ZK, Satkunanantham K.</t>
  </si>
  <si>
    <t>10.1016/j.arthro.2016.09.020</t>
  </si>
  <si>
    <t>Chee</t>
  </si>
  <si>
    <t>outcomeofpatellartendonversus4strandhamstringtendonautograftsforanteriorcruciateligamentreconstruction:asystematicreviewandmetaanalysisofprospectiverandomizedtrials</t>
  </si>
  <si>
    <t>Chee+outcomeofpatellartendonversus4strandhamstringtendonautograftsforanteriorcruciateligamentreconstruction:asystematicreviewandmetaanalysisofprospectiverandomizedtrials+2017</t>
  </si>
  <si>
    <t>Credibility and quality of meta-analyses addressing graft choice in anterior cruciate ligament reconstruction: a systematic review</t>
  </si>
  <si>
    <t>Kurz A, Evaniew N, Yeung M, Samuelsson K, Peterson D, Ayeni OR.</t>
  </si>
  <si>
    <t>10.1007/s00167-016-4282-z</t>
  </si>
  <si>
    <t>Kurz</t>
  </si>
  <si>
    <t>credibilityandqualityofmetaanalysesaddressinggraftchoiceinanteriorcruciateligamentreconstruction:asystematicreview</t>
  </si>
  <si>
    <t>Kurz+credibilityandqualityofmetaanalysesaddressinggraftchoiceinanteriorcruciateligamentreconstruction:asystematicreview+2017</t>
  </si>
  <si>
    <t>Bioabsorbable versus metallic interference screws for graft fixation in anterior cruciate ligament reconstruction</t>
  </si>
  <si>
    <t>Debieux P, Franciozi CE, Lenza M, Tamaoki MJ, Magnussen RA, Faloppa F, Belloti JC.</t>
  </si>
  <si>
    <t>10.1002/14651858.CD009772.pub2</t>
  </si>
  <si>
    <t>Debieux</t>
  </si>
  <si>
    <t>bioabsorbableversusmetallicinterferencescrewsforgraftfixationinanteriorcruciateligamentreconstruction</t>
  </si>
  <si>
    <t>Debieux+bioabsorbableversusmetallicinterferencescrewsforgraftfixationinanteriorcruciateligamentreconstruction+2016</t>
  </si>
  <si>
    <t>Comparison of Graft Failure Rate Between Autografts Placed via an Anatomic Anterior Cruciate Ligament Reconstruction Technique: A Systematic Review, Meta-analysis, and Meta-regression</t>
  </si>
  <si>
    <t>Gabler CM, Jacobs CA, Howard JS, Mattacola CG, Johnson DL.</t>
  </si>
  <si>
    <t>10.1177/0363546515584043</t>
  </si>
  <si>
    <t>Gabler</t>
  </si>
  <si>
    <t>comparisonofgraftfailureratebetweenautograftsplacedviaananatomicanteriorcruciateligamentreconstructiontechnique:asystematicreviewmetaanalysisandmetaregression</t>
  </si>
  <si>
    <t>Gabler+comparisonofgraftfailureratebetweenautograftsplacedviaananatomicanteriorcruciateligamentreconstructiontechnique:asystematicreviewmetaanalysisandmetaregression+2016</t>
  </si>
  <si>
    <t>Functional Outcome and Graft Retention in Patients With Septic Arthritis After Anterior Cruciate Ligament Reconstruction: A Systematic Review</t>
  </si>
  <si>
    <t>Makhni EC, Steinhaus ME, Mehran N, Schulz BS, Ahmad CS.</t>
  </si>
  <si>
    <t>10.1016/j.arthro.2014.12.026</t>
  </si>
  <si>
    <t>Makhni</t>
  </si>
  <si>
    <t>functionaloutcomeandgraftretentioninpatientswithsepticarthritisafteranteriorcruciateligamentreconstruction:asystematicreview</t>
  </si>
  <si>
    <t>Makhni+functionaloutcomeandgraftretentioninpatientswithsepticarthritisafteranteriorcruciateligamentreconstruction:asystematicreview+2015</t>
  </si>
  <si>
    <t>ACL Graft and Contralateral ACL Tear Risk within Ten Years Following Reconstruction: A Systematic Review</t>
  </si>
  <si>
    <t>Magnussen RA, Meschbach NT, Kaeding CC, Wright RW, Spindler KP.</t>
  </si>
  <si>
    <t>10.2106/JBJS.RVW.N.00052</t>
  </si>
  <si>
    <t>Magnussen</t>
  </si>
  <si>
    <t>aclgraftandcontralateralacltearriskwithintenyearsfollowingreconstruction:asystematicreview</t>
  </si>
  <si>
    <t>Magnussen+aclgraftandcontralateralacltearriskwithintenyearsfollowingreconstruction:asystematicreview+2015</t>
  </si>
  <si>
    <t>A meta-analysis of bone-patellar tendon-bone autograft versus four-strand hamstring tendon autograft for anterior cruciate ligament reconstruction</t>
  </si>
  <si>
    <t>Xie X, Liu X, Chen Z, Yu Y, Peng S, Li Q.</t>
  </si>
  <si>
    <t>10.1016/j.knee.2014.11.014</t>
  </si>
  <si>
    <t>Xie</t>
  </si>
  <si>
    <t>ametaanalysisofbonepatellartendonboneautograftversusfourstrandhamstringtendonautograftforanteriorcruciateligamentreconstruction</t>
  </si>
  <si>
    <t>Xie+ametaanalysisofbonepatellartendonboneautograftversusfourstrandhamstringtendonautograftforanteriorcruciateligamentreconstruction+2015</t>
  </si>
  <si>
    <t>Quadriceps tendon autograft for anterior cruciate ligament reconstruction: a comprehensive review of current literature and systematic review of clinical results</t>
  </si>
  <si>
    <t>Slone HS, Romine SE, Premkumar A, Xerogeanes JW.</t>
  </si>
  <si>
    <t>10.1016/j.arthro.2014.11.010</t>
  </si>
  <si>
    <t>Slone</t>
  </si>
  <si>
    <t>quadricepstendonautograftforanteriorcruciateligamentreconstruction:acomprehensivereviewofcurrentliteratureandsystematicreviewofclinicalresults</t>
  </si>
  <si>
    <t>Slone+quadricepstendonautograftforanteriorcruciateligamentreconstruction:acomprehensivereviewofcurrentliteratureandsystematicreviewofclinicalresults+2015</t>
  </si>
  <si>
    <t>Fixation techniques for the anterior cruciate ligament reconstruction: early follow-up. A systematic review of level I and II therapeutic studies</t>
  </si>
  <si>
    <t>Speziali A, Delcogliano M, Tei M, Placella G, Bartoli M, Menghi A, Cerulli G.</t>
  </si>
  <si>
    <t>Musculoskelet Surg</t>
  </si>
  <si>
    <t>10.1007/s12306-014-0338-8</t>
  </si>
  <si>
    <t>Speziali</t>
  </si>
  <si>
    <t>fixationtechniquesfortheanteriorcruciateligamentreconstruction:earlyfollowupasystematicreviewofleveliandiitherapeuticstudies</t>
  </si>
  <si>
    <t>Speziali+fixationtechniquesfortheanteriorcruciateligamentreconstruction:earlyfollowupasystematicreviewofleveliandiitherapeuticstudies+2014</t>
  </si>
  <si>
    <t>Increased incidence of osteoarthritis of knee joint after ACL reconstruction with bone-patellar tendon-bone autografts than hamstring autografts: a meta-analysis of 1,443 patients at a minimum of 5 years</t>
  </si>
  <si>
    <t>Xie X, Xiao Z, Li Q, Zhu B, Chen J, Chen H, Yang F, Chen Y, Lai Q, Liu X.</t>
  </si>
  <si>
    <t>10.1007/s00590-014-1459-3</t>
  </si>
  <si>
    <t>increasedincidenceofosteoarthritisofkneejointafteraclreconstructionwithbonepatellartendonboneautograftsthanhamstringautografts:ametaanalysisof1443patientsataminimumof5years</t>
  </si>
  <si>
    <t>Xie+increasedincidenceofosteoarthritisofkneejointafteraclreconstructionwithbonepatellartendonboneautograftsthanhamstringautografts:ametaanalysisof1443patientsataminimumof5years+2015</t>
  </si>
  <si>
    <t>Patellar tendon versus hamstring tendon autograft for anterior cruciate ligament rupture in adults</t>
  </si>
  <si>
    <t>Mohtadi NG, Chan DS, Dainty KN, Whelan DB.</t>
  </si>
  <si>
    <t>10.1002/14651858.CD005960.pub2</t>
  </si>
  <si>
    <t>patellartendonversushamstringtendonautograftforanteriorcruciateligamentruptureinadults</t>
  </si>
  <si>
    <t>Mohtadi+patellartendonversushamstringtendonautograftforanteriorcruciateligamentruptureinadults+2011</t>
  </si>
  <si>
    <t>Outcomes and risks of operative treatment of rupture of the anterior cruciate ligament in children and adolescents</t>
  </si>
  <si>
    <t>Frosch KH, Stengel D, Brodhun T, Stietencron I, Holsten D, Jung C, Reister D, Voigt C, Niemeyer P, Maier M, Hertel P, Jagodzinski M, Lill H.</t>
  </si>
  <si>
    <t>10.1016/j.arthro.2010.04.077</t>
  </si>
  <si>
    <t>Frosch</t>
  </si>
  <si>
    <t>outcomesandrisksofoperativetreatmentofruptureoftheanteriorcruciateligamentinchildrenandadolescents</t>
  </si>
  <si>
    <t>Frosch+outcomesandrisksofoperativetreatmentofruptureoftheanteriorcruciateligamentinchildrenandadolescents+2010</t>
  </si>
  <si>
    <t>Does autograft choice determine intermediate-term outcome of ACL reconstruction?</t>
  </si>
  <si>
    <t>Magnussen RA, Carey JL, Spindler KP.</t>
  </si>
  <si>
    <t>10.1007/s00167-010-1277-z</t>
  </si>
  <si>
    <t>doesautograftchoicedetermineintermediatetermoutcomeofaclreconstruction?</t>
  </si>
  <si>
    <t>Magnussen+doesautograftchoicedetermineintermediatetermoutcomeofaclreconstruction?+2011</t>
  </si>
  <si>
    <t>A meta-analysis of hamstring autografts versus bone-patellar tendon-bone autografts for reconstruction of the anterior cruciate ligament</t>
  </si>
  <si>
    <t>Li S, Su W, Zhao J, Xu Y, Bo Z, Ding X, Wei Q.</t>
  </si>
  <si>
    <t>10.1016/j.knee.2010.08.002</t>
  </si>
  <si>
    <t>ametaanalysisofhamstringautograftsversusbonepatellartendonboneautograftsforreconstructionoftheanteriorcruciateligament</t>
  </si>
  <si>
    <t>Li+ametaanalysisofhamstringautograftsversusbonepatellartendonboneautograftsforreconstructionoftheanteriorcruciateligament+2011</t>
  </si>
  <si>
    <t>Osseous deficits after anterior cruciate ligament injury and reconstruction: a systematic literature review with suggestions to improve osseous homeostasis</t>
  </si>
  <si>
    <t>Nyland J, Fisher B, Brand E, Krupp R, Caborn DN.</t>
  </si>
  <si>
    <t>10.1016/j.arthro.2010.03.017</t>
  </si>
  <si>
    <t>Nyland</t>
  </si>
  <si>
    <t>osseousdeficitsafteranteriorcruciateligamentinjuryandreconstruction:asystematicliteraturereviewwithsuggestionstoimproveosseoushomeostasis</t>
  </si>
  <si>
    <t>Nyland+osseousdeficitsafteranteriorcruciateligamentinjuryandreconstruction:asystematicliteraturereviewwithsuggestionstoimproveosseoushomeostasis+2010</t>
  </si>
  <si>
    <t>Patellar tendon versus hamstring tendon autografts for reconstructing the anterior cruciate ligament: a meta-analysis based on individual patient data</t>
  </si>
  <si>
    <t>Biau DJ, Katsahian S, Kartus J, Harilainen A, Feller JA, Sajovic M, Ejerhed L, Zaffagnini S, Röpke M, Nizard R.</t>
  </si>
  <si>
    <t>10.1177/0363546509333006</t>
  </si>
  <si>
    <t>Biau</t>
  </si>
  <si>
    <t>patellartendonversushamstringtendonautograftsforreconstructingtheanteriorcruciateligament:ametaanalysisbasedonindividualpatientdata</t>
  </si>
  <si>
    <t>Biau+patellartendonversushamstringtendonautograftsforreconstructingtheanteriorcruciateligament:ametaanalysisbasedonindividualpatientdata+2009</t>
  </si>
  <si>
    <t>Intra-tunnel fixation versus extra-tunnel fixation of hamstring anterior cruciate ligament reconstruction: a meta-analysis</t>
  </si>
  <si>
    <t>Ilahi OA, Nolla JM, Ho DM.</t>
  </si>
  <si>
    <t>10.1055/s-0030-1247736</t>
  </si>
  <si>
    <t>Ilahi</t>
  </si>
  <si>
    <t>intratunnelfixationversusextratunnelfixationofhamstringanteriorcruciateligamentreconstruction:ametaanalysis</t>
  </si>
  <si>
    <t>Ilahi+intratunnelfixationversusextratunnelfixationofhamstringanteriorcruciateligamentreconstruction:ametaanalysis+2009</t>
  </si>
  <si>
    <t>Systematic review of single-bundle anterior cruciate ligament reconstruction outcomes: a baseline assessment for consideration of double-bundle techniques</t>
  </si>
  <si>
    <t>Lewis PB, Parameswaran AD, Rue JP, Bach BR Jr.</t>
  </si>
  <si>
    <t>10.1177/0363546508322892</t>
  </si>
  <si>
    <t>Lewis</t>
  </si>
  <si>
    <t>systematicreviewofsinglebundleanteriorcruciateligamentreconstructionoutcomes:abaselineassessmentforconsiderationofdoublebundletechniques</t>
  </si>
  <si>
    <t>Lewis+systematicreviewofsinglebundleanteriorcruciateligamentreconstructionoutcomes:abaselineassessmentforconsiderationofdoublebundletechniques+2008</t>
  </si>
  <si>
    <t>A meta-analysis of stability of autografts compared to allografts after anterior cruciate ligament reconstruction</t>
  </si>
  <si>
    <t>Prodromos C, Joyce B, Shi K.</t>
  </si>
  <si>
    <t>10.1007/s00167-007-0328-6</t>
  </si>
  <si>
    <t>Prodromos</t>
  </si>
  <si>
    <t>ametaanalysisofstabilityofautograftscomparedtoallograftsafteranteriorcruciateligamentreconstruction</t>
  </si>
  <si>
    <t>Prodromos+ametaanalysisofstabilityofautograftscomparedtoallograftsafteranteriorcruciateligamentreconstruction+2007</t>
  </si>
  <si>
    <t>Bone-patellar tendon-bone autografts versus hamstring autografts for reconstruction of anterior cruciate ligament: meta-analysis</t>
  </si>
  <si>
    <t>Biau DJ, Tournoux C, Katsahian S, Schranz PJ, Nizard RS.</t>
  </si>
  <si>
    <t>BMJ</t>
  </si>
  <si>
    <t>10.1136/bmj.38784.384109.2F</t>
  </si>
  <si>
    <t>bonepatellartendonboneautograftsversushamstringautograftsforreconstructionofanteriorcruciateligament:metaanalysis</t>
  </si>
  <si>
    <t>Biau+bonepatellartendonboneautograftsversushamstringautograftsforreconstructionofanteriorcruciateligament:metaanalysis+2006</t>
  </si>
  <si>
    <t>A meta-analysis of stability after anterior cruciate ligament reconstruction as a function of hamstring versus patellar tendon graft and fixation type</t>
  </si>
  <si>
    <t>Prodromos CC, Joyce BT, Shi K, Keller BL.</t>
  </si>
  <si>
    <t>10.1016/j.arthro.2005.08.036</t>
  </si>
  <si>
    <t>ametaanalysisofstabilityafteranteriorcruciateligamentreconstructionasafunctionofhamstringversuspatellartendongraftandfixationtype</t>
  </si>
  <si>
    <t>Prodromos+ametaanalysisofstabilityafteranteriorcruciateligamentreconstructionasafunctionofhamstringversuspatellartendongraftandfixationtype+2005</t>
  </si>
  <si>
    <t>Reconstruction of the anterior cruciate ligament: meta-analysis of patellar tendon versus hamstring tendon autograft</t>
  </si>
  <si>
    <t>Goldblatt JP, Fitzsimmons SE, Balk E, Richmond JC.</t>
  </si>
  <si>
    <t>10.1016/j.arthro.2005.04.107</t>
  </si>
  <si>
    <t>Goldblatt</t>
  </si>
  <si>
    <t>reconstructionoftheanteriorcruciateligament:metaanalysisofpatellartendonversushamstringtendonautograft</t>
  </si>
  <si>
    <t>Goldblatt+reconstructionoftheanteriorcruciateligament:metaanalysisofpatellartendonversushamstringtendonautograft+2005</t>
  </si>
  <si>
    <t>Patellar tendon or four-strand hamstring? A systematic review of autografts for anterior cruciate ligament reconstruction</t>
  </si>
  <si>
    <t>Forster MC, Forster IW.</t>
  </si>
  <si>
    <t>10.1016/j.knee.2004.06.008</t>
  </si>
  <si>
    <t>Forster</t>
  </si>
  <si>
    <t>patellartendonorfourstrandhamstring?asystematicreviewofautograftsforanteriorcruciateligamentreconstruction</t>
  </si>
  <si>
    <t>Forster+patellartendonorfourstrandhamstring?asystematicreviewofautograftsforanteriorcruciateligamentreconstruction+2005</t>
  </si>
  <si>
    <t>Anterior cruciate ligament reconstruction autograft choice: bone-tendon-bone versus hamstring: does it really matter? A systematic review</t>
  </si>
  <si>
    <t>Spindler KP, Kuhn JE, Freedman KB, Matthews CE, Dittus RS, Harrell FE Jr.</t>
  </si>
  <si>
    <t>10.1177/0363546504271211</t>
  </si>
  <si>
    <t>Spindler</t>
  </si>
  <si>
    <t>anteriorcruciateligamentreconstructionautograftchoice:bonetendonboneversushamstring:doesitreallymatter?asystematicreview</t>
  </si>
  <si>
    <t>Spindler+anteriorcruciateligamentreconstructionautograftchoice:bonetendonboneversushamstring:doesitreallymatter?asystematicreview+2004</t>
  </si>
  <si>
    <t>Anterior cruciate ligament reconstruction using semitendinosus and gracilis tendons, bone patellar tendon, or quadriceps tendon-graft with press-fit fixation without hardware. A new and innovative procedure</t>
  </si>
  <si>
    <t>Paessler HH, Mastrokalos DS.</t>
  </si>
  <si>
    <t>10.1016/s0030-5898(02)00070-6</t>
  </si>
  <si>
    <t>Paessler</t>
  </si>
  <si>
    <t>anteriorcruciateligamentreconstructionusingsemitendinosusandgracilistendonsbonepatellartendonorquadricepstendongraftwithpressfitfixationwithouthardwareanewandinnovativeprocedure</t>
  </si>
  <si>
    <t>Paessler+anteriorcruciateligamentreconstructionusingsemitendinosusandgracilistendonsbonepatellartendonorquadricepstendongraftwithpressfitfixationwithouthardwareanewandinnovativeprocedure+2003</t>
  </si>
  <si>
    <t>Arthroscopic anterior cruciate ligament reconstruction: a metaanalysis comparing patellar tendon and hamstring tendon autografts</t>
  </si>
  <si>
    <t>Freedman KB, D'Amato MJ, Nedeff DD, Kaz A, Bach BR Jr.</t>
  </si>
  <si>
    <t>10.1177/03635465030310011501</t>
  </si>
  <si>
    <t>Freedman</t>
  </si>
  <si>
    <t>arthroscopicanteriorcruciateligamentreconstruction:ametaanalysiscomparingpatellartendonandhamstringtendonautografts</t>
  </si>
  <si>
    <t>Freedman+arthroscopicanteriorcruciateligamentreconstruction:ametaanalysiscomparingpatellartendonandhamstringtendonautografts+2003</t>
  </si>
  <si>
    <t>Tensioning of the anterior cruciate ligament graft</t>
  </si>
  <si>
    <t>Heis FT, Paulos LE.</t>
  </si>
  <si>
    <t>10.1016/s0030-5898(02)00014-7</t>
  </si>
  <si>
    <t>Heis</t>
  </si>
  <si>
    <t>tensioningoftheanteriorcruciateligamentgraft</t>
  </si>
  <si>
    <t>Heis+tensioningoftheanteriorcruciateligamentgraft+2002</t>
  </si>
  <si>
    <t>Neuromuscular rehabilitation of a female Olympic ice hockey player following anterior cruciate ligament reconstruction</t>
  </si>
  <si>
    <t>Tyler TF, McHugh MP.</t>
  </si>
  <si>
    <t>10.2519/jospt.2001.31.10.577</t>
  </si>
  <si>
    <t>neuromuscularrehabilitationofafemaleolympicicehockeyplayerfollowinganteriorcruciateligamentreconstruction</t>
  </si>
  <si>
    <t>Tyler+neuromuscularrehabilitationofafemaleolympicicehockeyplayerfollowinganteriorcruciateligamentreconstruction+2001</t>
  </si>
  <si>
    <t>Anterior cruciate ligament reconstruction using quadriceps patellar tendon graft. Part II. A specific sport review</t>
  </si>
  <si>
    <t>Kaplan MJ, Howe JG, Fleming B, Johnson RJ, Jarvinen M.</t>
  </si>
  <si>
    <t>10.1177/036354659101900506</t>
  </si>
  <si>
    <t>Kaplan</t>
  </si>
  <si>
    <t>anteriorcruciateligamentreconstructionusingquadricepspatellartendongraftpartiiaspecificsportreview</t>
  </si>
  <si>
    <t>Kaplan+anteriorcruciateligamentreconstructionusingquadricepspatellartendongraftpartiiaspecificsportreview+1991</t>
  </si>
  <si>
    <t>Anterior cruciate ligament reconstruction using quadriceps patellar tendon graft. Part I. Long-term followup</t>
  </si>
  <si>
    <t>Howe JG, Johnson RJ, Kaplan MJ, Fleming B, Jarvinen M.</t>
  </si>
  <si>
    <t>10.1177/036354659101900505</t>
  </si>
  <si>
    <t>Howe</t>
  </si>
  <si>
    <t>anteriorcruciateligamentreconstructionusingquadricepspatellartendongraftpartilongtermfollowup</t>
  </si>
  <si>
    <t>Howe+anteriorcruciateligamentreconstructionusingquadricepspatellartendongraftpartilongtermfollowup+1991</t>
  </si>
  <si>
    <t>Strengthening exercises improve knee muscle strength and performance but not pain in ACL-reconstructed individuals: A systematic review and meta-analysis of randomised controlled trials</t>
  </si>
  <si>
    <t>Bafrouei MJ, Khorramroo F, Minoonejad H, Mousavi SH.</t>
  </si>
  <si>
    <t>10.1002/jeo2.70576</t>
  </si>
  <si>
    <t>Bafrouei</t>
  </si>
  <si>
    <t>strengtheningexercisesimprovekneemusclestrengthandperformancebutnotpaininaclreconstructedindividuals:asystematicreviewandmetaanalysisofrandomisedcontrolledtrials</t>
  </si>
  <si>
    <t>Bafrouei+strengtheningexercisesimprovekneemusclestrengthandperformancebutnotpaininaclreconstructedindividuals:asystematicreviewandmetaanalysisofrandomisedcontrolledtrials+2025</t>
  </si>
  <si>
    <t>Superior long-term stability and function associated with femoral cortical button versus interference screw fixation in ACL reconstruction: A systematic review and meta-analysis</t>
  </si>
  <si>
    <t>Elias J, Kaplan M, Bickford M, Oliver T, Shah K, Ford E, McMillan S.</t>
  </si>
  <si>
    <t>10.1002/jeo2.70439</t>
  </si>
  <si>
    <t>Elias</t>
  </si>
  <si>
    <t>superiorlongtermstabilityandfunctionassociatedwithfemoralcorticalbuttonversusinterferencescrewfixationinaclreconstruction:asystematicreviewandmetaanalysis</t>
  </si>
  <si>
    <t>Elias+superiorlongtermstabilityandfunctionassociatedwithfemoralcorticalbuttonversusinterferencescrewfixationinaclreconstruction:asystematicreviewandmetaanalysis+2025</t>
  </si>
  <si>
    <t>Peroneus Longus Tendon Versus Hamstring Tendon Autograft for Primary Anterior Cruciate Ligament Reconstruction: A Systematic Review and Meta-analysis of Comparative Studies</t>
  </si>
  <si>
    <t>Kumar K, Rao V, Panda AK, Joshi D.</t>
  </si>
  <si>
    <t>10.1177/23259671251374313</t>
  </si>
  <si>
    <t>peroneuslongustendonversushamstringtendonautograftforprimaryanteriorcruciateligamentreconstruction:asystematicreviewandmetaanalysisofcomparativestudies</t>
  </si>
  <si>
    <t>Kumar+peroneuslongustendonversushamstringtendonautograftforprimaryanteriorcruciateligamentreconstruction:asystematicreviewandmetaanalysisofcomparativestudies+2025</t>
  </si>
  <si>
    <t>Lateral Extra-articular Procedures With Anterior Cruciate Ligament Reconstruction: International Consensus</t>
  </si>
  <si>
    <t>Saithna A, Geeslin AG, Sonnery-Cottet B.</t>
  </si>
  <si>
    <t>10.1016/j.arthro.2025.06.011</t>
  </si>
  <si>
    <t>lateralextraarticularprocedureswithanteriorcruciateligamentreconstruction:internationalconsensus</t>
  </si>
  <si>
    <t>Saithna+lateralextraarticularprocedureswithanteriorcruciateligamentreconstruction:internationalconsensus+2025</t>
  </si>
  <si>
    <t>Can peroneus longus tendon autograft become an alternative to hamstring tendon autograft for anterior cruciate ligament reconstruction: a systematic review and meta-analysis of comparative studies</t>
  </si>
  <si>
    <t>Opoku M, Abdramane AM, Abdirahman A, Fang M, Li Y, Xiao W.</t>
  </si>
  <si>
    <t>10.1186/s13018-025-06080-9</t>
  </si>
  <si>
    <t>Opoku</t>
  </si>
  <si>
    <t>canperoneuslongustendonautograftbecomeanalternativetohamstringtendonautograftforanteriorcruciateligamentreconstruction:asystematicreviewandmetaanalysisofcomparativestudies</t>
  </si>
  <si>
    <t>Opoku+canperoneuslongustendonautograftbecomeanalternativetohamstringtendonautograftforanteriorcruciateligamentreconstruction:asystematicreviewandmetaanalysisofcomparativestudies+2025</t>
  </si>
  <si>
    <t>4-Strand hamstring versus single-bundle quadriceps tendon grafts in anterior cruciate ligament reconstruction at 2 years: A systematic review and meta-analysis of randomised controlled trials</t>
  </si>
  <si>
    <t>Elias J, Kaplan M, Shah K, Bickford M, McNamara C, Ford E, McMillan S.</t>
  </si>
  <si>
    <t>10.1002/jeo2.70244</t>
  </si>
  <si>
    <t>4strandhamstringversussinglebundlequadricepstendongraftsinanteriorcruciateligamentreconstructionat2years:asystematicreviewandmetaanalysisofrandomisedcontrolledtrials</t>
  </si>
  <si>
    <t>Elias+4strandhamstringversussinglebundlequadricepstendongraftsinanteriorcruciateligamentreconstructionat2years:asystematicreviewandmetaanalysisofrandomisedcontrolledtrials+2025</t>
  </si>
  <si>
    <t>Anterior Cruciate Ligament Reconstruction Using Lateral Extra-Articular Procedures: A Systematic Review</t>
  </si>
  <si>
    <t>Migliorini F, Lucenti L, Mok YR, Bardazzi T, D'Ambrosi R, De Carli A, Paolicelli D, Maffulli N.</t>
  </si>
  <si>
    <t>10.3390/medicina61020294</t>
  </si>
  <si>
    <t>anteriorcruciateligamentreconstructionusinglateralextraarticularprocedures:asystematicreview</t>
  </si>
  <si>
    <t>Migliorini+anteriorcruciateligamentreconstructionusinglateralextraarticularprocedures:asystematicreview+2025</t>
  </si>
  <si>
    <t>Return to sports after anterior cruciate ligament surgery with hamstring or patella tendon autograft - a systematic review</t>
  </si>
  <si>
    <t>Bouju S, Lauritzen JB, Journé A, Jørgensen HL.</t>
  </si>
  <si>
    <t>Dan Med J</t>
  </si>
  <si>
    <t>10.61409/A09230599</t>
  </si>
  <si>
    <t>Bouju</t>
  </si>
  <si>
    <t>returntosportsafteranteriorcruciateligamentsurgerywithhamstringorpatellatendonautograftasystematicreview</t>
  </si>
  <si>
    <t>Bouju+returntosportsafteranteriorcruciateligamentsurgerywithhamstringorpatellatendonautograftasystematicreview+2024</t>
  </si>
  <si>
    <t>Comparative effectiveness of peroneus longus tendon (PLT) autografts versus hamstring tendon (HT) autografts in anterior cruciate ligament reconstruction: a comprehensive systematic review and meta analysis</t>
  </si>
  <si>
    <t>Park JY, Fernandes A, Park SY, Lim H, Sayudo IF, Leibovitch L, Machinski E, Ha J.</t>
  </si>
  <si>
    <t>10.1007/s00590-024-03984-w</t>
  </si>
  <si>
    <t>Park</t>
  </si>
  <si>
    <t>comparativeeffectivenessofperoneuslongustendon(plt)autograftsversushamstringtendon(ht)autograftsinanteriorcruciateligamentreconstruction:acomprehensivesystematicreviewandmetaanalysis</t>
  </si>
  <si>
    <t>Park+comparativeeffectivenessofperoneuslongustendon(plt)autograftsversushamstringtendon(ht)autograftsinanteriorcruciateligamentreconstruction:acomprehensivesystematicreviewandmetaanalysis+2024</t>
  </si>
  <si>
    <t>Efficacy on knee function of Kinesio taping among individuals with anterior cruciate ligament reconstruction: A systematic review</t>
  </si>
  <si>
    <t>Chen P, Wang L, Zhou W, Wang L.</t>
  </si>
  <si>
    <t>10.1371/journal.pone.0299008</t>
  </si>
  <si>
    <t>efficacyonkneefunctionofkinesiotapingamongindividualswithanteriorcruciateligamentreconstruction:asystematicreview</t>
  </si>
  <si>
    <t>Chen+efficacyonkneefunctionofkinesiotapingamongindividualswithanteriorcruciateligamentreconstruction:asystematicreview+2024</t>
  </si>
  <si>
    <t>Peroneus Longus Tendon Autograft May Present a Viable Alternative for Anterior Cruciate Ligament Reconstruction: A Systematic Review</t>
  </si>
  <si>
    <t>Quinn M, Byrne RA, Albright JA, Testa E, Ahn B, Lemme N, Petit L, Blankenhorn B, Owens BD.</t>
  </si>
  <si>
    <t>10.1016/j.arthro.2023.10.016</t>
  </si>
  <si>
    <t>Quinn</t>
  </si>
  <si>
    <t>peroneuslongustendonautograftmaypresentaviablealternativeforanteriorcruciateligamentreconstruction:asystematicreview</t>
  </si>
  <si>
    <t>Quinn+peroneuslongustendonautograftmaypresentaviablealternativeforanteriorcruciateligamentreconstruction:asystematicreview+2024</t>
  </si>
  <si>
    <t>Contralateral grafts have comparable efficacy to ipsilateral grafts in anterior cruciate ligament reconstructions: a systematic review</t>
  </si>
  <si>
    <t>10.1186/s13018-023-04082-z</t>
  </si>
  <si>
    <t>contralateralgraftshavecomparableefficacytoipsilateralgraftsinanteriorcruciateligamentreconstructions:asystematicreview</t>
  </si>
  <si>
    <t>Fan+contralateralgraftshavecomparableefficacytoipsilateralgraftsinanteriorcruciateligamentreconstructions:asystematicreview+2023</t>
  </si>
  <si>
    <t>GRAFTS FOR ANTERIOR CRUCIATE LIGAMENT RECONSTRUCTION: SYSTEMATIC REVIEW AND META-ANALYSIS</t>
  </si>
  <si>
    <t>Andrez TN, Chagas JBM, D'Oliveira LB.</t>
  </si>
  <si>
    <t>Acta Ortop Bras</t>
  </si>
  <si>
    <t>10.1590/1413-785220223006e256048</t>
  </si>
  <si>
    <t>Andrez</t>
  </si>
  <si>
    <t>graftsforanteriorcruciateligamentreconstruction:systematicreviewandmetaanalysis</t>
  </si>
  <si>
    <t>Andrez+graftsforanteriorcruciateligamentreconstruction:systematicreviewandmetaanalysis+2022</t>
  </si>
  <si>
    <t>Both low and high knee flexion angles during tibial graft fixation yield comparable outcomes following ACL reconstruction with quadriceps tendon autograft: A systematic review</t>
  </si>
  <si>
    <t>Abdel Khalik H, Lameire DL, Kay J, Tapasvi SR, Samuelsson K, de Sa D.</t>
  </si>
  <si>
    <t>10.1016/j.jisako.2022.01.003</t>
  </si>
  <si>
    <t>Abdel</t>
  </si>
  <si>
    <t>bothlowandhighkneeflexionanglesduringtibialgraftfixationyieldcomparableoutcomesfollowingaclreconstructionwithquadricepstendonautograft:asystematicreview</t>
  </si>
  <si>
    <t>Abdel+bothlowandhighkneeflexionanglesduringtibialgraftfixationyieldcomparableoutcomesfollowingaclreconstructionwithquadricepstendonautograft:asystematicreview+2022</t>
  </si>
  <si>
    <t>Paediatric Anterior Cruciate Ligament (ACL) Injuries: Current Concepts Review</t>
  </si>
  <si>
    <t>Dhillon MS, Rangasamy K, Rajnish RK, Gopinathan NR.</t>
  </si>
  <si>
    <t>10.1007/s43465-022-00611-w</t>
  </si>
  <si>
    <t>Dhillon</t>
  </si>
  <si>
    <t>paediatricanteriorcruciateligament(acl)injuries:currentconceptsreview</t>
  </si>
  <si>
    <t>Dhillon+paediatricanteriorcruciateligament(acl)injuries:currentconceptsreview+2022</t>
  </si>
  <si>
    <t>Single-stage repair of displaced bucket-handle meniscal tears with anterior cruciate ligament reconstruction leads to good meniscal survivorship : a retrospective cohort study</t>
  </si>
  <si>
    <t>Robinson JR, Bruce D, Davies H, Porteous AJ, Murray JRD, Howells NR.</t>
  </si>
  <si>
    <t>10.1302/0301-620X.104B6.BJJ-2021-1340.R2</t>
  </si>
  <si>
    <t>Robinson</t>
  </si>
  <si>
    <t>singlestagerepairofdisplacedbuckethandlemeniscaltearswithanteriorcruciateligamentreconstructionleadstogoodmeniscalsurvivorship:aretrospectivecohortstudy</t>
  </si>
  <si>
    <t>Robinson+singlestagerepairofdisplacedbuckethandlemeniscaltearswithanteriorcruciateligamentreconstructionleadstogoodmeniscalsurvivorship:aretrospectivecohortstudy+2022</t>
  </si>
  <si>
    <t>Quadriceps tendon has a lower re-rupture rate than hamstring tendon autograft for anterior cruciate ligament reconstruction - A meta-analysis</t>
  </si>
  <si>
    <t>Hurley ET, Mojica ES, Kanakamedala AC, Meislin RJ, Strauss EJ, Campbell KA, Alaia MJ.</t>
  </si>
  <si>
    <t>10.1016/j.jisako.2021.10.001</t>
  </si>
  <si>
    <t>quadricepstendonhasalowerreruptureratethanhamstringtendonautograftforanteriorcruciateligamentreconstructionametaanalysis</t>
  </si>
  <si>
    <t>Hurley+quadricepstendonhasalowerreruptureratethanhamstringtendonautograftforanteriorcruciateligamentreconstructionametaanalysis+2022</t>
  </si>
  <si>
    <t>Age, time from injury to surgery and hop performance after primary ACLR affect the risk of contralateral ACLR</t>
  </si>
  <si>
    <t>Cristiani R, Forssblad M, Edman G, Eriksson K, Stålman A.</t>
  </si>
  <si>
    <t>10.1007/s00167-021-06759-6</t>
  </si>
  <si>
    <t>Cristiani</t>
  </si>
  <si>
    <t>agetimefrominjurytosurgeryandhopperformanceafterprimaryaclraffecttheriskofcontralateralaclr</t>
  </si>
  <si>
    <t>Cristiani+agetimefrominjurytosurgeryandhopperformanceafterprimaryaclraffecttheriskofcontralateralaclr+2022</t>
  </si>
  <si>
    <t>Quadriceps Tendon Versus Hamstring Tendon Autografts for Anterior Cruciate Ligament Reconstruction: A Systematic Review and Meta-analysis</t>
  </si>
  <si>
    <t>Tan TK, Subramaniam AG, Ebert JR, Radic R.</t>
  </si>
  <si>
    <t>10.1177/03635465211033995</t>
  </si>
  <si>
    <t>quadricepstendonversushamstringtendonautograftsforanteriorcruciateligamentreconstruction:asystematicreviewandmetaanalysis</t>
  </si>
  <si>
    <t>Tan+quadricepstendonversushamstringtendonautograftsforanteriorcruciateligamentreconstruction:asystematicreviewandmetaanalysis+2022</t>
  </si>
  <si>
    <t>Peroneus longus tendon autograft has functional outcomes comparable to hamstring tendon autograft for anterior cruciate ligament reconstruction: a systematic review and meta-analysis</t>
  </si>
  <si>
    <t>He J, Tang Q, Ernst S, Linde MA, Smolinski P, Wu S, Fu F.</t>
  </si>
  <si>
    <t>10.1007/s00167-020-06279-9</t>
  </si>
  <si>
    <t>peroneuslongustendonautografthasfunctionaloutcomescomparabletohamstringtendonautograftforanteriorcruciateligamentreconstruction:asystematicreviewandmetaanalysis</t>
  </si>
  <si>
    <t>He+peroneuslongustendonautografthasfunctionaloutcomescomparabletohamstringtendonautograftforanteriorcruciateligamentreconstruction:asystematicreviewandmetaanalysis+2021</t>
  </si>
  <si>
    <t>Anteromedial Portal Double-Bundle Anterior Cruciate Ligament Reconstruction Yields Similar Outcomes to Non-AMP Femoral Drilling Double-Bundle Techniques: A Systematic Review of Comparative Studies</t>
  </si>
  <si>
    <t>Tejpal T, Gupta A, Shanmugaraj A, Horner NS, Simunovic N, Peterson DC, Ayeni OR.</t>
  </si>
  <si>
    <t>10.1177/2325967119888140</t>
  </si>
  <si>
    <t>Tejpal</t>
  </si>
  <si>
    <t>anteromedialportaldoublebundleanteriorcruciateligamentreconstructionyieldssimilaroutcomestononampfemoraldrillingdoublebundletechniques:asystematicreviewofcomparativestudies</t>
  </si>
  <si>
    <t>Tejpal+anteromedialportaldoublebundleanteriorcruciateligamentreconstructionyieldssimilaroutcomestononampfemoraldrillingdoublebundletechniques:asystematicreviewofcomparativestudies+2019</t>
  </si>
  <si>
    <t>Quadriceps tendon autograft ACL reconstruction has less pivot shift laxity and lower failure rates than hamstring tendon autografts</t>
  </si>
  <si>
    <t>Nyland J, Collis P, Huffstutler A, Sachdeva S, Spears JR, Greene J, Caborn DNM.</t>
  </si>
  <si>
    <t>10.1007/s00167-019-05720-y</t>
  </si>
  <si>
    <t>quadricepstendonautograftaclreconstructionhaslesspivotshiftlaxityandlowerfailureratesthanhamstringtendonautografts</t>
  </si>
  <si>
    <t>Nyland+quadricepstendonautograftaclreconstructionhaslesspivotshiftlaxityandlowerfailureratesthanhamstringtendonautografts+2020</t>
  </si>
  <si>
    <t>Arthroscopic Anterior Cruciate Ligament Reconstruction: A Meta-Analysis Comparing Semitendinosus Alone and Semitendinosus with Gracilis Tendon Autografts</t>
  </si>
  <si>
    <t>Chin BZ, Wee IJY, Syn NL, Krishna L.</t>
  </si>
  <si>
    <t>10.1055/s-0038-1669950</t>
  </si>
  <si>
    <t>Chin</t>
  </si>
  <si>
    <t>arthroscopicanteriorcruciateligamentreconstruction:ametaanalysiscomparingsemitendinosusaloneandsemitendinosuswithgracilistendonautografts</t>
  </si>
  <si>
    <t>Chin+arthroscopicanteriorcruciateligamentreconstruction:ametaanalysiscomparingsemitendinosusaloneandsemitendinosuswithgracilistendonautografts+2019</t>
  </si>
  <si>
    <t>Posttraumatic incarceration of medial collateral ligament into knee joint with anterior cruciate ligament injury</t>
  </si>
  <si>
    <t>Kini SG, du Pre K, Bruce W.</t>
  </si>
  <si>
    <t>Chin J Traumatol</t>
  </si>
  <si>
    <t>10.1016/j.cjtee.2015.11.004</t>
  </si>
  <si>
    <t>Kini</t>
  </si>
  <si>
    <t>posttraumaticincarcerationofmedialcollateralligamentintokneejointwithanteriorcruciateligamentinjury</t>
  </si>
  <si>
    <t>Kini+posttraumaticincarcerationofmedialcollateralligamentintokneejointwithanteriorcruciateligamentinjury+2015</t>
  </si>
  <si>
    <t>The Importance of Patient Sex in the Outcomes of Anterior Cruciate Ligament Reconstructions: A Systematic Review and Meta-analysis</t>
  </si>
  <si>
    <t>Tan SH, Lau BP, Khin LW, Lingaraj K.</t>
  </si>
  <si>
    <t>10.1177/0363546515573008</t>
  </si>
  <si>
    <t>theimportanceofpatientsexintheoutcomesofanteriorcruciateligamentreconstructions:asystematicreviewandmetaanalysis</t>
  </si>
  <si>
    <t>Tan+theimportanceofpatientsexintheoutcomesofanteriorcruciateligamentreconstructions:asystematicreviewandmetaanalysis+2016</t>
  </si>
  <si>
    <t>Long-term follow-up of ACL reconstruction with hamstring autograft</t>
  </si>
  <si>
    <t>Leiter JR, Gourlay R, McRae S, de Korompay N, MacDonald PB.</t>
  </si>
  <si>
    <t>10.1007/s00167-013-2466-3</t>
  </si>
  <si>
    <t>Leiter</t>
  </si>
  <si>
    <t>longtermfollowupofaclreconstructionwithhamstringautograft</t>
  </si>
  <si>
    <t>Leiter+longtermfollowupofaclreconstructionwithhamstringautograft+2014</t>
  </si>
  <si>
    <t>Outcomes for primary anterior cruciate reconstruction with the quadriceps autograft: a systematic review</t>
  </si>
  <si>
    <t>Mulford JS, Hutchinson SE, Hang JR.</t>
  </si>
  <si>
    <t>10.1007/s00167-012-2212-2</t>
  </si>
  <si>
    <t>Mulford</t>
  </si>
  <si>
    <t>outcomesforprimaryanteriorcruciatereconstructionwiththequadricepsautograft:asystematicreview</t>
  </si>
  <si>
    <t>Mulford+outcomesforprimaryanteriorcruciatereconstructionwiththequadricepsautograft:asystematicreview+2013</t>
  </si>
  <si>
    <t>Endoscopic versus rear-entry ACL reconstruction: a systematic review</t>
  </si>
  <si>
    <t>George MS, Huston LJ, Spindler KP.</t>
  </si>
  <si>
    <t>10.1097/BLO.0b013e31802eb45f</t>
  </si>
  <si>
    <t>George</t>
  </si>
  <si>
    <t>endoscopicversusrearentryaclreconstruction:asystematicreview</t>
  </si>
  <si>
    <t>George+endoscopicversusrearentryaclreconstruction:asystematicreview+2007</t>
  </si>
  <si>
    <t>The effects of blood flow restriction training on early muscle strength and mid-term knee function following anterior cruciate ligament reconstruction: a systematic review and meta-analysis</t>
  </si>
  <si>
    <t>Li X, Xiao F, Ren H, Peng Y, Feng F, Dong Q.</t>
  </si>
  <si>
    <t>10.1186/s13018-025-05673-8</t>
  </si>
  <si>
    <t>theeffectsofbloodflowrestrictiontrainingonearlymusclestrengthandmidtermkneefunctionfollowinganteriorcruciateligamentreconstruction:asystematicreviewandmetaanalysis</t>
  </si>
  <si>
    <t>Li+theeffectsofbloodflowrestrictiontrainingonearlymusclestrengthandmidtermkneefunctionfollowinganteriorcruciateligamentreconstruction:asystematicreviewandmetaanalysis+2025</t>
  </si>
  <si>
    <t>[Diagnostic and incidence of the rupture of the posterior cruciate ligament]</t>
  </si>
  <si>
    <t>Hochstein P, Schmickal T, Grützner PA, Wentzensen A.</t>
  </si>
  <si>
    <t>10.1007/s001130050477</t>
  </si>
  <si>
    <t>Hochstein</t>
  </si>
  <si>
    <t>diagnosticandincidenceoftheruptureoftheposteriorcruciateligament</t>
  </si>
  <si>
    <t>Hochstein+diagnosticandincidenceoftheruptureoftheposteriorcruciateligament+1999</t>
  </si>
  <si>
    <t>Anterior cruciate ligament graft placement recommendations and bone-patellar tendon-bone graft indications to restore knee stability</t>
  </si>
  <si>
    <t>Noyes FR, Barber-Westin SD.</t>
  </si>
  <si>
    <t>Instr Course Lect</t>
  </si>
  <si>
    <t>Noyes</t>
  </si>
  <si>
    <t>anteriorcruciateligamentgraftplacementrecommendationsandbonepatellartendonbonegraftindicationstorestorekneestability</t>
  </si>
  <si>
    <t>Noyes+anteriorcruciateligamentgraftplacementrecommendationsandbonepatellartendonbonegraftindicationstorestorekneestability+2011</t>
  </si>
  <si>
    <t>[Rupture of the anterior cruciate ligament. Current status of treatment]</t>
  </si>
  <si>
    <t>Lobenhoffer P, Tscherne H.</t>
  </si>
  <si>
    <t>Lobenhoffer</t>
  </si>
  <si>
    <t>ruptureoftheanteriorcruciateligamentcurrentstatusoftreatment</t>
  </si>
  <si>
    <t>Lobenhoffer+ruptureoftheanteriorcruciateligamentcurrentstatusoftreatment+1993</t>
  </si>
  <si>
    <t>[Arthroscopic cruciate ligament reconstruction]</t>
  </si>
  <si>
    <t>Lobenhoffer P.</t>
  </si>
  <si>
    <t>Langenbecks Arch Chir Suppl Kongressbd</t>
  </si>
  <si>
    <t>arthroscopiccruciateligamentreconstruction</t>
  </si>
  <si>
    <t>Lobenhoffer+arthroscopiccruciateligamentreconstruction+1991</t>
  </si>
  <si>
    <t>Advances in anterior cruciate ligament surgery</t>
  </si>
  <si>
    <t>McGuire DA, Grinstead GL.</t>
  </si>
  <si>
    <t>Alaska Med</t>
  </si>
  <si>
    <t>advancesinanteriorcruciateligamentsurgery</t>
  </si>
  <si>
    <t>McGuire+advancesinanteriorcruciateligamentsurgery+1990</t>
  </si>
  <si>
    <t>Five- to ten-year follow-up evaluation after reconstruction of the anterior cruciate ligament</t>
  </si>
  <si>
    <t>Johnson RJ, Eriksson E, Haggmark T, Pope MH.</t>
  </si>
  <si>
    <t>Johnson</t>
  </si>
  <si>
    <t>fivetotenyearfollowupevaluationafterreconstructionoftheanteriorcruciateligament</t>
  </si>
  <si>
    <t>Johnson+fivetotenyearfollowupevaluationafterreconstructionoftheanteriorcruciateligament+1984</t>
  </si>
  <si>
    <t>[The semitendinosus tendon as replacement for the anterior cruciate ligament]</t>
  </si>
  <si>
    <t>Hoffmann F, Friebel H, Schiller M.</t>
  </si>
  <si>
    <t>Zentralbl Chir</t>
  </si>
  <si>
    <t>Hoffmann</t>
  </si>
  <si>
    <t>thesemitendinosustendonasreplacementfortheanteriorcruciateligament</t>
  </si>
  <si>
    <t>Hoffmann+thesemitendinosustendonasreplacementfortheanteriorcruciateligament+1998</t>
  </si>
  <si>
    <t>Semitendinosus Kennedy ligament augmentation device anterior cruciate ligament reconstruction</t>
  </si>
  <si>
    <t>Gómez-Castresana FB, Bastos MN, Sacristán CG.</t>
  </si>
  <si>
    <t>Gómez-Castresana</t>
  </si>
  <si>
    <t>semitendinosuskennedyligamentaugmentationdeviceanteriorcruciateligamentreconstruction</t>
  </si>
  <si>
    <t>Gómez-Castresana+semitendinosuskennedyligamentaugmentationdeviceanteriorcruciateligamentreconstruction+1992</t>
  </si>
  <si>
    <t>Multiple Ligament Reconstruction for Absent Cruciate and a Congenital Short Femur Case Report and Review of the Literature</t>
  </si>
  <si>
    <t>Kaplan D, Jazrawi T, Capo J, Strauss E.</t>
  </si>
  <si>
    <t>Bull Hosp Jt Dis (2013)</t>
  </si>
  <si>
    <t>multipleligamentreconstructionforabsentcruciateandacongenitalshortfemurcasereportandreviewoftheliterature</t>
  </si>
  <si>
    <t>Kaplan+multipleligamentreconstructionforabsentcruciateandacongenitalshortfemurcasereportandreviewoftheliterature+2017</t>
  </si>
  <si>
    <t>[Accurate placement of bone tunnels in reconstruction of the anterior cruciate ligament - a contribution of computer-assisted navigation]</t>
  </si>
  <si>
    <t>Hart R, Krejzla J, Sváb P.</t>
  </si>
  <si>
    <t>Hart</t>
  </si>
  <si>
    <t>accurateplacementofbonetunnelsinreconstructionoftheanteriorcruciateligamentacontributionofcomputerassistednavigation</t>
  </si>
  <si>
    <t>Hart+accurateplacementofbonetunnelsinreconstructionoftheanteriorcruciateligamentacontributionofcomputerassistednavigation+2007</t>
  </si>
  <si>
    <t>[Current state of evaluation of knee ligament lesions. The new IKDC knee evaluation form ]</t>
  </si>
  <si>
    <t>Hefti F, Müller W.</t>
  </si>
  <si>
    <t>Hefti</t>
  </si>
  <si>
    <t>currentstateofevaluationofkneeligamentlesionsthenewikdckneeevaluationform</t>
  </si>
  <si>
    <t>Hefti+currentstateofevaluationofkneeligamentlesionsthenewikdckneeevaluationform+1993</t>
  </si>
  <si>
    <t>The natural history of the anterior cruciate ligament-deficient knee. A review</t>
  </si>
  <si>
    <t>Caborn DN, Johnson BM.</t>
  </si>
  <si>
    <t>Caborn</t>
  </si>
  <si>
    <t>thenaturalhistoryoftheanteriorcruciateligamentdeficientkneeareview</t>
  </si>
  <si>
    <t>Caborn+thenaturalhistoryoftheanteriorcruciateligamentdeficientkneeareview+1993</t>
  </si>
  <si>
    <t>The role of lateral extra-articular procedures for anterolateral rotatory instability</t>
  </si>
  <si>
    <t>Carson WG Jr.</t>
  </si>
  <si>
    <t>Carson</t>
  </si>
  <si>
    <t>theroleoflateralextraarticularproceduresforanterolateralrotatoryinstability</t>
  </si>
  <si>
    <t>Carson+theroleoflateralextraarticularproceduresforanterolateralrotatoryinstability+1988</t>
  </si>
  <si>
    <t>Knee function after anterior cruciate ligament reconstruction with patellar or hamstring tendon: a meta-analysis</t>
  </si>
  <si>
    <t>Shi DL, Yao ZJ.</t>
  </si>
  <si>
    <t>Shi</t>
  </si>
  <si>
    <t>kneefunctionafteranteriorcruciateligamentreconstructionwithpatellarorhamstringtendon:ametaanalysis</t>
  </si>
  <si>
    <t>Shi+kneefunctionafteranteriorcruciateligamentreconstructionwithpatellarorhamstringtendon:ametaanalysis+2011</t>
  </si>
  <si>
    <t>Reconstruction of the anterior cruciate ligament: historical overview</t>
  </si>
  <si>
    <t>Burnett QM 2nd, Fowler PJ.</t>
  </si>
  <si>
    <t>Burnett</t>
  </si>
  <si>
    <t>reconstructionoftheanteriorcruciateligament:historicaloverview</t>
  </si>
  <si>
    <t>Burnett+reconstructionoftheanteriorcruciateligament:historicaloverview+1985</t>
  </si>
  <si>
    <t>Gong</t>
  </si>
  <si>
    <t>Starantzis</t>
  </si>
  <si>
    <t>Vadala</t>
  </si>
  <si>
    <t>Rupreht</t>
  </si>
  <si>
    <t>Mirzatolooeil</t>
  </si>
  <si>
    <t>Orrego</t>
  </si>
  <si>
    <t>Silva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</si>
</sst>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applyAlignment="1">
      <alignment horizontal="left"/>
    </xf>
    <xf numFmtId="0" fontId="0" fillId="0" borderId="0" xfId="0" applyAlignment="1">
      <alignment horizontal="left"/>
    </xf>
    <xf numFmtId="0" fontId="18" fillId="0" borderId="0" xfId="42" applyAlignment="1">
      <alignment horizontal="left"/>
    </xf>
    <xf numFmtId="0" fontId="0" fillId="33" borderId="0" xfId="0" applyFill="1"/>
    <xf numFmtId="0" fontId="0" fillId="33" borderId="0" xfId="0" applyFill="1" applyAlignment="1">
      <alignment horizontal="left"/>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715F248-8353-4985-A7BA-CDA0FB43296E}" autoFormatId="16" applyNumberFormats="0" applyBorderFormats="0" applyFontFormats="0" applyPatternFormats="0" applyAlignmentFormats="0" applyWidthHeightFormats="0">
  <queryTableRefresh nextId="11">
    <queryTableFields count="10">
      <queryTableField id="1" name="Unnamed: 0" tableColumnId="1"/>
      <queryTableField id="2" name="id" tableColumnId="2"/>
      <queryTableField id="3" name="title" tableColumnId="3"/>
      <queryTableField id="4" name="authors" tableColumnId="4"/>
      <queryTableField id="5" name="journal" tableColumnId="5"/>
      <queryTableField id="6" name="year" tableColumnId="6"/>
      <queryTableField id="7" name="doi" tableColumnId="7"/>
      <queryTableField id="8" name="first_author" tableColumnId="8"/>
      <queryTableField id="9" name="short_title" tableColumnId="9"/>
      <queryTableField id="10" name="key"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F9333BA-47A1-4B54-9FCA-3B6AC2C940BE}" autoFormatId="16" applyNumberFormats="0" applyBorderFormats="0" applyFontFormats="0" applyPatternFormats="0" applyAlignmentFormats="0" applyWidthHeightFormats="0">
  <queryTableRefresh nextId="11">
    <queryTableFields count="10">
      <queryTableField id="1" name="Unnamed: 0" tableColumnId="1"/>
      <queryTableField id="2" name="id" tableColumnId="2"/>
      <queryTableField id="3" name="title" tableColumnId="3"/>
      <queryTableField id="4" name="authors" tableColumnId="4"/>
      <queryTableField id="5" name="journal" tableColumnId="5"/>
      <queryTableField id="6" name="year" tableColumnId="6"/>
      <queryTableField id="7" name="doi" tableColumnId="7"/>
      <queryTableField id="8" name="first_author" tableColumnId="8"/>
      <queryTableField id="9" name="short_title" tableColumnId="9"/>
      <queryTableField id="10" name="key"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EEE87A-E2B1-40F8-9868-9B952A693189}" name="screening__2" displayName="screening__2" ref="A1:J669" tableType="queryTable" totalsRowShown="0">
  <autoFilter ref="A1:J669" xr:uid="{29EEE87A-E2B1-40F8-9868-9B952A693189}"/>
  <tableColumns count="10">
    <tableColumn id="1" xr3:uid="{D36976B5-8ED7-4888-94D0-B15AE64741B9}" uniqueName="1" name="Unnamed: 0" queryTableFieldId="1"/>
    <tableColumn id="2" xr3:uid="{4353EC80-D040-40DD-B147-1E71C0E3E69F}" uniqueName="2" name="id" queryTableFieldId="2" dataDxfId="14"/>
    <tableColumn id="3" xr3:uid="{2DE6313B-62F5-475B-9F3C-9AD41DDA36BD}" uniqueName="3" name="title" queryTableFieldId="3" dataDxfId="13"/>
    <tableColumn id="4" xr3:uid="{FCF62471-D6C1-4020-A73B-61E00DB1C4BC}" uniqueName="4" name="authors" queryTableFieldId="4" dataDxfId="12"/>
    <tableColumn id="5" xr3:uid="{EA1A9215-226D-4226-A0DC-4B4833848302}" uniqueName="5" name="journal" queryTableFieldId="5" dataDxfId="11"/>
    <tableColumn id="6" xr3:uid="{E1A8CEA8-1AF1-4F0F-9E11-0F6D6CDCA461}" uniqueName="6" name="year" queryTableFieldId="6"/>
    <tableColumn id="7" xr3:uid="{251455BE-46D2-4E5D-B432-DE4F1E218C68}" uniqueName="7" name="doi" queryTableFieldId="7" dataDxfId="10"/>
    <tableColumn id="8" xr3:uid="{D556D624-7DE6-4C7E-8EB3-B8BA32F3EBA1}" uniqueName="8" name="first_author" queryTableFieldId="8" dataDxfId="9"/>
    <tableColumn id="9" xr3:uid="{6D4286FA-133F-43D9-9579-B48CE73B0670}" uniqueName="9" name="short_title" queryTableFieldId="9" dataDxfId="8"/>
    <tableColumn id="10" xr3:uid="{D380A9D1-91A4-4CAD-B04B-ADBC464DDFCF}" uniqueName="10" name="key" queryTableFieldId="10"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2E5A4D-12D1-477C-9400-047E75978180}" name="reviews" displayName="reviews" ref="A1:J248" tableType="queryTable" totalsRowShown="0">
  <autoFilter ref="A1:J248" xr:uid="{C72E5A4D-12D1-477C-9400-047E75978180}"/>
  <sortState xmlns:xlrd2="http://schemas.microsoft.com/office/spreadsheetml/2017/richdata2" ref="A2:J248">
    <sortCondition descending="1" ref="F1:F248"/>
  </sortState>
  <tableColumns count="10">
    <tableColumn id="1" xr3:uid="{8B5D9AAD-C08D-49B4-A4EF-1D90B2DA0A1A}" uniqueName="1" name="Unnamed: 0" queryTableFieldId="1"/>
    <tableColumn id="2" xr3:uid="{A31DC697-5C2B-44F8-8D7E-CA6F9396060E}" uniqueName="2" name="id" queryTableFieldId="2"/>
    <tableColumn id="3" xr3:uid="{F19B253B-25E0-4279-909A-35755CA45677}" uniqueName="3" name="title" queryTableFieldId="3" dataDxfId="6"/>
    <tableColumn id="4" xr3:uid="{36004238-2E15-4F5F-B1E6-4B52F6335C4C}" uniqueName="4" name="authors" queryTableFieldId="4" dataDxfId="5"/>
    <tableColumn id="5" xr3:uid="{37015347-759E-4007-B280-762B3FF19A91}" uniqueName="5" name="journal" queryTableFieldId="5" dataDxfId="4"/>
    <tableColumn id="6" xr3:uid="{23544956-7816-40C5-8BF3-24583306623A}" uniqueName="6" name="year" queryTableFieldId="6"/>
    <tableColumn id="7" xr3:uid="{E2FF4D04-59CB-445B-BEB9-477BA4C544CA}" uniqueName="7" name="doi" queryTableFieldId="7" dataDxfId="3"/>
    <tableColumn id="8" xr3:uid="{C564010F-B9DB-4F8B-AEBB-6EF8EBE323C5}" uniqueName="8" name="first_author" queryTableFieldId="8" dataDxfId="2"/>
    <tableColumn id="9" xr3:uid="{D34DCDCE-D372-4737-B161-0137A3CFF7B6}" uniqueName="9" name="short_title" queryTableFieldId="9" dataDxfId="1"/>
    <tableColumn id="10" xr3:uid="{F11222F4-7C07-40EA-9BE7-1CA774DD5705}" uniqueName="10" name="key"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20C9-ADA1-4077-924E-F3CFC6D93ACC}">
  <dimension ref="A1:E669"/>
  <sheetViews>
    <sheetView workbookViewId="0">
      <pane xSplit="1" ySplit="1" topLeftCell="B51" activePane="bottomRight" state="frozen"/>
      <selection pane="topRight" activeCell="B1" sqref="B1"/>
      <selection pane="bottomLeft" activeCell="A2" sqref="A2"/>
      <selection pane="bottomRight" activeCell="B1" sqref="B1:B1048576"/>
    </sheetView>
  </sheetViews>
  <sheetFormatPr defaultRowHeight="14.5" x14ac:dyDescent="0.35"/>
  <cols>
    <col min="1" max="1" width="8.7265625" style="1"/>
    <col min="2" max="2" width="81.36328125" style="4" bestFit="1" customWidth="1"/>
    <col min="3" max="3" width="21.1796875" style="1" bestFit="1" customWidth="1"/>
    <col min="4" max="4" width="29" style="1" bestFit="1" customWidth="1"/>
    <col min="5" max="16384" width="8.7265625" style="1"/>
  </cols>
  <sheetData>
    <row r="1" spans="1:5" s="2" customFormat="1" x14ac:dyDescent="0.35">
      <c r="A1" s="2" t="s">
        <v>0</v>
      </c>
      <c r="B1" s="3" t="s">
        <v>33</v>
      </c>
      <c r="C1" s="2" t="s">
        <v>1</v>
      </c>
      <c r="D1" s="2" t="s">
        <v>2</v>
      </c>
      <c r="E1" s="2" t="s">
        <v>3</v>
      </c>
    </row>
    <row r="2" spans="1:5" x14ac:dyDescent="0.35">
      <c r="A2" s="1">
        <v>1</v>
      </c>
      <c r="B2" s="4" t="str">
        <f>HYPERLINK("https://doi.org/10.2106/JBJS.19.00098","Sporsheim (2019)")</f>
        <v>Sporsheim (2019)</v>
      </c>
      <c r="C2" s="1" t="s">
        <v>4</v>
      </c>
      <c r="D2" s="1" t="s">
        <v>5</v>
      </c>
      <c r="E2" s="1" t="s">
        <v>6</v>
      </c>
    </row>
    <row r="3" spans="1:5" x14ac:dyDescent="0.35">
      <c r="A3" s="1">
        <v>2</v>
      </c>
      <c r="B3" s="4" t="str">
        <f>HYPERLINK("https://doi.org/10.1177/2309499019867580","Alentorn-Geli (2019)")</f>
        <v>Alentorn-Geli (2019)</v>
      </c>
      <c r="C3" s="1" t="s">
        <v>7</v>
      </c>
    </row>
    <row r="4" spans="1:5" x14ac:dyDescent="0.35">
      <c r="A4" s="1">
        <v>3</v>
      </c>
      <c r="B4" s="4" t="str">
        <f>HYPERLINK("https://doi.org/10.1055/s-0033-1343614","Barber (2013)")</f>
        <v>Barber (2013)</v>
      </c>
      <c r="C4" s="1" t="s">
        <v>7</v>
      </c>
      <c r="D4" s="1" t="s">
        <v>8</v>
      </c>
      <c r="E4" s="1" t="s">
        <v>9</v>
      </c>
    </row>
    <row r="5" spans="1:5" x14ac:dyDescent="0.35">
      <c r="A5" s="1">
        <v>4</v>
      </c>
      <c r="B5" s="4" t="str">
        <f>HYPERLINK("https://doi.org/10.1007/s00167-011-1585-y","Fernandes (2012)")</f>
        <v>Fernandes (2012)</v>
      </c>
      <c r="C5" s="1" t="s">
        <v>7</v>
      </c>
      <c r="D5" s="1" t="s">
        <v>10</v>
      </c>
      <c r="E5" s="1" t="s">
        <v>11</v>
      </c>
    </row>
    <row r="6" spans="1:5" x14ac:dyDescent="0.35">
      <c r="A6" s="1">
        <v>5</v>
      </c>
      <c r="B6" s="4" t="str">
        <f>HYPERLINK("https://doi.org/10.1016/j.arthro.2010.11.056","Barber (2011)")</f>
        <v>Barber (2011)</v>
      </c>
      <c r="C6" s="1" t="s">
        <v>7</v>
      </c>
      <c r="D6" s="1" t="s">
        <v>8</v>
      </c>
      <c r="E6" s="1" t="s">
        <v>9</v>
      </c>
    </row>
    <row r="7" spans="1:5" x14ac:dyDescent="0.35">
      <c r="A7" s="1">
        <v>6</v>
      </c>
      <c r="B7" s="4" t="str">
        <f>HYPERLINK("https://doi.org/10.1007/s00264-011-1206-x","Mihelic (2011)")</f>
        <v>Mihelic (2011)</v>
      </c>
      <c r="C7" s="1" t="s">
        <v>7</v>
      </c>
      <c r="D7" s="1" t="s">
        <v>12</v>
      </c>
      <c r="E7" s="1" t="s">
        <v>13</v>
      </c>
    </row>
    <row r="8" spans="1:5" x14ac:dyDescent="0.35">
      <c r="A8" s="1">
        <v>7</v>
      </c>
      <c r="B8" s="4" t="str">
        <f>HYPERLINK("https://doi.org/10.1016/j.injury.2010.09.029","Volpi (2010)")</f>
        <v>Volpi (2010)</v>
      </c>
      <c r="C8" s="1" t="s">
        <v>4</v>
      </c>
      <c r="D8" s="1" t="s">
        <v>14</v>
      </c>
      <c r="E8" s="1" t="s">
        <v>6</v>
      </c>
    </row>
    <row r="9" spans="1:5" x14ac:dyDescent="0.35">
      <c r="A9" s="1">
        <v>8</v>
      </c>
      <c r="B9" s="4" t="str">
        <f>HYPERLINK("https://doi.org/10.1016/j.arthro.2006.12.026","Barber (2007)")</f>
        <v>Barber (2007)</v>
      </c>
      <c r="C9" s="1" t="s">
        <v>7</v>
      </c>
    </row>
    <row r="10" spans="1:5" x14ac:dyDescent="0.35">
      <c r="A10" s="1">
        <v>9</v>
      </c>
      <c r="B10" s="4" t="str">
        <f>HYPERLINK("https://doi.org/10.1007/s00167-006-0138-2","Isberg (2006)")</f>
        <v>Isberg (2006)</v>
      </c>
      <c r="C10" s="1" t="s">
        <v>7</v>
      </c>
    </row>
    <row r="11" spans="1:5" x14ac:dyDescent="0.35">
      <c r="A11" s="1">
        <v>10</v>
      </c>
      <c r="B11" s="4" t="str">
        <f>HYPERLINK("https://doi.org/10.1007/s00113-005-0948-6","Tecklenburg (2005)")</f>
        <v>Tecklenburg (2005)</v>
      </c>
      <c r="C11" s="1" t="s">
        <v>15</v>
      </c>
      <c r="D11" s="1" t="s">
        <v>16</v>
      </c>
    </row>
    <row r="12" spans="1:5" x14ac:dyDescent="0.35">
      <c r="A12" s="1">
        <v>11</v>
      </c>
      <c r="B12" s="4" t="str">
        <f>HYPERLINK("https://doi.org/10.1007/s00167-003-0386-3","Melegati (2003)")</f>
        <v>Melegati (2003)</v>
      </c>
      <c r="C12" s="1" t="s">
        <v>7</v>
      </c>
    </row>
    <row r="13" spans="1:5" x14ac:dyDescent="0.35">
      <c r="A13" s="1">
        <v>12</v>
      </c>
      <c r="B13" s="4" t="str">
        <f>HYPERLINK("https://doi.org/10.1177/03635465030310022101","Otsuka (2003)")</f>
        <v>Otsuka (2003)</v>
      </c>
      <c r="C13" s="1" t="s">
        <v>7</v>
      </c>
    </row>
    <row r="14" spans="1:5" x14ac:dyDescent="0.35">
      <c r="A14" s="1">
        <v>13</v>
      </c>
      <c r="B14" s="4" t="str">
        <f>HYPERLINK("https://doi.org/10.1007/s00113-001-0405-0","Gorschewsky (2002)")</f>
        <v>Gorschewsky (2002)</v>
      </c>
      <c r="C14" s="1" t="s">
        <v>15</v>
      </c>
      <c r="D14" s="1" t="s">
        <v>16</v>
      </c>
    </row>
    <row r="15" spans="1:5" x14ac:dyDescent="0.35">
      <c r="A15" s="1">
        <v>14</v>
      </c>
      <c r="B15" s="4" t="str">
        <f>HYPERLINK("https://doi.org/10.1302/0301-620x.84b3.12400","Nau (2002)")</f>
        <v>Nau (2002)</v>
      </c>
      <c r="C15" s="1" t="s">
        <v>4</v>
      </c>
    </row>
    <row r="16" spans="1:5" x14ac:dyDescent="0.35">
      <c r="A16" s="1">
        <v>15</v>
      </c>
      <c r="B16" s="4" t="str">
        <f>HYPERLINK("https://doi.org/10.1034/j.1600-0838.2002.120109.x","Sernert (2002)")</f>
        <v>Sernert (2002)</v>
      </c>
      <c r="C16" s="1" t="s">
        <v>7</v>
      </c>
      <c r="D16" s="1" t="s">
        <v>12</v>
      </c>
      <c r="E16" s="1" t="s">
        <v>13</v>
      </c>
    </row>
    <row r="17" spans="1:5" x14ac:dyDescent="0.35">
      <c r="A17" s="1">
        <v>16</v>
      </c>
      <c r="B17" s="4" t="str">
        <f>HYPERLINK("https://doi.org/10.1007/s004020100290","Pape (2001)")</f>
        <v>Pape (2001)</v>
      </c>
      <c r="C17" s="1" t="s">
        <v>7</v>
      </c>
    </row>
    <row r="18" spans="1:5" x14ac:dyDescent="0.35">
      <c r="A18" s="1">
        <v>17</v>
      </c>
      <c r="B18" s="4" t="str">
        <f>HYPERLINK("https://doi.org/10.1177/03635465010290031501","Ahmad (2001)")</f>
        <v>Ahmad (2001)</v>
      </c>
      <c r="C18" s="1" t="s">
        <v>7</v>
      </c>
    </row>
    <row r="19" spans="1:5" x14ac:dyDescent="0.35">
      <c r="A19" s="1">
        <v>18</v>
      </c>
      <c r="B19" s="4" t="str">
        <f>HYPERLINK("https://doi.org/10.1007/s001670000179","Ejerhed (2001)")</f>
        <v>Ejerhed (2001)</v>
      </c>
      <c r="C19" s="1" t="s">
        <v>4</v>
      </c>
      <c r="E19" s="1" t="s">
        <v>6</v>
      </c>
    </row>
    <row r="20" spans="1:5" x14ac:dyDescent="0.35">
      <c r="A20" s="1">
        <v>19</v>
      </c>
      <c r="B20" s="4" t="str">
        <f>HYPERLINK("https://doi.org/10.1034/j.1600-0838.2001.011002110.x","Brandsson (2001)")</f>
        <v>Brandsson (2001)</v>
      </c>
      <c r="C20" s="1" t="s">
        <v>7</v>
      </c>
    </row>
    <row r="21" spans="1:5" x14ac:dyDescent="0.35">
      <c r="A21" s="1">
        <v>20</v>
      </c>
      <c r="B21" s="4" t="str">
        <f>HYPERLINK("https://doi.org/10.1007/s001130050634","Fremerey (2000)")</f>
        <v>Fremerey (2000)</v>
      </c>
      <c r="C21" s="1" t="s">
        <v>7</v>
      </c>
      <c r="D21" s="1" t="s">
        <v>16</v>
      </c>
    </row>
    <row r="22" spans="1:5" x14ac:dyDescent="0.35">
      <c r="A22" s="1">
        <v>21</v>
      </c>
      <c r="B22" s="4" t="str">
        <f>HYPERLINK("https://doi.org/10.1053/jars.2000.4633","Fink (2000)")</f>
        <v>Fink (2000)</v>
      </c>
      <c r="C22" s="1" t="s">
        <v>4</v>
      </c>
      <c r="D22" s="1" t="s">
        <v>17</v>
      </c>
      <c r="E22" s="1" t="s">
        <v>6</v>
      </c>
    </row>
    <row r="23" spans="1:5" x14ac:dyDescent="0.35">
      <c r="A23" s="1">
        <v>22</v>
      </c>
      <c r="B23" s="4" t="str">
        <f>HYPERLINK("https://doi.org/10.1007/s002640050357","Järvelä (1999)")</f>
        <v>Järvelä (1999)</v>
      </c>
      <c r="C23" s="1" t="s">
        <v>7</v>
      </c>
      <c r="D23" s="1" t="s">
        <v>16</v>
      </c>
    </row>
    <row r="24" spans="1:5" x14ac:dyDescent="0.35">
      <c r="A24" s="1">
        <v>23</v>
      </c>
      <c r="B24" s="4" t="str">
        <f>HYPERLINK("https://doi.org/10.1302/0301-620x.81b5.8644","Jomha (1999)")</f>
        <v>Jomha (1999)</v>
      </c>
      <c r="C24" s="1" t="s">
        <v>15</v>
      </c>
      <c r="E24" s="1" t="s">
        <v>11</v>
      </c>
    </row>
    <row r="25" spans="1:5" x14ac:dyDescent="0.35">
      <c r="A25" s="1">
        <v>24</v>
      </c>
      <c r="B25" s="4" t="str">
        <f>HYPERLINK("https://doi.org/10.1007/s001670050142","Gebhard (1999)")</f>
        <v>Gebhard (1999)</v>
      </c>
      <c r="C25" s="1" t="s">
        <v>7</v>
      </c>
    </row>
    <row r="26" spans="1:5" x14ac:dyDescent="0.35">
      <c r="A26" s="1">
        <v>25</v>
      </c>
      <c r="B26" s="4" t="str">
        <f>HYPERLINK("https://doi.org/10.1007/s001670050141","Sernert (1999)")</f>
        <v>Sernert (1999)</v>
      </c>
      <c r="C26" s="1" t="s">
        <v>4</v>
      </c>
      <c r="E26" s="1" t="s">
        <v>6</v>
      </c>
    </row>
    <row r="27" spans="1:5" x14ac:dyDescent="0.35">
      <c r="A27" s="1">
        <v>26</v>
      </c>
      <c r="B27" s="4" t="str">
        <f>HYPERLINK("https://doi.org/10.1016/s0749-8063(98)70022-2","van (1998)")</f>
        <v>van (1998)</v>
      </c>
      <c r="C27" s="1" t="s">
        <v>4</v>
      </c>
      <c r="E27" s="1" t="s">
        <v>6</v>
      </c>
    </row>
    <row r="28" spans="1:5" x14ac:dyDescent="0.35">
      <c r="A28" s="1">
        <v>27</v>
      </c>
      <c r="B28" s="4" t="str">
        <f>HYPERLINK("https://doi.org/10.1007/s001130050308","Gerich (1998)")</f>
        <v>Gerich (1998)</v>
      </c>
      <c r="C28" s="1" t="s">
        <v>4</v>
      </c>
      <c r="E28" s="1" t="s">
        <v>6</v>
      </c>
    </row>
    <row r="29" spans="1:5" x14ac:dyDescent="0.35">
      <c r="A29" s="1">
        <v>28</v>
      </c>
      <c r="B29" s="4" t="str">
        <f>HYPERLINK("https://doi.org/10.1007/s001670050078","Muellner (1998)")</f>
        <v>Muellner (1998)</v>
      </c>
      <c r="C29" s="1" t="s">
        <v>7</v>
      </c>
    </row>
    <row r="30" spans="1:5" x14ac:dyDescent="0.35">
      <c r="A30" s="1">
        <v>29</v>
      </c>
      <c r="B30" s="4" t="str">
        <f>HYPERLINK("https://doi.org/10.1007/s001670050077","Brandsson (1998)")</f>
        <v>Brandsson (1998)</v>
      </c>
      <c r="C30" s="1" t="s">
        <v>4</v>
      </c>
      <c r="E30" s="1" t="s">
        <v>6</v>
      </c>
    </row>
    <row r="31" spans="1:5" x14ac:dyDescent="0.35">
      <c r="A31" s="1">
        <v>30</v>
      </c>
      <c r="B31" s="4" t="str">
        <f>HYPERLINK("https://doi.org/10.1007/s001670050052","Gerich (1997)")</f>
        <v>Gerich (1997)</v>
      </c>
      <c r="C31" s="1" t="s">
        <v>4</v>
      </c>
      <c r="E31" s="1" t="s">
        <v>6</v>
      </c>
    </row>
    <row r="32" spans="1:5" x14ac:dyDescent="0.35">
      <c r="A32" s="1">
        <v>31</v>
      </c>
      <c r="B32" s="4" t="str">
        <f>HYPERLINK("https://doi.org/10.1007/s002640050141","al-Zarahini (1997)")</f>
        <v>al-Zarahini (1997)</v>
      </c>
      <c r="C32" s="1" t="s">
        <v>7</v>
      </c>
    </row>
    <row r="33" spans="1:5" x14ac:dyDescent="0.35">
      <c r="A33" s="1">
        <v>32</v>
      </c>
      <c r="B33" s="4" t="str">
        <f>HYPERLINK("https://doi.org/10.1111/j.1600-0838.1996.tb00099.x","Thuresson (1996)")</f>
        <v>Thuresson (1996)</v>
      </c>
      <c r="C33" s="1" t="s">
        <v>15</v>
      </c>
      <c r="E33" s="1" t="s">
        <v>11</v>
      </c>
    </row>
    <row r="34" spans="1:5" x14ac:dyDescent="0.35">
      <c r="A34" s="1">
        <v>33</v>
      </c>
      <c r="B34" s="4" t="str">
        <f>HYPERLINK("https://doi.org/10.1111/j.1600-0838.1995.tb00059.x","Grøntvedt (1995)")</f>
        <v>Grøntvedt (1995)</v>
      </c>
      <c r="C34" s="1" t="s">
        <v>7</v>
      </c>
      <c r="D34" s="1" t="s">
        <v>18</v>
      </c>
    </row>
    <row r="35" spans="1:5" x14ac:dyDescent="0.35">
      <c r="A35" s="1">
        <v>34</v>
      </c>
      <c r="B35" s="4" t="str">
        <f>HYPERLINK("https://doi.org/10.1016/0749-8063(95)90129-9","Barber (1995)")</f>
        <v>Barber (1995)</v>
      </c>
      <c r="C35" s="1" t="s">
        <v>4</v>
      </c>
      <c r="E35" s="1" t="s">
        <v>6</v>
      </c>
    </row>
    <row r="36" spans="1:5" x14ac:dyDescent="0.35">
      <c r="A36" s="1">
        <v>35</v>
      </c>
      <c r="B36" s="4" t="str">
        <f>HYPERLINK("https://doi.org/10.3928/0147-7447-19950301-06","Cameron (1995)")</f>
        <v>Cameron (1995)</v>
      </c>
      <c r="C36" s="1" t="s">
        <v>4</v>
      </c>
      <c r="E36" s="1" t="s">
        <v>6</v>
      </c>
    </row>
    <row r="37" spans="1:5" x14ac:dyDescent="0.35">
      <c r="A37" s="1">
        <v>36</v>
      </c>
      <c r="B37" s="4" t="str">
        <f>HYPERLINK("https://doi.org/10.1177/036354659202000205","Rosen (1992)")</f>
        <v>Rosen (1992)</v>
      </c>
      <c r="C37" s="1" t="s">
        <v>7</v>
      </c>
    </row>
    <row r="38" spans="1:5" x14ac:dyDescent="0.35">
      <c r="A38" s="1">
        <v>37</v>
      </c>
      <c r="B38" s="4" t="str">
        <f>HYPERLINK("https://doi.org/10.1016/0749-8063(91)90076-a","Richmond (1991)")</f>
        <v>Richmond (1991)</v>
      </c>
      <c r="C38" s="1" t="s">
        <v>4</v>
      </c>
      <c r="E38" s="1" t="s">
        <v>6</v>
      </c>
    </row>
    <row r="39" spans="1:5" x14ac:dyDescent="0.35">
      <c r="A39" s="1">
        <v>38</v>
      </c>
      <c r="B39" s="4" t="str">
        <f>HYPERLINK("https://doi.org/10.1177/036354659001800605","Engebretsen (1990)")</f>
        <v>Engebretsen (1990)</v>
      </c>
      <c r="C39" s="1" t="s">
        <v>7</v>
      </c>
      <c r="D39" s="1" t="s">
        <v>18</v>
      </c>
    </row>
    <row r="40" spans="1:5" x14ac:dyDescent="0.35">
      <c r="A40" s="1">
        <v>39</v>
      </c>
      <c r="B40" s="4" t="str">
        <f>HYPERLINK("https://doi.org/10.1016/j.csm.2023.08.005","Getgood (2024)")</f>
        <v>Getgood (2024)</v>
      </c>
      <c r="C40" s="1" t="s">
        <v>7</v>
      </c>
      <c r="D40" s="1" t="s">
        <v>19</v>
      </c>
    </row>
    <row r="41" spans="1:5" x14ac:dyDescent="0.35">
      <c r="A41" s="1">
        <v>40</v>
      </c>
      <c r="B41" s="4" t="str">
        <f>HYPERLINK("https://doi.org/10.1016/j.arthro.2023.01.101","Helito (2023)")</f>
        <v>Helito (2023)</v>
      </c>
      <c r="C41" s="1" t="s">
        <v>7</v>
      </c>
      <c r="D41" s="1" t="s">
        <v>12</v>
      </c>
      <c r="E41" s="1" t="s">
        <v>13</v>
      </c>
    </row>
    <row r="42" spans="1:5" x14ac:dyDescent="0.35">
      <c r="A42" s="1">
        <v>41</v>
      </c>
      <c r="B42" s="4" t="str">
        <f>HYPERLINK("https://doi.org/10.1177/03635465221128581","Lodhia (2022)")</f>
        <v>Lodhia (2022)</v>
      </c>
      <c r="C42" s="1" t="s">
        <v>7</v>
      </c>
      <c r="D42" s="1" t="s">
        <v>20</v>
      </c>
      <c r="E42" s="1" t="s">
        <v>11</v>
      </c>
    </row>
    <row r="43" spans="1:5" x14ac:dyDescent="0.35">
      <c r="A43" s="1">
        <v>42</v>
      </c>
      <c r="B43" s="4" t="str">
        <f>HYPERLINK("https://doi.org/10.1016/j.jisako.2022.04.006","Grassi (2022)")</f>
        <v>Grassi (2022)</v>
      </c>
      <c r="C43" s="1" t="s">
        <v>4</v>
      </c>
      <c r="E43" s="1" t="s">
        <v>6</v>
      </c>
    </row>
    <row r="44" spans="1:5" x14ac:dyDescent="0.35">
      <c r="A44" s="1">
        <v>43</v>
      </c>
      <c r="B44" s="4" t="str">
        <f>HYPERLINK("https://doi.org/10.1155/2022/6779207","Jin (2022)")</f>
        <v>Jin (2022)</v>
      </c>
      <c r="C44" s="1" t="s">
        <v>7</v>
      </c>
    </row>
    <row r="45" spans="1:5" x14ac:dyDescent="0.35">
      <c r="A45" s="1">
        <v>44</v>
      </c>
      <c r="B45" s="4" t="str">
        <f>HYPERLINK("https://doi.org/10.23750/abm.v92i6.10875","Labianca (2022)")</f>
        <v>Labianca (2022)</v>
      </c>
      <c r="C45" s="1" t="s">
        <v>4</v>
      </c>
      <c r="E45" s="1" t="s">
        <v>6</v>
      </c>
    </row>
    <row r="46" spans="1:5" x14ac:dyDescent="0.35">
      <c r="A46" s="1">
        <v>45</v>
      </c>
      <c r="B46" s="4" t="str">
        <f>HYPERLINK("https://doi.org/10.1177/03635465211061150","Firth (2022)")</f>
        <v>Firth (2022)</v>
      </c>
      <c r="C46" s="1" t="s">
        <v>4</v>
      </c>
      <c r="E46" s="1" t="s">
        <v>6</v>
      </c>
    </row>
    <row r="47" spans="1:5" x14ac:dyDescent="0.35">
      <c r="A47" s="1">
        <v>46</v>
      </c>
      <c r="B47" s="4" t="str">
        <f>HYPERLINK("https://doi.org/10.1177/0363546519896333","Getgood (2020)")</f>
        <v>Getgood (2020)</v>
      </c>
      <c r="C47" s="1" t="s">
        <v>4</v>
      </c>
      <c r="E47" s="1" t="s">
        <v>6</v>
      </c>
    </row>
    <row r="48" spans="1:5" x14ac:dyDescent="0.35">
      <c r="A48" s="1">
        <v>47</v>
      </c>
      <c r="B48" s="4" t="str">
        <f>HYPERLINK("https://doi.org/10.1186/s12891-019-2653-6","Tajima (2019)")</f>
        <v>Tajima (2019)</v>
      </c>
      <c r="C48" s="1" t="s">
        <v>4</v>
      </c>
      <c r="E48" s="1" t="s">
        <v>6</v>
      </c>
    </row>
    <row r="49" spans="1:5" x14ac:dyDescent="0.35">
      <c r="A49" s="1">
        <v>48</v>
      </c>
      <c r="B49" s="4" t="str">
        <f>HYPERLINK("https://doi.org/10.1016/j.arthro.2018.03.034","Mayr (2018)")</f>
        <v>Mayr (2018)</v>
      </c>
      <c r="C49" s="1" t="s">
        <v>4</v>
      </c>
      <c r="E49" s="1" t="s">
        <v>6</v>
      </c>
    </row>
    <row r="50" spans="1:5" x14ac:dyDescent="0.35">
      <c r="A50" s="1">
        <v>49</v>
      </c>
      <c r="B50" s="4" t="str">
        <f>HYPERLINK("https://doi.org/10.1007/s00402-016-2497-6","Ateschrang (2016)")</f>
        <v>Ateschrang (2016)</v>
      </c>
      <c r="C50" s="1" t="s">
        <v>7</v>
      </c>
      <c r="D50" s="1" t="s">
        <v>21</v>
      </c>
      <c r="E50" s="1" t="s">
        <v>11</v>
      </c>
    </row>
    <row r="51" spans="1:5" x14ac:dyDescent="0.35">
      <c r="A51" s="1">
        <v>50</v>
      </c>
      <c r="B51" s="4" t="str">
        <f>HYPERLINK("https://doi.org/10.1007/s00167-015-3593-9","Tsoukas (2016)")</f>
        <v>Tsoukas (2016)</v>
      </c>
      <c r="C51" s="1" t="s">
        <v>4</v>
      </c>
      <c r="E51" s="1" t="s">
        <v>6</v>
      </c>
    </row>
    <row r="52" spans="1:5" x14ac:dyDescent="0.35">
      <c r="A52" s="1">
        <v>51</v>
      </c>
      <c r="B52" s="4" t="str">
        <f>HYPERLINK("https://doi.org/10.1007/s00132-015-3102-3","Offerhaus (2015)")</f>
        <v>Offerhaus (2015)</v>
      </c>
      <c r="C52" s="1" t="s">
        <v>7</v>
      </c>
      <c r="D52" s="1" t="s">
        <v>16</v>
      </c>
    </row>
    <row r="53" spans="1:5" x14ac:dyDescent="0.35">
      <c r="A53" s="1">
        <v>52</v>
      </c>
      <c r="B53" s="4" t="str">
        <f>HYPERLINK("https://doi.org/10.1007/s00113-013-2420-3","Offerhaus (2014)")</f>
        <v>Offerhaus (2014)</v>
      </c>
      <c r="C53" s="1" t="s">
        <v>7</v>
      </c>
      <c r="D53" s="1" t="s">
        <v>16</v>
      </c>
    </row>
    <row r="54" spans="1:5" x14ac:dyDescent="0.35">
      <c r="A54" s="1">
        <v>53</v>
      </c>
      <c r="B54" s="4" t="str">
        <f>HYPERLINK("https://doi.org/10.1177/0363546513497926","Ahldén (2013)")</f>
        <v>Ahldén (2013)</v>
      </c>
      <c r="C54" s="1" t="s">
        <v>4</v>
      </c>
      <c r="D54" s="1" t="s">
        <v>14</v>
      </c>
      <c r="E54" s="1" t="s">
        <v>6</v>
      </c>
    </row>
    <row r="55" spans="1:5" x14ac:dyDescent="0.35">
      <c r="A55" s="1">
        <v>54</v>
      </c>
      <c r="B55" s="4" t="str">
        <f>HYPERLINK("https://doi.org/10.7417/CT.2013.1540","Iorio (2013)")</f>
        <v>Iorio (2013)</v>
      </c>
      <c r="C55" s="1" t="s">
        <v>7</v>
      </c>
      <c r="D55" s="1" t="s">
        <v>16</v>
      </c>
    </row>
    <row r="56" spans="1:5" x14ac:dyDescent="0.35">
      <c r="A56" s="1">
        <v>55</v>
      </c>
      <c r="B56" s="4" t="str">
        <f>HYPERLINK("https://doi.org/10.3944/aott.2012.2679","Mirzatolooei (2012)")</f>
        <v>Mirzatolooei (2012)</v>
      </c>
      <c r="C56" s="1" t="s">
        <v>4</v>
      </c>
      <c r="E56" s="1" t="s">
        <v>6</v>
      </c>
    </row>
    <row r="57" spans="1:5" x14ac:dyDescent="0.35">
      <c r="A57" s="1">
        <v>56</v>
      </c>
      <c r="B57" s="4" t="str">
        <f>HYPERLINK("https://doi.org/10.1007/s00167-012-2323-9","Koutras (2013)")</f>
        <v>Koutras (2013)</v>
      </c>
      <c r="C57" s="1" t="s">
        <v>15</v>
      </c>
      <c r="D57" s="1" t="s">
        <v>11</v>
      </c>
      <c r="E57" s="1" t="s">
        <v>11</v>
      </c>
    </row>
    <row r="58" spans="1:5" x14ac:dyDescent="0.35">
      <c r="A58" s="1">
        <v>57</v>
      </c>
      <c r="B58" s="4" t="str">
        <f>HYPERLINK("https://doi.org/10.1590/s0102-86502012000800010","Zhang (2012)")</f>
        <v>Zhang (2012)</v>
      </c>
      <c r="C58" s="1" t="s">
        <v>4</v>
      </c>
      <c r="E58" s="1" t="s">
        <v>6</v>
      </c>
    </row>
    <row r="59" spans="1:5" x14ac:dyDescent="0.35">
      <c r="A59" s="1">
        <v>58</v>
      </c>
      <c r="B59" s="4" t="str">
        <f>HYPERLINK("https://doi.org/10.1177/0363546512448177","Suomalainen (2012)")</f>
        <v>Suomalainen (2012)</v>
      </c>
      <c r="C59" s="1" t="s">
        <v>4</v>
      </c>
      <c r="E59" s="1" t="s">
        <v>6</v>
      </c>
    </row>
    <row r="60" spans="1:5" x14ac:dyDescent="0.35">
      <c r="A60" s="1">
        <v>59</v>
      </c>
      <c r="B60" s="4" t="str">
        <f>HYPERLINK("https://doi.org/10.1007/s00132-012-1898-7","Lahner (2012)")</f>
        <v>Lahner (2012)</v>
      </c>
      <c r="C60" s="1" t="s">
        <v>7</v>
      </c>
      <c r="D60" s="1" t="s">
        <v>16</v>
      </c>
    </row>
    <row r="61" spans="1:5" x14ac:dyDescent="0.35">
      <c r="A61" s="1">
        <v>60</v>
      </c>
      <c r="B61" s="4" t="str">
        <f>HYPERLINK("https://doi.org/10.1016/j.arthro.2011.08.305","Yasuda (2012)")</f>
        <v>Yasuda (2012)</v>
      </c>
      <c r="C61" s="1" t="s">
        <v>7</v>
      </c>
      <c r="D61" s="1" t="s">
        <v>8</v>
      </c>
      <c r="E61" s="1" t="s">
        <v>9</v>
      </c>
    </row>
    <row r="62" spans="1:5" x14ac:dyDescent="0.35">
      <c r="A62" s="1">
        <v>61</v>
      </c>
      <c r="B62" s="4" t="str">
        <f>HYPERLINK("https://doi.org/10.1177/0363546511426416","Hussein (2012)")</f>
        <v>Hussein (2012)</v>
      </c>
      <c r="C62" s="1" t="s">
        <v>4</v>
      </c>
      <c r="E62" s="1" t="s">
        <v>6</v>
      </c>
    </row>
    <row r="63" spans="1:5" x14ac:dyDescent="0.35">
      <c r="A63" s="1">
        <v>62</v>
      </c>
      <c r="B63" s="4" t="str">
        <f>HYPERLINK("https://doi.org/10.1016/j.arthro.2011.06.027","Noh (2011)")</f>
        <v>Noh (2011)</v>
      </c>
      <c r="C63" s="1" t="s">
        <v>7</v>
      </c>
      <c r="D63" s="1" t="s">
        <v>10</v>
      </c>
      <c r="E63" s="1" t="s">
        <v>11</v>
      </c>
    </row>
    <row r="64" spans="1:5" x14ac:dyDescent="0.35">
      <c r="A64" s="1">
        <v>63</v>
      </c>
      <c r="B64" s="4" t="str">
        <f>HYPERLINK("https://doi.org/10.1007/s11999-011-1940-9","Gobbi (2012)")</f>
        <v>Gobbi (2012)</v>
      </c>
      <c r="C64" s="1" t="s">
        <v>7</v>
      </c>
      <c r="D64" s="1" t="s">
        <v>10</v>
      </c>
      <c r="E64" s="1" t="s">
        <v>11</v>
      </c>
    </row>
    <row r="65" spans="1:5" x14ac:dyDescent="0.35">
      <c r="A65" s="1">
        <v>64</v>
      </c>
      <c r="B65" s="4" t="str">
        <f>HYPERLINK("https://doi.org/10.1177/0363546511406234","De (2011)")</f>
        <v>De (2011)</v>
      </c>
      <c r="C65" s="1" t="s">
        <v>4</v>
      </c>
      <c r="E65" s="1" t="s">
        <v>6</v>
      </c>
    </row>
    <row r="66" spans="1:5" x14ac:dyDescent="0.35">
      <c r="A66" s="1">
        <v>65</v>
      </c>
      <c r="B66" s="4" t="str">
        <f>HYPERLINK("https://doi.org/10.1177/0363546511405024","Suomalainen (2011)")</f>
        <v>Suomalainen (2011)</v>
      </c>
      <c r="C66" s="1" t="s">
        <v>4</v>
      </c>
      <c r="E66" s="1" t="s">
        <v>6</v>
      </c>
    </row>
    <row r="67" spans="1:5" x14ac:dyDescent="0.35">
      <c r="A67" s="1">
        <v>66</v>
      </c>
      <c r="B67" s="4" t="str">
        <f>HYPERLINK("https://doi.org/10.1007/s00167-011-1399-y","Isberg (2011)")</f>
        <v>Isberg (2011)</v>
      </c>
      <c r="C67" s="1" t="s">
        <v>7</v>
      </c>
      <c r="D67" s="1" t="s">
        <v>13</v>
      </c>
      <c r="E67" s="1" t="s">
        <v>13</v>
      </c>
    </row>
    <row r="68" spans="1:5" x14ac:dyDescent="0.35">
      <c r="A68" s="1">
        <v>67</v>
      </c>
      <c r="B68" s="4" t="str">
        <f>HYPERLINK("https://doi.org/10.1177/0363546510397172","Izawa (2011)")</f>
        <v>Izawa (2011)</v>
      </c>
      <c r="C68" s="1" t="s">
        <v>7</v>
      </c>
      <c r="D68" s="1" t="s">
        <v>13</v>
      </c>
      <c r="E68" s="1" t="s">
        <v>13</v>
      </c>
    </row>
    <row r="69" spans="1:5" x14ac:dyDescent="0.35">
      <c r="A69" s="1">
        <v>68</v>
      </c>
      <c r="B69" s="4" t="str">
        <f>HYPERLINK("https://doi.org/10.1016/j.knee.2010.09.004","Lee (2011)")</f>
        <v>Lee (2011)</v>
      </c>
      <c r="C69" s="1" t="s">
        <v>15</v>
      </c>
    </row>
    <row r="70" spans="1:5" x14ac:dyDescent="0.35">
      <c r="A70" s="1">
        <v>69</v>
      </c>
      <c r="B70" s="4" t="str">
        <f>HYPERLINK("https://doi.org/10.1016/j.arthro.2010.05.018","Sobhy (2010)")</f>
        <v>Sobhy (2010)</v>
      </c>
      <c r="C70" s="1" t="s">
        <v>7</v>
      </c>
    </row>
    <row r="71" spans="1:5" x14ac:dyDescent="0.35">
      <c r="A71" s="1">
        <v>70</v>
      </c>
      <c r="B71" s="4" t="str">
        <f>HYPERLINK("https://doi.org/10.1055/s-0029-1240737","Basad (2010)")</f>
        <v>Basad (2010)</v>
      </c>
      <c r="C71" s="1" t="s">
        <v>7</v>
      </c>
    </row>
    <row r="72" spans="1:5" x14ac:dyDescent="0.35">
      <c r="A72" s="1">
        <v>71</v>
      </c>
      <c r="B72" s="4" t="str">
        <f>HYPERLINK("https://doi.org/10.1302/0301-620X.91B10.21886","Ibrahim (2009)")</f>
        <v>Ibrahim (2009)</v>
      </c>
      <c r="C72" s="1" t="s">
        <v>4</v>
      </c>
    </row>
    <row r="73" spans="1:5" x14ac:dyDescent="0.35">
      <c r="A73" s="1">
        <v>72</v>
      </c>
      <c r="B73" s="4" t="str">
        <f>HYPERLINK("https://doi.org/10.1177/0363546509347096","Aglietti (2010)")</f>
        <v>Aglietti (2010)</v>
      </c>
      <c r="C73" s="1" t="s">
        <v>4</v>
      </c>
      <c r="D73" s="1" t="s">
        <v>14</v>
      </c>
    </row>
    <row r="74" spans="1:5" x14ac:dyDescent="0.35">
      <c r="A74" s="1">
        <v>73</v>
      </c>
      <c r="B74" s="4" t="str">
        <f>HYPERLINK("https://doi.org/10.1016/j.otsr.2009.03.009","Robert (2009)")</f>
        <v>Robert (2009)</v>
      </c>
      <c r="C74" s="1" t="s">
        <v>7</v>
      </c>
      <c r="D74" s="1" t="s">
        <v>10</v>
      </c>
      <c r="E74" s="1" t="s">
        <v>11</v>
      </c>
    </row>
    <row r="75" spans="1:5" x14ac:dyDescent="0.35">
      <c r="A75" s="1">
        <v>74</v>
      </c>
      <c r="B75" s="4" t="str">
        <f>HYPERLINK("https://doi.org/10.1177/0363546508328114","Marcacci (2009)")</f>
        <v>Marcacci (2009)</v>
      </c>
      <c r="C75" s="1" t="s">
        <v>7</v>
      </c>
      <c r="E75" s="1" t="s">
        <v>9</v>
      </c>
    </row>
    <row r="76" spans="1:5" x14ac:dyDescent="0.35">
      <c r="A76" s="1">
        <v>75</v>
      </c>
      <c r="B76" s="4" t="str">
        <f>HYPERLINK("https://doi.org/10.1007/s00064-008-1412-x","Schneider (2008)")</f>
        <v>Schneider (2008)</v>
      </c>
      <c r="C76" s="1" t="s">
        <v>7</v>
      </c>
      <c r="D76" s="1" t="s">
        <v>22</v>
      </c>
    </row>
    <row r="77" spans="1:5" x14ac:dyDescent="0.35">
      <c r="A77" s="1">
        <v>76</v>
      </c>
      <c r="B77" s="4" t="str">
        <f>HYPERLINK("https://doi.org/10.1097/BLO.0b013e31802ba45c","Yagi (2007)")</f>
        <v>Yagi (2007)</v>
      </c>
      <c r="C77" s="1" t="s">
        <v>15</v>
      </c>
      <c r="D77" s="1" t="s">
        <v>23</v>
      </c>
      <c r="E77" s="1" t="s">
        <v>11</v>
      </c>
    </row>
    <row r="78" spans="1:5" x14ac:dyDescent="0.35">
      <c r="A78" s="1">
        <v>77</v>
      </c>
      <c r="B78" s="4" t="str">
        <f>HYPERLINK("https://doi.org/10.1177/230949900501300206","Tow (2005)")</f>
        <v>Tow (2005)</v>
      </c>
      <c r="C78" s="1" t="s">
        <v>7</v>
      </c>
      <c r="D78" s="1" t="s">
        <v>10</v>
      </c>
      <c r="E78" s="1" t="s">
        <v>11</v>
      </c>
    </row>
    <row r="79" spans="1:5" x14ac:dyDescent="0.35">
      <c r="A79" s="1">
        <v>78</v>
      </c>
      <c r="B79" s="4" t="str">
        <f>HYPERLINK("https://doi.org/10.1016/j.knee.2005.05.001","Zhao (2006)")</f>
        <v>Zhao (2006)</v>
      </c>
      <c r="C79" s="1" t="s">
        <v>15</v>
      </c>
      <c r="E79" s="1" t="s">
        <v>11</v>
      </c>
    </row>
    <row r="80" spans="1:5" x14ac:dyDescent="0.35">
      <c r="A80" s="1">
        <v>79</v>
      </c>
      <c r="B80" s="4" t="str">
        <f>HYPERLINK("https://doi.org/10.1007/s00167-004-0553-1","Giron (2005)")</f>
        <v>Giron (2005)</v>
      </c>
      <c r="C80" s="1" t="s">
        <v>15</v>
      </c>
      <c r="E80" s="1" t="s">
        <v>11</v>
      </c>
    </row>
    <row r="81" spans="1:5" x14ac:dyDescent="0.35">
      <c r="A81" s="1">
        <v>80</v>
      </c>
      <c r="B81" s="4" t="str">
        <f>HYPERLINK("https://doi.org/10.1007/s00113-004-0809-8","Sobau (2004)")</f>
        <v>Sobau (2004)</v>
      </c>
      <c r="C81" s="1" t="s">
        <v>7</v>
      </c>
    </row>
    <row r="82" spans="1:5" x14ac:dyDescent="0.35">
      <c r="A82" s="1">
        <v>81</v>
      </c>
      <c r="B82" s="4" t="str">
        <f>HYPERLINK("https://doi.org/10.1007/s00167-004-0498-4","Chen (2004)")</f>
        <v>Chen (2004)</v>
      </c>
      <c r="C82" s="1" t="s">
        <v>7</v>
      </c>
    </row>
    <row r="83" spans="1:5" x14ac:dyDescent="0.35">
      <c r="A83" s="1">
        <v>82</v>
      </c>
      <c r="B83" s="4" t="str">
        <f>HYPERLINK("https://doi.org/10.1007/s00167-003-0380-9","Robert (2004)")</f>
        <v>Robert (2004)</v>
      </c>
      <c r="C83" s="1" t="s">
        <v>4</v>
      </c>
    </row>
    <row r="84" spans="1:5" x14ac:dyDescent="0.35">
      <c r="A84" s="1">
        <v>83</v>
      </c>
      <c r="B84" s="4" t="str">
        <f>HYPERLINK("https://doi.org/10.1177/03635465030310040701","Charlton (2003)")</f>
        <v>Charlton (2003)</v>
      </c>
      <c r="C84" s="1" t="s">
        <v>7</v>
      </c>
      <c r="D84" s="1" t="s">
        <v>12</v>
      </c>
      <c r="E84" s="1" t="s">
        <v>13</v>
      </c>
    </row>
    <row r="85" spans="1:5" x14ac:dyDescent="0.35">
      <c r="A85" s="1">
        <v>84</v>
      </c>
      <c r="B85" s="4" t="str">
        <f>HYPERLINK("https://doi.org/10.1016/s0749-8063(01)90002-7","Hamada (2001)")</f>
        <v>Hamada (2001)</v>
      </c>
      <c r="C85" s="1" t="s">
        <v>7</v>
      </c>
      <c r="D85" s="1" t="s">
        <v>24</v>
      </c>
      <c r="E85" s="1" t="s">
        <v>11</v>
      </c>
    </row>
    <row r="86" spans="1:5" x14ac:dyDescent="0.35">
      <c r="A86" s="1">
        <v>85</v>
      </c>
      <c r="B86" s="4" t="str">
        <f>HYPERLINK("https://doi.org/10.1007/s001130050733","Röpke (2001)")</f>
        <v>Röpke (2001)</v>
      </c>
      <c r="C86" s="1" t="s">
        <v>7</v>
      </c>
      <c r="D86" s="1" t="s">
        <v>16</v>
      </c>
    </row>
    <row r="87" spans="1:5" x14ac:dyDescent="0.35">
      <c r="A87" s="1">
        <v>86</v>
      </c>
      <c r="B87" s="4" t="str">
        <f>HYPERLINK("https://doi.org/10.1016/s0968-0160(01)00062-x","Beard (2001)")</f>
        <v>Beard (2001)</v>
      </c>
      <c r="C87" s="1" t="s">
        <v>4</v>
      </c>
    </row>
    <row r="88" spans="1:5" x14ac:dyDescent="0.35">
      <c r="A88" s="1">
        <v>87</v>
      </c>
      <c r="B88" s="4" t="str">
        <f>HYPERLINK("https://doi.org/10.1053/jars.2000.4635","Simonian (2000)")</f>
        <v>Simonian (2000)</v>
      </c>
      <c r="C88" s="1" t="s">
        <v>7</v>
      </c>
    </row>
    <row r="89" spans="1:5" x14ac:dyDescent="0.35">
      <c r="A89" s="1">
        <v>88</v>
      </c>
      <c r="B89" s="4" t="str">
        <f>HYPERLINK("https://doi.org/10.1007/s001670050007","Jørgensen (2000)")</f>
        <v>Jørgensen (2000)</v>
      </c>
      <c r="C89" s="1" t="s">
        <v>7</v>
      </c>
    </row>
    <row r="90" spans="1:5" x14ac:dyDescent="0.35">
      <c r="A90" s="1">
        <v>89</v>
      </c>
      <c r="B90" s="4" t="str">
        <f>HYPERLINK("https://doi.org/10.1007/s001670050138","Clatworthy (1999)")</f>
        <v>Clatworthy (1999)</v>
      </c>
      <c r="C90" s="1" t="s">
        <v>7</v>
      </c>
    </row>
    <row r="91" spans="1:5" x14ac:dyDescent="0.35">
      <c r="A91" s="1">
        <v>90</v>
      </c>
      <c r="B91" s="4" t="str">
        <f>HYPERLINK("https://doi.org/10.3928/0147-7447-19980101-10","Kühne (1998)")</f>
        <v>Kühne (1998)</v>
      </c>
      <c r="C91" s="1" t="s">
        <v>7</v>
      </c>
    </row>
    <row r="92" spans="1:5" x14ac:dyDescent="0.35">
      <c r="A92" s="1">
        <v>91</v>
      </c>
      <c r="B92" s="4" t="str">
        <f>HYPERLINK("https://doi.org/10.3928/0147-7447-19970201-08","Billotti (1997)")</f>
        <v>Billotti (1997)</v>
      </c>
      <c r="C92" s="1" t="s">
        <v>15</v>
      </c>
    </row>
    <row r="93" spans="1:5" x14ac:dyDescent="0.35">
      <c r="A93" s="1">
        <v>92</v>
      </c>
      <c r="B93" s="4" t="str">
        <f>HYPERLINK("https://doi.org/10.1177/036354659502300512","MacDonald (1995)")</f>
        <v>MacDonald (1995)</v>
      </c>
      <c r="C93" s="1" t="s">
        <v>7</v>
      </c>
    </row>
    <row r="94" spans="1:5" x14ac:dyDescent="0.35">
      <c r="A94" s="1">
        <v>93</v>
      </c>
      <c r="B94" s="4" t="str">
        <f>HYPERLINK("https://doi.org/10.1177/036354659402200514","Karlson (1994)")</f>
        <v>Karlson (1994)</v>
      </c>
      <c r="C94" s="1" t="s">
        <v>7</v>
      </c>
    </row>
    <row r="95" spans="1:5" x14ac:dyDescent="0.35">
      <c r="A95" s="1">
        <v>94</v>
      </c>
      <c r="B95" s="4" t="str">
        <f>HYPERLINK("https://doi.org/10.1177/036354659402200509","Anderson (1994)")</f>
        <v>Anderson (1994)</v>
      </c>
      <c r="C95" s="1" t="s">
        <v>15</v>
      </c>
    </row>
    <row r="96" spans="1:5" x14ac:dyDescent="0.35">
      <c r="A96" s="1">
        <v>95</v>
      </c>
      <c r="B96" s="4" t="str">
        <f>HYPERLINK("https://doi.org/10.1177/036354659402200415","Santi (1994)")</f>
        <v>Santi (1994)</v>
      </c>
      <c r="C96" s="1" t="s">
        <v>7</v>
      </c>
    </row>
    <row r="97" spans="1:4" x14ac:dyDescent="0.35">
      <c r="A97" s="1">
        <v>96</v>
      </c>
      <c r="B97" s="4" t="str">
        <f>HYPERLINK("https://doi.org/10.1177/10538127241296376","Li (2025)")</f>
        <v>Li (2025)</v>
      </c>
      <c r="C97" s="1" t="s">
        <v>4</v>
      </c>
    </row>
    <row r="98" spans="1:4" x14ac:dyDescent="0.35">
      <c r="A98" s="1">
        <v>97</v>
      </c>
      <c r="B98" s="4" t="str">
        <f>HYPERLINK("https://doi.org/10.1007/s00167-017-4678-4","Ithurburn (2018)")</f>
        <v>Ithurburn (2018)</v>
      </c>
      <c r="C98" s="1" t="s">
        <v>7</v>
      </c>
      <c r="D98" s="1" t="s">
        <v>22</v>
      </c>
    </row>
    <row r="99" spans="1:4" x14ac:dyDescent="0.35">
      <c r="A99" s="1">
        <v>98</v>
      </c>
      <c r="B99" s="4" t="str">
        <f>HYPERLINK("https://doi.org/10.1007/s00167-014-3490-7","Lelli (2016)")</f>
        <v>Lelli (2016)</v>
      </c>
      <c r="C99" s="1" t="s">
        <v>7</v>
      </c>
    </row>
    <row r="100" spans="1:4" x14ac:dyDescent="0.35">
      <c r="A100" s="1">
        <v>99</v>
      </c>
      <c r="B100" s="4" t="str">
        <f>HYPERLINK("https://doi.org/10.1007/s00064-013-0263-2","Heitmann (2014)")</f>
        <v>Heitmann (2014)</v>
      </c>
      <c r="C100" s="1" t="s">
        <v>7</v>
      </c>
      <c r="D100" s="1" t="s">
        <v>16</v>
      </c>
    </row>
    <row r="101" spans="1:4" x14ac:dyDescent="0.35">
      <c r="A101" s="1">
        <v>100</v>
      </c>
      <c r="B101" s="4" t="str">
        <f>HYPERLINK("https://doi.org/10.1055/s-2005-836359","Pressel (2005)")</f>
        <v>Pressel (2005)</v>
      </c>
      <c r="C101" s="1" t="s">
        <v>7</v>
      </c>
      <c r="D101" s="1" t="s">
        <v>16</v>
      </c>
    </row>
    <row r="102" spans="1:4" x14ac:dyDescent="0.35">
      <c r="A102" s="1">
        <v>101</v>
      </c>
      <c r="B102" s="4" t="str">
        <f>HYPERLINK("https://doi.org/10.1007/s001670100238","Ross (2002)")</f>
        <v>Ross (2002)</v>
      </c>
      <c r="C102" s="1" t="s">
        <v>7</v>
      </c>
    </row>
    <row r="103" spans="1:4" x14ac:dyDescent="0.35">
      <c r="A103" s="1">
        <v>102</v>
      </c>
      <c r="B103" s="4" t="str">
        <f>HYPERLINK("https://doi.org/10.1097/00003086-199812000-00019","Tyler (1998)")</f>
        <v>Tyler (1998)</v>
      </c>
      <c r="C103" s="1" t="s">
        <v>4</v>
      </c>
    </row>
    <row r="104" spans="1:4" x14ac:dyDescent="0.35">
      <c r="A104" s="1">
        <v>103</v>
      </c>
      <c r="B104" s="4" t="str">
        <f>HYPERLINK("https://doi.org/10.1016/s0749-8063(88)80003-3","Gillquist (1988)")</f>
        <v>Gillquist (1988)</v>
      </c>
      <c r="C104" s="1" t="s">
        <v>7</v>
      </c>
    </row>
    <row r="105" spans="1:4" x14ac:dyDescent="0.35">
      <c r="A105" s="1">
        <v>104</v>
      </c>
      <c r="B105" s="4" t="str">
        <f>HYPERLINK("https://doi.org/10.1007/s00264-016-3246-8","Schandl (2016)")</f>
        <v>Schandl (2016)</v>
      </c>
      <c r="C105" s="1" t="s">
        <v>4</v>
      </c>
    </row>
    <row r="106" spans="1:4" x14ac:dyDescent="0.35">
      <c r="A106" s="1">
        <v>105</v>
      </c>
      <c r="B106" s="4" t="str">
        <f>HYPERLINK("https://doi.org/10.1007/s00068-001-1089-4","Hofmann (2001)")</f>
        <v>Hofmann (2001)</v>
      </c>
      <c r="C106" s="1" t="s">
        <v>4</v>
      </c>
    </row>
    <row r="107" spans="1:4" x14ac:dyDescent="0.35">
      <c r="A107" s="1">
        <v>106</v>
      </c>
      <c r="B107" s="4" t="str">
        <f>HYPERLINK("https://doi.org/10.1016/S0749-8063(98)70022-2","Van (1998)")</f>
        <v>Van (1998)</v>
      </c>
      <c r="C107" s="1" t="s">
        <v>4</v>
      </c>
    </row>
    <row r="108" spans="1:4" x14ac:dyDescent="0.35">
      <c r="A108" s="1">
        <v>107</v>
      </c>
      <c r="B108" s="4" t="str">
        <f>HYPERLINK("https://doi.org/10.1123/jsr.2.3.171","McCarthy (1993)")</f>
        <v>McCarthy (1993)</v>
      </c>
      <c r="C108" s="1" t="s">
        <v>7</v>
      </c>
    </row>
    <row r="109" spans="1:4" x14ac:dyDescent="0.35">
      <c r="A109" s="1">
        <v>108</v>
      </c>
      <c r="B109" s="4" t="str">
        <f>HYPERLINK("https://doi.org/10.4103/jajs.jajs_66_24","Gupta (2025)")</f>
        <v>Gupta (2025)</v>
      </c>
      <c r="C109" s="1" t="s">
        <v>4</v>
      </c>
    </row>
    <row r="110" spans="1:4" x14ac:dyDescent="0.35">
      <c r="A110" s="1">
        <v>109</v>
      </c>
      <c r="B110" s="4" t="str">
        <f>HYPERLINK("https://doi.org/10.1016/j.jcot.2024.102865","Duraiswamy (2025)")</f>
        <v>Duraiswamy (2025)</v>
      </c>
      <c r="C110" s="1" t="s">
        <v>4</v>
      </c>
    </row>
    <row r="111" spans="1:4" x14ac:dyDescent="0.35">
      <c r="A111" s="1">
        <v>110</v>
      </c>
      <c r="B111" s="4" t="str">
        <f>HYPERLINK("https://doi.org/10.1007/s00590-022-03406-9","Fares (2023)")</f>
        <v>Fares (2023)</v>
      </c>
      <c r="C111" s="1" t="s">
        <v>7</v>
      </c>
    </row>
    <row r="112" spans="1:4" x14ac:dyDescent="0.35">
      <c r="A112" s="1">
        <v>111</v>
      </c>
      <c r="B112" s="4" t="str">
        <f>HYPERLINK("https://doi.org/10.1177/23259671231174478","Götschi (2023)")</f>
        <v>Götschi (2023)</v>
      </c>
      <c r="C112" s="1" t="s">
        <v>4</v>
      </c>
    </row>
    <row r="113" spans="1:5" x14ac:dyDescent="0.35">
      <c r="A113" s="1">
        <v>112</v>
      </c>
      <c r="B113" s="4" t="str">
        <f>HYPERLINK("https://doi.org/10.3390/jcm12103350","Weninger (2023)")</f>
        <v>Weninger (2023)</v>
      </c>
      <c r="C113" s="1" t="s">
        <v>4</v>
      </c>
    </row>
    <row r="114" spans="1:5" x14ac:dyDescent="0.35">
      <c r="A114" s="1">
        <v>113</v>
      </c>
      <c r="B114" s="4" t="str">
        <f>HYPERLINK("https://doi.org/10.3390/jcm12052074","Schoepp (2023)")</f>
        <v>Schoepp (2023)</v>
      </c>
      <c r="C114" s="1" t="s">
        <v>4</v>
      </c>
    </row>
    <row r="115" spans="1:5" x14ac:dyDescent="0.35">
      <c r="A115" s="1">
        <v>114</v>
      </c>
      <c r="B115" s="4" t="str">
        <f>HYPERLINK("https://doi.org/10.12998/wjcc.v10.i24.8463","Chalidis (2022)")</f>
        <v>Chalidis (2022)</v>
      </c>
      <c r="C115" s="1" t="s">
        <v>7</v>
      </c>
      <c r="D115" s="1" t="s">
        <v>19</v>
      </c>
    </row>
    <row r="116" spans="1:5" x14ac:dyDescent="0.35">
      <c r="A116" s="1">
        <v>115</v>
      </c>
      <c r="B116" s="4" t="str">
        <f>HYPERLINK("https://doi.org/10.1136/bmjopen-2021-057465","Bade (2022)")</f>
        <v>Bade (2022)</v>
      </c>
      <c r="C116" s="1" t="s">
        <v>4</v>
      </c>
    </row>
    <row r="117" spans="1:5" x14ac:dyDescent="0.35">
      <c r="A117" s="1">
        <v>116</v>
      </c>
      <c r="B117" s="4" t="str">
        <f>HYPERLINK("https://doi.org/10.47750/pnr.2022.13.S09.975","Amr (2022)")</f>
        <v>Amr (2022)</v>
      </c>
    </row>
    <row r="118" spans="1:5" x14ac:dyDescent="0.35">
      <c r="A118" s="1">
        <v>117</v>
      </c>
      <c r="B118" s="4" t="str">
        <f>HYPERLINK("https://doi.org/10.1016/j.asmr.2021.05.003","Panagopoulos (2021)")</f>
        <v>Panagopoulos (2021)</v>
      </c>
      <c r="C118" s="1" t="s">
        <v>4</v>
      </c>
    </row>
    <row r="119" spans="1:5" x14ac:dyDescent="0.35">
      <c r="A119" s="1">
        <v>118</v>
      </c>
      <c r="B119" s="4" t="str">
        <f>HYPERLINK("https://doi.org/10.1002/jor.24794","Fleming (2021)")</f>
        <v>Fleming (2021)</v>
      </c>
      <c r="C119" s="1" t="s">
        <v>4</v>
      </c>
    </row>
    <row r="120" spans="1:5" x14ac:dyDescent="0.35">
      <c r="A120" s="1">
        <v>119</v>
      </c>
      <c r="B120" s="4" t="str">
        <f>HYPERLINK("https://doi.org/10.1016/j.clinbiomech.2020.105231","Behnke (2021)")</f>
        <v>Behnke (2021)</v>
      </c>
      <c r="C120" s="1" t="s">
        <v>7</v>
      </c>
    </row>
    <row r="121" spans="1:5" x14ac:dyDescent="0.35">
      <c r="A121" s="1">
        <v>120</v>
      </c>
      <c r="B121" s="4" t="str">
        <f>HYPERLINK("https://doi.org/10.2298/VSP200128026D","Djordjevi? (2021)")</f>
        <v>Djordjevi? (2021)</v>
      </c>
    </row>
    <row r="122" spans="1:5" x14ac:dyDescent="0.35">
      <c r="A122" s="1">
        <v>121</v>
      </c>
      <c r="B122" s="4" t="str">
        <f>HYPERLINK("https://doi.org/10.1177/2325967120933135","Lee (2020)")</f>
        <v>Lee (2020)</v>
      </c>
      <c r="C122" s="1" t="s">
        <v>4</v>
      </c>
    </row>
    <row r="123" spans="1:5" x14ac:dyDescent="0.35">
      <c r="A123" s="1">
        <v>122</v>
      </c>
      <c r="B123" s="4" t="str">
        <f>HYPERLINK("https://doi.org/10.1186/s12891-019-2589-x","Getgood (2019)")</f>
        <v>Getgood (2019)</v>
      </c>
      <c r="C123" s="1" t="s">
        <v>4</v>
      </c>
    </row>
    <row r="124" spans="1:5" x14ac:dyDescent="0.35">
      <c r="A124" s="1">
        <v>123</v>
      </c>
      <c r="B124" s="4" t="str">
        <f>HYPERLINK("https://doi.org/10.1177/2325967118824356","Murray (2019)")</f>
        <v>Murray (2019)</v>
      </c>
      <c r="C124" s="1" t="s">
        <v>15</v>
      </c>
      <c r="D124" s="1" t="s">
        <v>25</v>
      </c>
      <c r="E124" s="1" t="s">
        <v>11</v>
      </c>
    </row>
    <row r="125" spans="1:5" x14ac:dyDescent="0.35">
      <c r="A125" s="1">
        <v>124</v>
      </c>
      <c r="B125" s="4" t="str">
        <f>HYPERLINK("https://doi.org/10.1016/j.jcot.2017.03.001","Manandhar (2018)")</f>
        <v>Manandhar (2018)</v>
      </c>
      <c r="C125" s="1" t="s">
        <v>4</v>
      </c>
    </row>
    <row r="126" spans="1:5" x14ac:dyDescent="0.35">
      <c r="A126" s="1">
        <v>125</v>
      </c>
      <c r="B126" s="4" t="str">
        <f>HYPERLINK("https://doi.org/10.1016/j.arthro.2017.06.025","Karikis (2017)")</f>
        <v>Karikis (2017)</v>
      </c>
      <c r="C126" s="1" t="s">
        <v>15</v>
      </c>
      <c r="E126" s="1" t="s">
        <v>11</v>
      </c>
    </row>
    <row r="127" spans="1:5" x14ac:dyDescent="0.35">
      <c r="A127" s="1">
        <v>126</v>
      </c>
      <c r="B127" s="4" t="str">
        <f>HYPERLINK("https://doi.org/10.1016/j.jcot.2017.06.015","Khare (2017)")</f>
        <v>Khare (2017)</v>
      </c>
      <c r="C127" s="1" t="s">
        <v>7</v>
      </c>
    </row>
    <row r="128" spans="1:5" x14ac:dyDescent="0.35">
      <c r="A128" s="1">
        <v>127</v>
      </c>
      <c r="B128" s="4" t="str">
        <f>HYPERLINK("https://doi.org/10.1016/j.jajs.2017.08.003","Gupta (2017)")</f>
        <v>Gupta (2017)</v>
      </c>
      <c r="C128" s="1" t="s">
        <v>4</v>
      </c>
    </row>
    <row r="129" spans="1:4" x14ac:dyDescent="0.35">
      <c r="A129" s="1">
        <v>128</v>
      </c>
      <c r="B129" s="4" t="str">
        <f>HYPERLINK("https://doi.org/10.3969/j.issn.2095-4344.2016.15.009","Tu (2016)")</f>
        <v>Tu (2016)</v>
      </c>
    </row>
    <row r="130" spans="1:4" x14ac:dyDescent="0.35">
      <c r="A130" s="1">
        <v>129</v>
      </c>
      <c r="B130" s="4" t="str">
        <f>HYPERLINK("https://doi.org/10.3969/j.issn.2095-4344.2015.29.010","Wang (2015)")</f>
        <v>Wang (2015)</v>
      </c>
    </row>
    <row r="131" spans="1:4" x14ac:dyDescent="0.35">
      <c r="A131" s="1">
        <v>130</v>
      </c>
      <c r="B131" s="4" t="str">
        <f>HYPERLINK("https://doi.org/10.2739/kurumemedj.MS66002","Inoue (2015)")</f>
        <v>Inoue (2015)</v>
      </c>
      <c r="C131" s="1" t="s">
        <v>15</v>
      </c>
    </row>
    <row r="132" spans="1:4" x14ac:dyDescent="0.35">
      <c r="A132" s="1">
        <v>131</v>
      </c>
      <c r="B132" s="4" t="str">
        <f>HYPERLINK("https://doi.org/10.55095/achot2014/004","Zeman (2014)")</f>
        <v>Zeman (2014)</v>
      </c>
      <c r="C132" s="1" t="s">
        <v>4</v>
      </c>
    </row>
    <row r="133" spans="1:4" x14ac:dyDescent="0.35">
      <c r="A133" s="1">
        <v>132</v>
      </c>
      <c r="B133" s="4" t="str">
        <f>HYPERLINK("https://doi.org/10.7860/JCDR/2014/8834.4237","Hegde (2014)")</f>
        <v>Hegde (2014)</v>
      </c>
      <c r="C133" s="1" t="s">
        <v>4</v>
      </c>
    </row>
    <row r="134" spans="1:4" x14ac:dyDescent="0.35">
      <c r="A134" s="1">
        <v>133</v>
      </c>
      <c r="B134" s="4" t="str">
        <f>HYPERLINK("https://doi.org/10.1007/s12570-013-0231-1","Koken (2014)")</f>
        <v>Koken (2014)</v>
      </c>
      <c r="C134" s="1" t="s">
        <v>4</v>
      </c>
    </row>
    <row r="135" spans="1:4" x14ac:dyDescent="0.35">
      <c r="A135" s="1">
        <v>134</v>
      </c>
      <c r="B135" s="4" t="str">
        <f>HYPERLINK("https://doi.org/10.3944/AOTT.2012.2679","Mirzatolooei (2012)")</f>
        <v>Mirzatolooei (2012)</v>
      </c>
      <c r="C135" s="1" t="s">
        <v>7</v>
      </c>
      <c r="D135" s="1" t="s">
        <v>16</v>
      </c>
    </row>
    <row r="136" spans="1:4" x14ac:dyDescent="0.35">
      <c r="A136" s="1">
        <v>135</v>
      </c>
      <c r="B136" s="4" t="str">
        <f>HYPERLINK("https://doi.org/10.3969/j.issn.2095-4344.2012.53.019","Xu (2012)")</f>
        <v>Xu (2012)</v>
      </c>
    </row>
    <row r="137" spans="1:4" x14ac:dyDescent="0.35">
      <c r="A137" s="1">
        <v>136</v>
      </c>
      <c r="B137" s="4" t="str">
        <f>HYPERLINK("https://doi.org/10.1016/j.arthro.2011.02.015","Fujita (2011)")</f>
        <v>Fujita (2011)</v>
      </c>
      <c r="C137" s="1" t="s">
        <v>4</v>
      </c>
    </row>
    <row r="138" spans="1:4" x14ac:dyDescent="0.35">
      <c r="A138" s="1">
        <v>137</v>
      </c>
      <c r="B138" s="4" t="str">
        <f>HYPERLINK("https://doi.org/10.3760/cma.j.issn.0366-6999.2009.06.022","Wang (2009)")</f>
        <v>Wang (2009)</v>
      </c>
      <c r="C138" s="1" t="s">
        <v>4</v>
      </c>
    </row>
    <row r="139" spans="1:4" x14ac:dyDescent="0.35">
      <c r="A139" s="1">
        <v>138</v>
      </c>
      <c r="B139" s="4" t="str">
        <f>HYPERLINK("https://doi.org/10.1016/j.arthro.2008.02.010","Ferretti (2008)")</f>
        <v>Ferretti (2008)</v>
      </c>
      <c r="C139" s="1" t="s">
        <v>4</v>
      </c>
    </row>
    <row r="140" spans="1:4" x14ac:dyDescent="0.35">
      <c r="A140" s="1">
        <v>139</v>
      </c>
      <c r="B140" s="4" t="str">
        <f>HYPERLINK("https://doi.org/10.1302/0301-620x.86b4.14856","Adachi (2004)")</f>
        <v>Adachi (2004)</v>
      </c>
      <c r="C140" s="1" t="s">
        <v>4</v>
      </c>
    </row>
    <row r="141" spans="1:4" x14ac:dyDescent="0.35">
      <c r="A141" s="1">
        <v>140</v>
      </c>
      <c r="B141" s="4" t="str">
        <f>HYPERLINK("https://doi.org/10.1016/S0968-0160(01)00062-X","Beard (2001)")</f>
        <v>Beard (2001)</v>
      </c>
      <c r="C141" s="1" t="s">
        <v>4</v>
      </c>
    </row>
    <row r="142" spans="1:4" x14ac:dyDescent="0.35">
      <c r="A142" s="1">
        <v>141</v>
      </c>
      <c r="B142" s="4" t="str">
        <f>HYPERLINK("https://doi.org/10.1016/j.arthro.2024.06.042","Lavender (2025)")</f>
        <v>Lavender (2025)</v>
      </c>
      <c r="C142" s="1" t="s">
        <v>4</v>
      </c>
    </row>
    <row r="143" spans="1:4" x14ac:dyDescent="0.35">
      <c r="A143" s="1">
        <v>142</v>
      </c>
      <c r="B143" s="4" t="str">
        <f>HYPERLINK("https://doi.org/10.1016/j.smhs.2025.03.002","Yue (2025)")</f>
        <v>Yue (2025)</v>
      </c>
      <c r="C143" s="1" t="s">
        <v>4</v>
      </c>
    </row>
    <row r="144" spans="1:4" x14ac:dyDescent="0.35">
      <c r="A144" s="1">
        <v>143</v>
      </c>
      <c r="B144" s="4" t="str">
        <f>HYPERLINK("https://doi.org/10.1186/s13063-024-08094-w","Ong (2024)")</f>
        <v>Ong (2024)</v>
      </c>
      <c r="C144" s="1" t="s">
        <v>4</v>
      </c>
    </row>
    <row r="145" spans="1:4" x14ac:dyDescent="0.35">
      <c r="A145" s="1">
        <v>144</v>
      </c>
      <c r="B145" s="4" t="str">
        <f>HYPERLINK("https://doi.org/10.53555/yqb1tm68","Khan (2024)")</f>
        <v>Khan (2024)</v>
      </c>
      <c r="C145" s="1" t="s">
        <v>7</v>
      </c>
      <c r="D145" s="1" t="s">
        <v>26</v>
      </c>
    </row>
    <row r="146" spans="1:4" x14ac:dyDescent="0.35">
      <c r="A146" s="1">
        <v>145</v>
      </c>
      <c r="B146" s="4" t="str">
        <f>HYPERLINK("https://doi.org/10.4103/jajs.jajs_137_22","Khan (2024)")</f>
        <v>Khan (2024)</v>
      </c>
      <c r="C146" s="1" t="s">
        <v>4</v>
      </c>
    </row>
    <row r="147" spans="1:4" x14ac:dyDescent="0.35">
      <c r="A147" s="1">
        <v>146</v>
      </c>
      <c r="B147" s="4" t="str">
        <f>HYPERLINK("https://doi.org/10.1177/2325967118797990","Runner (2018)")</f>
        <v>Runner (2018)</v>
      </c>
      <c r="C147" s="1" t="s">
        <v>4</v>
      </c>
    </row>
    <row r="148" spans="1:4" x14ac:dyDescent="0.35">
      <c r="A148" s="1">
        <v>147</v>
      </c>
      <c r="B148" s="4" t="str">
        <f>HYPERLINK("https://doi.org/10.3881/j.issn.1000-503X.2017.06.010","Zhang (2017)")</f>
        <v>Zhang (2017)</v>
      </c>
      <c r="C148" s="1" t="s">
        <v>7</v>
      </c>
      <c r="D148" s="1" t="s">
        <v>16</v>
      </c>
    </row>
    <row r="149" spans="1:4" x14ac:dyDescent="0.35">
      <c r="A149" s="1">
        <v>148</v>
      </c>
      <c r="B149" s="4" t="str">
        <f>HYPERLINK("https://doi.org/10.1055/s-2002-25750","Staub (2002)")</f>
        <v>Staub (2002)</v>
      </c>
      <c r="C149" s="1" t="s">
        <v>7</v>
      </c>
      <c r="D149" s="1" t="s">
        <v>16</v>
      </c>
    </row>
    <row r="150" spans="1:4" x14ac:dyDescent="0.35">
      <c r="A150" s="1">
        <v>149</v>
      </c>
      <c r="B150" s="4" t="str">
        <f>HYPERLINK("https://doi.org/10.1016/S0749-8063(85)80095-5","Tegner (1985)")</f>
        <v>Tegner (1985)</v>
      </c>
      <c r="C150" s="1" t="s">
        <v>7</v>
      </c>
    </row>
    <row r="151" spans="1:4" x14ac:dyDescent="0.35">
      <c r="A151" s="1">
        <v>150</v>
      </c>
      <c r="B151" s="4" t="str">
        <f>HYPERLINK("https://doi.org/10.47009/jamp.2024.6.5.90","Prasad (2024)")</f>
        <v>Prasad (2024)</v>
      </c>
    </row>
    <row r="152" spans="1:4" x14ac:dyDescent="0.35">
      <c r="A152" s="1">
        <v>151</v>
      </c>
      <c r="B152" s="4" t="str">
        <f>HYPERLINK("https://doi.org/10.1177/23259671221086669","Perry (2022)")</f>
        <v>Perry (2022)</v>
      </c>
      <c r="C152" s="1" t="s">
        <v>7</v>
      </c>
    </row>
    <row r="153" spans="1:4" x14ac:dyDescent="0.35">
      <c r="A153" s="1">
        <v>152</v>
      </c>
      <c r="B153" s="4" t="str">
        <f>HYPERLINK("https://doi.org/10.2106/JBJS.L.00356","Kim (2013)")</f>
        <v>Kim (2013)</v>
      </c>
      <c r="C153" s="1" t="s">
        <v>4</v>
      </c>
    </row>
    <row r="154" spans="1:4" x14ac:dyDescent="0.35">
      <c r="A154" s="1">
        <v>153</v>
      </c>
      <c r="B154" s="4" t="str">
        <f>HYPERLINK("https://doi.org/10.1186/s13018-018-1045-1","Mutsuzaki (2018)")</f>
        <v>Mutsuzaki (2018)</v>
      </c>
      <c r="C154" s="1" t="s">
        <v>4</v>
      </c>
    </row>
    <row r="155" spans="1:4" x14ac:dyDescent="0.35">
      <c r="A155" s="1">
        <v>154</v>
      </c>
      <c r="B155" s="4" t="str">
        <f>HYPERLINK("https://doi.org/10.1177/0363546504269590","Fithian (2005)")</f>
        <v>Fithian (2005)</v>
      </c>
      <c r="C155" s="1" t="s">
        <v>7</v>
      </c>
      <c r="D155" s="1" t="s">
        <v>11</v>
      </c>
    </row>
    <row r="156" spans="1:4" x14ac:dyDescent="0.35">
      <c r="A156" s="1">
        <v>155</v>
      </c>
      <c r="B156" s="4" t="str">
        <f>HYPERLINK("https://doi.org/10.1371/journal.pone.0183095","Chen (2017)")</f>
        <v>Chen (2017)</v>
      </c>
      <c r="C156" s="1" t="s">
        <v>7</v>
      </c>
      <c r="D156" s="1" t="s">
        <v>13</v>
      </c>
    </row>
    <row r="157" spans="1:4" x14ac:dyDescent="0.35">
      <c r="A157" s="1">
        <v>156</v>
      </c>
      <c r="B157" s="4" t="str">
        <f>HYPERLINK("https://doi.org/10.1007/s00167-014-3156-5","Bohn (2015)")</f>
        <v>Bohn (2015)</v>
      </c>
      <c r="C157" s="1" t="s">
        <v>4</v>
      </c>
    </row>
    <row r="158" spans="1:4" x14ac:dyDescent="0.35">
      <c r="A158" s="1">
        <v>157</v>
      </c>
      <c r="B158" s="4" t="str">
        <f>HYPERLINK("https://doi.org/10.11138/mltj/2017.7.4.564","Drocco (2017)")</f>
        <v>Drocco (2017)</v>
      </c>
    </row>
    <row r="159" spans="1:4" x14ac:dyDescent="0.35">
      <c r="A159" s="1">
        <v>158</v>
      </c>
      <c r="B159" s="4" t="str">
        <f>HYPERLINK("https://doi.org/10.1177/0363546517744535","Kim (2018)")</f>
        <v>Kim (2018)</v>
      </c>
      <c r="C159" s="1" t="s">
        <v>4</v>
      </c>
    </row>
    <row r="160" spans="1:4" x14ac:dyDescent="0.35">
      <c r="A160" s="1">
        <v>159</v>
      </c>
      <c r="B160" s="4" t="str">
        <f>HYPERLINK("https://doi.org/10.3389/fsurg.2023.1003022","Cai (2023)")</f>
        <v>Cai (2023)</v>
      </c>
      <c r="C160" s="1" t="s">
        <v>4</v>
      </c>
    </row>
    <row r="161" spans="1:4" x14ac:dyDescent="0.35">
      <c r="A161" s="1">
        <v>160</v>
      </c>
      <c r="B161" s="4" t="str">
        <f>HYPERLINK("https://doi.org/10.1097/PHM.0000000000000941","Song (2018)")</f>
        <v>Song (2018)</v>
      </c>
      <c r="C161" s="1" t="s">
        <v>7</v>
      </c>
      <c r="D161" s="1" t="s">
        <v>13</v>
      </c>
    </row>
    <row r="162" spans="1:4" x14ac:dyDescent="0.35">
      <c r="A162" s="1">
        <v>161</v>
      </c>
      <c r="B162" s="4" t="str">
        <f>HYPERLINK("https://doi.org/10.3389/fresc.2025.1627228","Vicente-Mampel (2025)")</f>
        <v>Vicente-Mampel (2025)</v>
      </c>
      <c r="C162" s="1" t="s">
        <v>4</v>
      </c>
    </row>
    <row r="163" spans="1:4" x14ac:dyDescent="0.35">
      <c r="A163" s="1">
        <v>162</v>
      </c>
      <c r="B163" s="4" t="str">
        <f>HYPERLINK("https://doi.org/10.1007/s00402-024-05356-9","Helal (2024)")</f>
        <v>Helal (2024)</v>
      </c>
      <c r="C163" s="1" t="s">
        <v>15</v>
      </c>
      <c r="D163" s="1" t="s">
        <v>27</v>
      </c>
    </row>
    <row r="164" spans="1:4" x14ac:dyDescent="0.35">
      <c r="A164" s="1">
        <v>163</v>
      </c>
      <c r="B164" s="4" t="str">
        <f>HYPERLINK("https://doi.org/10.1177/2325967116685525","Kiekara (2017)")</f>
        <v>Kiekara (2017)</v>
      </c>
      <c r="C164" s="1" t="s">
        <v>7</v>
      </c>
    </row>
    <row r="165" spans="1:4" x14ac:dyDescent="0.35">
      <c r="A165" s="1">
        <v>164</v>
      </c>
      <c r="B165" s="4" t="str">
        <f>HYPERLINK("https://doi.org/10.1007/s00167-017-4623-6","Minzlaff (2018)")</f>
        <v>Minzlaff (2018)</v>
      </c>
      <c r="C165" s="1" t="s">
        <v>7</v>
      </c>
    </row>
    <row r="166" spans="1:4" x14ac:dyDescent="0.35">
      <c r="A166" s="1">
        <v>165</v>
      </c>
      <c r="B166" s="4" t="str">
        <f>HYPERLINK("https://doi.org/10.1016/j.jor.2019.04.004","Mutsuzaki (2019)")</f>
        <v>Mutsuzaki (2019)</v>
      </c>
      <c r="C166" s="1" t="s">
        <v>4</v>
      </c>
    </row>
    <row r="167" spans="1:4" x14ac:dyDescent="0.35">
      <c r="A167" s="1">
        <v>166</v>
      </c>
      <c r="B167" s="4" t="str">
        <f>HYPERLINK("https://doi.org/10.1002/ksa.70170","Fu (2025)")</f>
        <v>Fu (2025)</v>
      </c>
      <c r="C167" s="1" t="s">
        <v>4</v>
      </c>
    </row>
    <row r="168" spans="1:4" x14ac:dyDescent="0.35">
      <c r="A168" s="1">
        <v>167</v>
      </c>
      <c r="B168" s="4" t="str">
        <f>HYPERLINK("https://doi.org/10.1016/j.physio.2021.11.003","Li (2022)")</f>
        <v>Li (2022)</v>
      </c>
      <c r="C168" s="1" t="s">
        <v>4</v>
      </c>
    </row>
    <row r="169" spans="1:4" x14ac:dyDescent="0.35">
      <c r="A169" s="1">
        <v>168</v>
      </c>
      <c r="B169" s="4" t="str">
        <f>HYPERLINK("https://doi.org/10.2519/jospt.2014.4852","Logerstedt (2014)")</f>
        <v>Logerstedt (2014)</v>
      </c>
      <c r="C169" s="1" t="s">
        <v>7</v>
      </c>
    </row>
    <row r="170" spans="1:4" x14ac:dyDescent="0.35">
      <c r="A170" s="1">
        <v>169</v>
      </c>
      <c r="B170" s="4" t="str">
        <f>HYPERLINK("https://doi.org/10.1177/03635465241271524","Popovic (2024)")</f>
        <v>Popovic (2024)</v>
      </c>
      <c r="C170" s="1" t="s">
        <v>4</v>
      </c>
      <c r="D170" s="1" t="s">
        <v>28</v>
      </c>
    </row>
    <row r="171" spans="1:4" x14ac:dyDescent="0.35">
      <c r="A171" s="1">
        <v>170</v>
      </c>
      <c r="B171" s="4" t="str">
        <f>HYPERLINK("https://doi.org/10.3390/medicina59101764","Obradovi? (2023)")</f>
        <v>Obradovi? (2023)</v>
      </c>
      <c r="C171" s="1" t="s">
        <v>7</v>
      </c>
    </row>
    <row r="172" spans="1:4" x14ac:dyDescent="0.35">
      <c r="A172" s="1">
        <v>171</v>
      </c>
      <c r="B172" s="4" t="str">
        <f>HYPERLINK("https://doi.org/10.1016/j.knee.2022.03.015","de (2022)")</f>
        <v>de (2022)</v>
      </c>
      <c r="C172" s="1" t="s">
        <v>4</v>
      </c>
    </row>
    <row r="173" spans="1:4" x14ac:dyDescent="0.35">
      <c r="A173" s="1">
        <v>172</v>
      </c>
      <c r="B173" s="4" t="str">
        <f>HYPERLINK("https://doi.org/10.1016/j.arthro.2021.12.018","Chahal (2022)")</f>
        <v>Chahal (2022)</v>
      </c>
      <c r="C173" s="1" t="s">
        <v>4</v>
      </c>
      <c r="D173" s="1" t="s">
        <v>28</v>
      </c>
    </row>
    <row r="174" spans="1:4" x14ac:dyDescent="0.35">
      <c r="A174" s="1">
        <v>173</v>
      </c>
      <c r="B174" s="4" t="str">
        <f>HYPERLINK("https://doi.org/10.1007/s00402-021-04195-2","Komzák (2022)")</f>
        <v>Komzák (2022)</v>
      </c>
      <c r="C174" s="1" t="s">
        <v>4</v>
      </c>
      <c r="D174" s="1" t="s">
        <v>29</v>
      </c>
    </row>
    <row r="175" spans="1:4" x14ac:dyDescent="0.35">
      <c r="A175" s="1">
        <v>174</v>
      </c>
      <c r="B175" s="4" t="str">
        <f>HYPERLINK("https://doi.org/10.1177/03635465211010798","Marmura (2021)")</f>
        <v>Marmura (2021)</v>
      </c>
      <c r="C175" s="1" t="s">
        <v>15</v>
      </c>
      <c r="D175" s="1" t="s">
        <v>20</v>
      </c>
    </row>
    <row r="176" spans="1:4" x14ac:dyDescent="0.35">
      <c r="A176" s="1">
        <v>175</v>
      </c>
      <c r="B176" s="4" t="str">
        <f>HYPERLINK("https://doi.org/10.1007/s00402-020-03508-1","Barié (2020)")</f>
        <v>Barié (2020)</v>
      </c>
      <c r="C176" s="1" t="s">
        <v>4</v>
      </c>
      <c r="D176" s="1" t="s">
        <v>29</v>
      </c>
    </row>
    <row r="177" spans="1:4" x14ac:dyDescent="0.35">
      <c r="A177" s="1">
        <v>176</v>
      </c>
      <c r="B177" s="4" t="str">
        <f>HYPERLINK("https://doi.org/10.1177/0363546520914936","Castoldi (2020)")</f>
        <v>Castoldi (2020)</v>
      </c>
      <c r="C177" s="1" t="s">
        <v>4</v>
      </c>
      <c r="D177" s="1" t="s">
        <v>28</v>
      </c>
    </row>
    <row r="178" spans="1:4" x14ac:dyDescent="0.35">
      <c r="A178" s="1">
        <v>177</v>
      </c>
      <c r="B178" s="4" t="str">
        <f>HYPERLINK("https://doi.org/10.1177/0363546520913532","Murray (2020)")</f>
        <v>Murray (2020)</v>
      </c>
      <c r="C178" s="1" t="s">
        <v>4</v>
      </c>
    </row>
    <row r="179" spans="1:4" x14ac:dyDescent="0.35">
      <c r="A179" s="1">
        <v>178</v>
      </c>
      <c r="B179" s="4" t="str">
        <f>HYPERLINK("https://doi.org/10.1016/j.arthro.2020.01.048","Smith (2020)")</f>
        <v>Smith (2020)</v>
      </c>
      <c r="C179" s="1" t="s">
        <v>4</v>
      </c>
    </row>
    <row r="180" spans="1:4" x14ac:dyDescent="0.35">
      <c r="A180" s="1">
        <v>179</v>
      </c>
      <c r="B180" s="4" t="str">
        <f>HYPERLINK("https://doi.org/10.2106/JBJS.18.01322","Mohtadi (2019)")</f>
        <v>Mohtadi (2019)</v>
      </c>
      <c r="C180" s="1" t="s">
        <v>4</v>
      </c>
    </row>
    <row r="181" spans="1:4" x14ac:dyDescent="0.35">
      <c r="A181" s="1">
        <v>180</v>
      </c>
      <c r="B181" s="4" t="str">
        <f>HYPERLINK("https://doi.org/10.1016/j.arthro.2018.10.149","Bailey (2019)")</f>
        <v>Bailey (2019)</v>
      </c>
      <c r="C181" s="1" t="s">
        <v>4</v>
      </c>
    </row>
    <row r="182" spans="1:4" x14ac:dyDescent="0.35">
      <c r="A182" s="1">
        <v>181</v>
      </c>
      <c r="B182" s="4" t="str">
        <f>HYPERLINK("https://doi.org/10.1177/0363546518769295","Walters (2018)")</f>
        <v>Walters (2018)</v>
      </c>
      <c r="C182" s="1" t="s">
        <v>4</v>
      </c>
    </row>
    <row r="183" spans="1:4" x14ac:dyDescent="0.35">
      <c r="A183" s="1">
        <v>182</v>
      </c>
      <c r="B183" s="4" t="str">
        <f>HYPERLINK("https://doi.org/10.1177/0363546518768768","Sajovic (2018)")</f>
        <v>Sajovic (2018)</v>
      </c>
      <c r="C183" s="1" t="s">
        <v>4</v>
      </c>
    </row>
    <row r="184" spans="1:4" x14ac:dyDescent="0.35">
      <c r="A184" s="1">
        <v>183</v>
      </c>
      <c r="B184" s="4" t="str">
        <f>HYPERLINK("https://doi.org/10.1016/j.otsr.2016.08.011","Bressy (2016)")</f>
        <v>Bressy (2016)</v>
      </c>
      <c r="C184" s="1" t="s">
        <v>7</v>
      </c>
    </row>
    <row r="185" spans="1:4" x14ac:dyDescent="0.35">
      <c r="A185" s="1">
        <v>184</v>
      </c>
      <c r="B185" s="4" t="str">
        <f>HYPERLINK("https://doi.org/10.1007/s00402-016-2548-z","Mei (2016)")</f>
        <v>Mei (2016)</v>
      </c>
      <c r="C185" s="1" t="s">
        <v>4</v>
      </c>
    </row>
    <row r="186" spans="1:4" x14ac:dyDescent="0.35">
      <c r="A186" s="1">
        <v>185</v>
      </c>
      <c r="B186" s="4" t="str">
        <f>HYPERLINK("https://doi.org/10.1007/s00590-016-1809-4","Biswal (2016)")</f>
        <v>Biswal (2016)</v>
      </c>
      <c r="C186" s="1" t="s">
        <v>15</v>
      </c>
    </row>
    <row r="187" spans="1:4" x14ac:dyDescent="0.35">
      <c r="A187" s="1">
        <v>186</v>
      </c>
      <c r="B187" s="4" t="str">
        <f>HYPERLINK("https://doi.org/10.1007/s00167-016-4229-4","Iliopoulos (2017)")</f>
        <v>Iliopoulos (2017)</v>
      </c>
      <c r="C187" s="1" t="s">
        <v>4</v>
      </c>
      <c r="D187" s="1" t="s">
        <v>30</v>
      </c>
    </row>
    <row r="188" spans="1:4" x14ac:dyDescent="0.35">
      <c r="A188" s="1">
        <v>187</v>
      </c>
      <c r="B188" s="4" t="str">
        <f>HYPERLINK("https://doi.org/10.1177/0363546516646378","Björnsson (2016)")</f>
        <v>Björnsson (2016)</v>
      </c>
      <c r="C188" s="1" t="s">
        <v>4</v>
      </c>
    </row>
    <row r="189" spans="1:4" x14ac:dyDescent="0.35">
      <c r="A189" s="1">
        <v>188</v>
      </c>
      <c r="B189" s="4" t="str">
        <f>HYPERLINK("https://doi.org/10.1177/0363546516638387","Akelman (2016)")</f>
        <v>Akelman (2016)</v>
      </c>
      <c r="C189" s="1" t="s">
        <v>4</v>
      </c>
    </row>
    <row r="190" spans="1:4" x14ac:dyDescent="0.35">
      <c r="A190" s="1">
        <v>189</v>
      </c>
      <c r="B190" s="4" t="str">
        <f>HYPERLINK("https://doi.org/10.1177/0363546515624471","Sasaki (2016)")</f>
        <v>Sasaki (2016)</v>
      </c>
      <c r="C190" s="1" t="s">
        <v>4</v>
      </c>
    </row>
    <row r="191" spans="1:4" x14ac:dyDescent="0.35">
      <c r="A191" s="1">
        <v>190</v>
      </c>
      <c r="B191" s="4" t="str">
        <f>HYPERLINK("https://doi.org/10.1007/s00402-015-2386-4","Konrads (2016)")</f>
        <v>Konrads (2016)</v>
      </c>
      <c r="C191" s="1" t="s">
        <v>4</v>
      </c>
    </row>
    <row r="192" spans="1:4" x14ac:dyDescent="0.35">
      <c r="A192" s="1">
        <v>191</v>
      </c>
      <c r="B192" s="4" t="str">
        <f>HYPERLINK("https://doi.org/10.1177/0363546515611886","Webster (2016)")</f>
        <v>Webster (2016)</v>
      </c>
      <c r="C192" s="1" t="s">
        <v>4</v>
      </c>
    </row>
    <row r="193" spans="1:3" x14ac:dyDescent="0.35">
      <c r="A193" s="1">
        <v>192</v>
      </c>
      <c r="B193" s="4" t="str">
        <f>HYPERLINK("https://doi.org/10.1097/JSM.0000000000000209","Mohtadi (2016)")</f>
        <v>Mohtadi (2016)</v>
      </c>
      <c r="C193" s="1" t="s">
        <v>4</v>
      </c>
    </row>
    <row r="194" spans="1:3" x14ac:dyDescent="0.35">
      <c r="A194" s="1">
        <v>193</v>
      </c>
      <c r="B194" s="4" t="str">
        <f>HYPERLINK("https://doi.org/10.1097/JSM.0000000000000165","Mohtadi (2015)")</f>
        <v>Mohtadi (2015)</v>
      </c>
      <c r="C194" s="1" t="s">
        <v>4</v>
      </c>
    </row>
    <row r="195" spans="1:3" x14ac:dyDescent="0.35">
      <c r="A195" s="1">
        <v>194</v>
      </c>
      <c r="B195" s="4" t="str">
        <f>HYPERLINK("https://doi.org/10.1016/S0020-1383(14)70008-7","Valentí (2014)")</f>
        <v>Valentí (2014)</v>
      </c>
      <c r="C195" s="1" t="s">
        <v>7</v>
      </c>
    </row>
    <row r="196" spans="1:3" x14ac:dyDescent="0.35">
      <c r="A196" s="1">
        <v>195</v>
      </c>
      <c r="B196" s="4" t="str">
        <f>HYPERLINK("https://doi.org/10.1007/s00264-014-2513-9","Papalia (2015)")</f>
        <v>Papalia (2015)</v>
      </c>
      <c r="C196" s="1" t="s">
        <v>4</v>
      </c>
    </row>
    <row r="197" spans="1:3" x14ac:dyDescent="0.35">
      <c r="A197" s="1">
        <v>196</v>
      </c>
      <c r="B197" s="4" t="str">
        <f>HYPERLINK("https://doi.org/10.1007/s00264-014-2495-7","Kautzner (2015)")</f>
        <v>Kautzner (2015)</v>
      </c>
      <c r="C197" s="1" t="s">
        <v>4</v>
      </c>
    </row>
    <row r="198" spans="1:3" x14ac:dyDescent="0.35">
      <c r="A198" s="1">
        <v>197</v>
      </c>
      <c r="B198" s="4" t="str">
        <f>HYPERLINK("https://doi.org/10.1007/s00508-014-0550-4","Leitgeb (2014)")</f>
        <v>Leitgeb (2014)</v>
      </c>
      <c r="C198" s="1" t="s">
        <v>7</v>
      </c>
    </row>
    <row r="199" spans="1:3" x14ac:dyDescent="0.35">
      <c r="A199" s="1">
        <v>198</v>
      </c>
      <c r="B199" s="4" t="str">
        <f>HYPERLINK("https://doi.org/10.1007/s00402-014-1999-3","Sarzaeem (2014)")</f>
        <v>Sarzaeem (2014)</v>
      </c>
      <c r="C199" s="1" t="s">
        <v>4</v>
      </c>
    </row>
    <row r="200" spans="1:3" x14ac:dyDescent="0.35">
      <c r="A200" s="1">
        <v>199</v>
      </c>
      <c r="B200" s="4" t="str">
        <f>HYPERLINK("https://doi.org/10.1177/0363546514526139","Barenius (2014)")</f>
        <v>Barenius (2014)</v>
      </c>
      <c r="C200" s="1" t="s">
        <v>4</v>
      </c>
    </row>
    <row r="201" spans="1:3" x14ac:dyDescent="0.35">
      <c r="A201" s="1">
        <v>200</v>
      </c>
      <c r="B201" s="4" t="str">
        <f>HYPERLINK("https://doi.org/10.1016/j.arthro.2014.01.012","Lund (2014)")</f>
        <v>Lund (2014)</v>
      </c>
      <c r="C201" s="1" t="s">
        <v>4</v>
      </c>
    </row>
    <row r="202" spans="1:3" x14ac:dyDescent="0.35">
      <c r="A202" s="1">
        <v>201</v>
      </c>
      <c r="B202" s="4" t="str">
        <f>HYPERLINK("https://doi.org/10.1177/0363546513499140","McRae (2013)")</f>
        <v>McRae (2013)</v>
      </c>
      <c r="C202" s="1" t="s">
        <v>4</v>
      </c>
    </row>
    <row r="203" spans="1:3" x14ac:dyDescent="0.35">
      <c r="A203" s="1">
        <v>202</v>
      </c>
      <c r="B203" s="4" t="str">
        <f>HYPERLINK("https://doi.org/10.1007/s00167-013-2636-3","Peterson (2014)")</f>
        <v>Peterson (2014)</v>
      </c>
      <c r="C203" s="1" t="s">
        <v>4</v>
      </c>
    </row>
    <row r="204" spans="1:3" x14ac:dyDescent="0.35">
      <c r="A204" s="1">
        <v>203</v>
      </c>
      <c r="B204" s="4" t="str">
        <f>HYPERLINK("https://doi.org/10.1007/s00167-013-2630-9","Stensbirk (2014)")</f>
        <v>Stensbirk (2014)</v>
      </c>
      <c r="C204" s="1" t="s">
        <v>4</v>
      </c>
    </row>
    <row r="205" spans="1:3" x14ac:dyDescent="0.35">
      <c r="A205" s="1">
        <v>204</v>
      </c>
      <c r="B205" s="4" t="str">
        <f>HYPERLINK("https://doi.org/10.1007/s00167-013-2564-2","Mayr (2014)")</f>
        <v>Mayr (2014)</v>
      </c>
      <c r="C205" s="1" t="s">
        <v>4</v>
      </c>
    </row>
    <row r="206" spans="1:3" x14ac:dyDescent="0.35">
      <c r="A206" s="1">
        <v>205</v>
      </c>
      <c r="B206" s="4" t="str">
        <f>HYPERLINK("https://doi.org/10.1007/s00167-012-2309-7","Indelicato (2013)")</f>
        <v>Indelicato (2013)</v>
      </c>
      <c r="C206" s="1" t="s">
        <v>4</v>
      </c>
    </row>
    <row r="207" spans="1:3" x14ac:dyDescent="0.35">
      <c r="A207" s="1">
        <v>206</v>
      </c>
      <c r="B207" s="4" t="str">
        <f>HYPERLINK("https://doi.org/10.1016/j.knee.2012.02.005","Lui (2012)")</f>
        <v>Lui (2012)</v>
      </c>
      <c r="C207" s="1" t="s">
        <v>4</v>
      </c>
    </row>
    <row r="208" spans="1:3" x14ac:dyDescent="0.35">
      <c r="A208" s="1">
        <v>207</v>
      </c>
      <c r="B208" s="4" t="str">
        <f>HYPERLINK("https://doi.org/10.1007/s00167-012-1947-0","Gifstad (2013)")</f>
        <v>Gifstad (2013)</v>
      </c>
      <c r="C208" s="1" t="s">
        <v>4</v>
      </c>
    </row>
    <row r="209" spans="1:4" x14ac:dyDescent="0.35">
      <c r="A209" s="1">
        <v>208</v>
      </c>
      <c r="B209" s="4" t="str">
        <f>HYPERLINK("https://doi.org/10.1177/0363546511430375","Leys (2012)")</f>
        <v>Leys (2012)</v>
      </c>
      <c r="C209" s="1" t="s">
        <v>15</v>
      </c>
    </row>
    <row r="210" spans="1:4" x14ac:dyDescent="0.35">
      <c r="A210" s="1">
        <v>209</v>
      </c>
      <c r="B210" s="4" t="str">
        <f>HYPERLINK("https://doi.org/10.1177/0363546511411702","Sajovic (2011)")</f>
        <v>Sajovic (2011)</v>
      </c>
      <c r="C210" s="1" t="s">
        <v>4</v>
      </c>
    </row>
    <row r="211" spans="1:4" x14ac:dyDescent="0.35">
      <c r="A211" s="1">
        <v>210</v>
      </c>
      <c r="B211" s="4" t="str">
        <f>HYPERLINK("https://doi.org/10.1097/JSM.0b013e31822153cb","Leal-Blanquet (2011)")</f>
        <v>Leal-Blanquet (2011)</v>
      </c>
      <c r="C211" s="1" t="s">
        <v>15</v>
      </c>
    </row>
    <row r="212" spans="1:4" x14ac:dyDescent="0.35">
      <c r="A212" s="1">
        <v>211</v>
      </c>
      <c r="B212" s="4" t="str">
        <f>HYPERLINK("https://doi.org/10.1016/j.arthro.2011.01.015","Wipfler (2011)")</f>
        <v>Wipfler (2011)</v>
      </c>
      <c r="C212" s="1" t="s">
        <v>4</v>
      </c>
    </row>
    <row r="213" spans="1:4" x14ac:dyDescent="0.35">
      <c r="A213" s="1">
        <v>212</v>
      </c>
      <c r="B213" s="4" t="str">
        <f>HYPERLINK("https://doi.org/10.1007/s00167-010-1353-4","Drogset (2011)")</f>
        <v>Drogset (2011)</v>
      </c>
      <c r="C213" s="1" t="s">
        <v>4</v>
      </c>
    </row>
    <row r="214" spans="1:4" x14ac:dyDescent="0.35">
      <c r="A214" s="1">
        <v>213</v>
      </c>
      <c r="B214" s="4" t="str">
        <f>HYPERLINK("https://doi.org/10.1007/s00167-010-1225-y","Zaffagnini (2011)")</f>
        <v>Zaffagnini (2011)</v>
      </c>
      <c r="C214" s="1" t="s">
        <v>4</v>
      </c>
    </row>
    <row r="215" spans="1:4" x14ac:dyDescent="0.35">
      <c r="A215" s="1">
        <v>214</v>
      </c>
      <c r="B215" s="4" t="str">
        <f>HYPERLINK("https://doi.org/10.1177/0363546510369549","Barenius (2010)")</f>
        <v>Barenius (2010)</v>
      </c>
      <c r="C215" s="1" t="s">
        <v>4</v>
      </c>
    </row>
    <row r="216" spans="1:4" x14ac:dyDescent="0.35">
      <c r="A216" s="1">
        <v>215</v>
      </c>
      <c r="B216" s="4" t="str">
        <f>HYPERLINK("https://doi.org/10.1007/s00264-010-1000-1","Alentorn-Geli (2010)")</f>
        <v>Alentorn-Geli (2010)</v>
      </c>
      <c r="C216" s="1" t="s">
        <v>4</v>
      </c>
    </row>
    <row r="217" spans="1:4" x14ac:dyDescent="0.35">
      <c r="A217" s="1">
        <v>216</v>
      </c>
      <c r="B217" s="4" t="str">
        <f>HYPERLINK("https://doi.org/10.1177/0363546509349490","Sekir (2010)")</f>
        <v>Sekir (2010)</v>
      </c>
      <c r="C217" s="1" t="s">
        <v>4</v>
      </c>
      <c r="D217" s="1" t="s">
        <v>31</v>
      </c>
    </row>
    <row r="218" spans="1:4" x14ac:dyDescent="0.35">
      <c r="A218" s="1">
        <v>217</v>
      </c>
      <c r="B218" s="4" t="str">
        <f>HYPERLINK("https://doi.org/10.1177/0363546509350301","Holm (2010)")</f>
        <v>Holm (2010)</v>
      </c>
      <c r="C218" s="1" t="s">
        <v>4</v>
      </c>
    </row>
    <row r="219" spans="1:4" x14ac:dyDescent="0.35">
      <c r="A219" s="1">
        <v>218</v>
      </c>
      <c r="B219" s="4" t="str">
        <f>HYPERLINK("https://doi.org/10.1007/s00167-009-0996-5","Drogset (2010)")</f>
        <v>Drogset (2010)</v>
      </c>
      <c r="C219" s="1" t="s">
        <v>4</v>
      </c>
    </row>
    <row r="220" spans="1:4" x14ac:dyDescent="0.35">
      <c r="A220" s="1">
        <v>219</v>
      </c>
      <c r="B220" s="4" t="str">
        <f>HYPERLINK("https://doi.org/10.1016/j.knee.2009.09.008","Ghalayini (2010)")</f>
        <v>Ghalayini (2010)</v>
      </c>
      <c r="C220" s="1" t="s">
        <v>4</v>
      </c>
    </row>
    <row r="221" spans="1:4" x14ac:dyDescent="0.35">
      <c r="A221" s="1">
        <v>220</v>
      </c>
      <c r="B221" s="4" t="str">
        <f>HYPERLINK("https://doi.org/10.1016/j.arthro.2009.05.016","Endele (2009)")</f>
        <v>Endele (2009)</v>
      </c>
      <c r="C221" s="1" t="s">
        <v>4</v>
      </c>
    </row>
    <row r="222" spans="1:4" x14ac:dyDescent="0.35">
      <c r="A222" s="1">
        <v>221</v>
      </c>
      <c r="B222" s="4" t="str">
        <f>HYPERLINK("https://doi.org/10.1177/0363546509339577","Taylor (2009)")</f>
        <v>Taylor (2009)</v>
      </c>
      <c r="C222" s="1" t="s">
        <v>4</v>
      </c>
    </row>
    <row r="223" spans="1:4" x14ac:dyDescent="0.35">
      <c r="A223" s="1">
        <v>222</v>
      </c>
      <c r="B223" s="4" t="str">
        <f>HYPERLINK("https://doi.org/10.1007/s00167-009-0846-5","Ahldén (2009)")</f>
        <v>Ahldén (2009)</v>
      </c>
      <c r="C223" s="1" t="s">
        <v>4</v>
      </c>
    </row>
    <row r="224" spans="1:4" x14ac:dyDescent="0.35">
      <c r="A224" s="1">
        <v>223</v>
      </c>
      <c r="B224" s="4" t="str">
        <f>HYPERLINK("https://doi.org/10.1007/s11999-008-0604-x","Tsuda (2009)")</f>
        <v>Tsuda (2009)</v>
      </c>
      <c r="C224" s="1" t="s">
        <v>7</v>
      </c>
    </row>
    <row r="225" spans="1:3" x14ac:dyDescent="0.35">
      <c r="A225" s="1">
        <v>224</v>
      </c>
      <c r="B225" s="4" t="str">
        <f>HYPERLINK("https://doi.org/10.1016/j.rco.2008.01.008","Laboute (2008)")</f>
        <v>Laboute (2008)</v>
      </c>
      <c r="C225" s="1" t="s">
        <v>7</v>
      </c>
    </row>
    <row r="226" spans="1:3" x14ac:dyDescent="0.35">
      <c r="A226" s="1">
        <v>225</v>
      </c>
      <c r="B226" s="4" t="str">
        <f>HYPERLINK("https://doi.org/10.1007/s11999-007-0015-4","Han (2008)")</f>
        <v>Han (2008)</v>
      </c>
      <c r="C226" s="1" t="s">
        <v>4</v>
      </c>
    </row>
    <row r="227" spans="1:3" x14ac:dyDescent="0.35">
      <c r="A227" s="1">
        <v>226</v>
      </c>
      <c r="B227" s="4" t="str">
        <f>HYPERLINK("https://doi.org/10.1097/JSM.0b013e31812570fa","Huang (2007)")</f>
        <v>Huang (2007)</v>
      </c>
      <c r="C227" s="1" t="s">
        <v>4</v>
      </c>
    </row>
    <row r="228" spans="1:3" x14ac:dyDescent="0.35">
      <c r="A228" s="1">
        <v>227</v>
      </c>
      <c r="B228" s="4" t="str">
        <f>HYPERLINK("https://doi.org/10.1007/s00264-007-0341-x","Sajovic (2008)")</f>
        <v>Sajovic (2008)</v>
      </c>
      <c r="C228" s="1" t="s">
        <v>4</v>
      </c>
    </row>
    <row r="229" spans="1:3" x14ac:dyDescent="0.35">
      <c r="A229" s="1">
        <v>228</v>
      </c>
      <c r="B229" s="4" t="str">
        <f>HYPERLINK("https://doi.org/10.1177/0363546506298275","Lidén (2007)")</f>
        <v>Lidén (2007)</v>
      </c>
      <c r="C229" s="1" t="s">
        <v>4</v>
      </c>
    </row>
    <row r="230" spans="1:3" x14ac:dyDescent="0.35">
      <c r="A230" s="1">
        <v>229</v>
      </c>
      <c r="B230" s="4" t="str">
        <f>HYPERLINK("https://doi.org/10.1177/0363546506296042","Pinczewski (2007)")</f>
        <v>Pinczewski (2007)</v>
      </c>
      <c r="C230" s="1" t="s">
        <v>4</v>
      </c>
    </row>
    <row r="231" spans="1:3" x14ac:dyDescent="0.35">
      <c r="A231" s="1">
        <v>230</v>
      </c>
      <c r="B231" s="4" t="str">
        <f>HYPERLINK("https://doi.org/10.1177/0363546506296040","Chouliaras (2007)")</f>
        <v>Chouliaras (2007)</v>
      </c>
    </row>
    <row r="232" spans="1:3" x14ac:dyDescent="0.35">
      <c r="A232" s="1">
        <v>231</v>
      </c>
      <c r="B232" s="4" t="str">
        <f>HYPERLINK("https://doi.org/10.1016/s0035-1040(06)75947-5","Giraud (2006)")</f>
        <v>Giraud (2006)</v>
      </c>
      <c r="C232" s="1" t="s">
        <v>7</v>
      </c>
    </row>
    <row r="233" spans="1:3" x14ac:dyDescent="0.35">
      <c r="A233" s="1">
        <v>232</v>
      </c>
      <c r="B233" s="4" t="str">
        <f>HYPERLINK("https://doi.org/10.1007/s00167-006-0246-z","Heijne (2007)")</f>
        <v>Heijne (2007)</v>
      </c>
      <c r="C233" s="1" t="s">
        <v>4</v>
      </c>
    </row>
    <row r="234" spans="1:3" x14ac:dyDescent="0.35">
      <c r="A234" s="1">
        <v>233</v>
      </c>
      <c r="B234" s="4" t="str">
        <f>HYPERLINK("https://doi.org/10.1177/0363546506294361","Maletis (2007)")</f>
        <v>Maletis (2007)</v>
      </c>
      <c r="C234" s="1" t="s">
        <v>4</v>
      </c>
    </row>
    <row r="235" spans="1:3" x14ac:dyDescent="0.35">
      <c r="A235" s="1">
        <v>234</v>
      </c>
      <c r="B235" s="4" t="str">
        <f>HYPERLINK("https://doi.org/10.1016/j.knee.2006.10.004","Ito (2007)")</f>
        <v>Ito (2007)</v>
      </c>
      <c r="C235" s="1" t="s">
        <v>4</v>
      </c>
    </row>
    <row r="236" spans="1:3" x14ac:dyDescent="0.35">
      <c r="A236" s="1">
        <v>235</v>
      </c>
      <c r="B236" s="4" t="str">
        <f>HYPERLINK("https://doi.org/10.1177/0363546506290726","Sajovic (2006)")</f>
        <v>Sajovic (2006)</v>
      </c>
      <c r="C236" s="1" t="s">
        <v>4</v>
      </c>
    </row>
    <row r="237" spans="1:3" x14ac:dyDescent="0.35">
      <c r="A237" s="1">
        <v>236</v>
      </c>
      <c r="B237" s="4" t="str">
        <f>HYPERLINK("https://doi.org/10.1007/s00167-006-0059-0","Harilainen (2006)")</f>
        <v>Harilainen (2006)</v>
      </c>
      <c r="C237" s="1" t="s">
        <v>4</v>
      </c>
    </row>
    <row r="238" spans="1:3" x14ac:dyDescent="0.35">
      <c r="A238" s="1">
        <v>237</v>
      </c>
      <c r="B238" s="4" t="str">
        <f>HYPERLINK("https://doi.org/10.1007/s00167-006-0050-9","Gobbi (2006)")</f>
        <v>Gobbi (2006)</v>
      </c>
      <c r="C238" s="1" t="s">
        <v>4</v>
      </c>
    </row>
    <row r="239" spans="1:3" x14ac:dyDescent="0.35">
      <c r="A239" s="1">
        <v>238</v>
      </c>
      <c r="B239" s="4" t="str">
        <f>HYPERLINK("https://doi.org/10.1177/0363546505284889","Halinen (2006)")</f>
        <v>Halinen (2006)</v>
      </c>
      <c r="C239" s="1" t="s">
        <v>4</v>
      </c>
    </row>
    <row r="240" spans="1:3" x14ac:dyDescent="0.35">
      <c r="A240" s="1">
        <v>239</v>
      </c>
      <c r="B240" s="4" t="str">
        <f>HYPERLINK("https://doi.org/10.1111/j.1600-0838.2004.00435.x","Harilainen (2006)")</f>
        <v>Harilainen (2006)</v>
      </c>
      <c r="C240" s="1" t="s">
        <v>4</v>
      </c>
    </row>
    <row r="241" spans="1:4" x14ac:dyDescent="0.35">
      <c r="A241" s="1">
        <v>240</v>
      </c>
      <c r="B241" s="4" t="str">
        <f>HYPERLINK("https://doi.org/10.1007/s00167-005-0708-8","Svensson (2006)")</f>
        <v>Svensson (2006)</v>
      </c>
      <c r="C241" s="1" t="s">
        <v>7</v>
      </c>
    </row>
    <row r="242" spans="1:4" x14ac:dyDescent="0.35">
      <c r="A242" s="1">
        <v>241</v>
      </c>
      <c r="B242" s="4" t="str">
        <f>HYPERLINK("https://doi.org/10.1177/0363546505279919","Matsumoto (2006)")</f>
        <v>Matsumoto (2006)</v>
      </c>
      <c r="C242" s="1" t="s">
        <v>4</v>
      </c>
    </row>
    <row r="243" spans="1:4" x14ac:dyDescent="0.35">
      <c r="A243" s="1">
        <v>242</v>
      </c>
      <c r="B243" s="4" t="str">
        <f>HYPERLINK("https://doi.org/10.1177/0363546504272264","Drogset (2005)")</f>
        <v>Drogset (2005)</v>
      </c>
      <c r="C243" s="1" t="s">
        <v>4</v>
      </c>
    </row>
    <row r="244" spans="1:4" x14ac:dyDescent="0.35">
      <c r="A244" s="1">
        <v>243</v>
      </c>
      <c r="B244" s="4" t="str">
        <f>HYPERLINK("https://doi.org/10.1016/j.arthro.2004.12.002","Ibrahim (2005)")</f>
        <v>Ibrahim (2005)</v>
      </c>
      <c r="C244" s="1" t="s">
        <v>4</v>
      </c>
    </row>
    <row r="245" spans="1:4" x14ac:dyDescent="0.35">
      <c r="A245" s="1">
        <v>244</v>
      </c>
      <c r="B245" s="4" t="str">
        <f>HYPERLINK("https://doi.org/10.1177/0363546504268406","Beynnon (2005)")</f>
        <v>Beynnon (2005)</v>
      </c>
      <c r="C245" s="1" t="s">
        <v>4</v>
      </c>
    </row>
    <row r="246" spans="1:4" x14ac:dyDescent="0.35">
      <c r="A246" s="1">
        <v>245</v>
      </c>
      <c r="B246" s="4" t="str">
        <f>HYPERLINK("https://doi.org/10.1016/s0035-1040(04)70756-4","Boyer (2004)")</f>
        <v>Boyer (2004)</v>
      </c>
      <c r="C246" s="1" t="s">
        <v>7</v>
      </c>
    </row>
    <row r="247" spans="1:4" x14ac:dyDescent="0.35">
      <c r="A247" s="1">
        <v>246</v>
      </c>
      <c r="B247" s="4" t="str">
        <f>HYPERLINK("https://doi.org/10.1016/j.arthro.2004.09.012","Kaeding (2005)")</f>
        <v>Kaeding (2005)</v>
      </c>
      <c r="C247" s="1" t="s">
        <v>4</v>
      </c>
    </row>
    <row r="248" spans="1:4" x14ac:dyDescent="0.35">
      <c r="A248" s="1">
        <v>247</v>
      </c>
      <c r="B248" s="4" t="str">
        <f>HYPERLINK("https://doi.org/10.1016/j.arthro.2004.09.014","Laxdal (2005)")</f>
        <v>Laxdal (2005)</v>
      </c>
      <c r="C248" s="1" t="s">
        <v>4</v>
      </c>
    </row>
    <row r="249" spans="1:4" x14ac:dyDescent="0.35">
      <c r="A249" s="1">
        <v>248</v>
      </c>
      <c r="B249" s="4" t="str">
        <f>HYPERLINK("https://doi.org/10.1177/0363546504268036","Hill (2005)")</f>
        <v>Hill (2005)</v>
      </c>
      <c r="C249" s="1" t="s">
        <v>4</v>
      </c>
    </row>
    <row r="250" spans="1:4" x14ac:dyDescent="0.35">
      <c r="A250" s="1">
        <v>249</v>
      </c>
      <c r="B250" s="4" t="str">
        <f>HYPERLINK("https://doi.org/10.1177/0363546504265924","Nicholas (2004)")</f>
        <v>Nicholas (2004)</v>
      </c>
      <c r="C250" s="1" t="s">
        <v>4</v>
      </c>
    </row>
    <row r="251" spans="1:4" x14ac:dyDescent="0.35">
      <c r="A251" s="1">
        <v>250</v>
      </c>
      <c r="B251" s="4" t="str">
        <f>HYPERLINK("https://doi.org/10.1007/s00167-003-0406-3","Mikkelsen (2003)")</f>
        <v>Mikkelsen (2003)</v>
      </c>
      <c r="C251" s="1" t="s">
        <v>4</v>
      </c>
    </row>
    <row r="252" spans="1:4" x14ac:dyDescent="0.35">
      <c r="A252" s="1">
        <v>251</v>
      </c>
      <c r="B252" s="4" t="str">
        <f>HYPERLINK("https://doi.org/10.1177/03635465030310041501","Feller (2003)")</f>
        <v>Feller (2003)</v>
      </c>
      <c r="C252" s="1" t="s">
        <v>4</v>
      </c>
    </row>
    <row r="253" spans="1:4" x14ac:dyDescent="0.35">
      <c r="A253" s="1">
        <v>252</v>
      </c>
      <c r="B253" s="4" t="str">
        <f>HYPERLINK("https://doi.org/10.1007/s00402-002-0457-9","Muren (2003)")</f>
        <v>Muren (2003)</v>
      </c>
      <c r="C253" s="1" t="s">
        <v>4</v>
      </c>
    </row>
    <row r="254" spans="1:4" x14ac:dyDescent="0.35">
      <c r="A254" s="1">
        <v>253</v>
      </c>
      <c r="B254" s="4" t="str">
        <f>HYPERLINK("https://doi.org/10.1177/03635465030310011401","Ejerhed (2003)")</f>
        <v>Ejerhed (2003)</v>
      </c>
      <c r="C254" s="1" t="s">
        <v>4</v>
      </c>
    </row>
    <row r="255" spans="1:4" x14ac:dyDescent="0.35">
      <c r="A255" s="1">
        <v>254</v>
      </c>
      <c r="B255" s="4" t="str">
        <f>HYPERLINK("https://doi.org/10.1177/03635465030310010501","Jansson (2003)")</f>
        <v>Jansson (2003)</v>
      </c>
      <c r="C255" s="1" t="s">
        <v>4</v>
      </c>
    </row>
    <row r="256" spans="1:4" x14ac:dyDescent="0.35">
      <c r="A256" s="1">
        <v>255</v>
      </c>
      <c r="B256" s="4" t="str">
        <f>HYPERLINK("https://doi.org/10.1177/03635465020300061601","Drogset (2002)")</f>
        <v>Drogset (2002)</v>
      </c>
      <c r="C256" s="1" t="s">
        <v>15</v>
      </c>
      <c r="D256" s="1" t="s">
        <v>32</v>
      </c>
    </row>
    <row r="257" spans="1:3" x14ac:dyDescent="0.35">
      <c r="A257" s="1">
        <v>256</v>
      </c>
      <c r="B257" s="4" t="str">
        <f>HYPERLINK("https://doi.org/10.2106/00004623-200209000-00001","Beynnon (2002)")</f>
        <v>Beynnon (2002)</v>
      </c>
      <c r="C257" s="1" t="s">
        <v>4</v>
      </c>
    </row>
    <row r="258" spans="1:3" x14ac:dyDescent="0.35">
      <c r="A258" s="1">
        <v>257</v>
      </c>
      <c r="B258" s="4" t="str">
        <f>HYPERLINK("https://doi.org/10.1177/03635465020300041201","Pinczewski (2002)")</f>
        <v>Pinczewski (2002)</v>
      </c>
      <c r="C258" s="1" t="s">
        <v>7</v>
      </c>
    </row>
    <row r="259" spans="1:3" x14ac:dyDescent="0.35">
      <c r="A259" s="1">
        <v>258</v>
      </c>
      <c r="B259" s="4" t="str">
        <f>HYPERLINK("https://doi.org/10.1034/j.1600-0838.2002.120203.x","Henriksson (2002)")</f>
        <v>Henriksson (2002)</v>
      </c>
      <c r="C259" s="1" t="s">
        <v>4</v>
      </c>
    </row>
    <row r="260" spans="1:3" x14ac:dyDescent="0.35">
      <c r="A260" s="1">
        <v>259</v>
      </c>
      <c r="B260" s="4" t="str">
        <f>HYPERLINK("https://doi.org/10.1177/03635465020300021201","Shaieb (2002)")</f>
        <v>Shaieb (2002)</v>
      </c>
      <c r="C260" s="1" t="s">
        <v>4</v>
      </c>
    </row>
    <row r="261" spans="1:3" x14ac:dyDescent="0.35">
      <c r="A261" s="1">
        <v>260</v>
      </c>
      <c r="B261" s="4" t="str">
        <f>HYPERLINK("https://doi.org/10.1177/03635465020300011801","Hess (2002)")</f>
        <v>Hess (2002)</v>
      </c>
      <c r="C261" s="1" t="s">
        <v>4</v>
      </c>
    </row>
    <row r="262" spans="1:3" x14ac:dyDescent="0.35">
      <c r="A262" s="1">
        <v>261</v>
      </c>
      <c r="B262" s="4" t="str">
        <f>HYPERLINK("https://doi.org/10.1177/03635465010290060901","Aune (2001)")</f>
        <v>Aune (2001)</v>
      </c>
      <c r="C262" s="1" t="s">
        <v>4</v>
      </c>
    </row>
    <row r="263" spans="1:3" x14ac:dyDescent="0.35">
      <c r="A263" s="1">
        <v>262</v>
      </c>
      <c r="B263" s="4" t="str">
        <f>HYPERLINK("https://doi.org/10.1007/s001670100216","Feller (2001)")</f>
        <v>Feller (2001)</v>
      </c>
      <c r="C263" s="1" t="s">
        <v>4</v>
      </c>
    </row>
    <row r="264" spans="1:3" x14ac:dyDescent="0.35">
      <c r="A264" s="1">
        <v>263</v>
      </c>
      <c r="B264" s="4" t="str">
        <f>HYPERLINK("https://doi.org/10.1053/jars.2001.25277","Mariani (2001)")</f>
        <v>Mariani (2001)</v>
      </c>
      <c r="C264" s="1" t="s">
        <v>4</v>
      </c>
    </row>
    <row r="265" spans="1:3" x14ac:dyDescent="0.35">
      <c r="A265" s="1">
        <v>264</v>
      </c>
      <c r="B265" s="4" t="str">
        <f>HYPERLINK("https://doi.org/10.1177/03635465010290030201","Anderson (2001)")</f>
        <v>Anderson (2001)</v>
      </c>
      <c r="C265" s="1" t="s">
        <v>4</v>
      </c>
    </row>
    <row r="266" spans="1:3" x14ac:dyDescent="0.35">
      <c r="A266" s="1">
        <v>265</v>
      </c>
      <c r="B266" s="4" t="str">
        <f>HYPERLINK("https://doi.org/10.1302/0301-620x.83b3.11685","Eriksson (2001)")</f>
        <v>Eriksson (2001)</v>
      </c>
      <c r="C266" s="1" t="s">
        <v>4</v>
      </c>
    </row>
    <row r="267" spans="1:3" x14ac:dyDescent="0.35">
      <c r="A267" s="1">
        <v>266</v>
      </c>
      <c r="B267" s="4" t="str">
        <f>HYPERLINK("https://doi.org/10.1177/03635465000280050501","Shelbourne (2000)")</f>
        <v>Shelbourne (2000)</v>
      </c>
      <c r="C267" s="1" t="s">
        <v>15</v>
      </c>
    </row>
    <row r="268" spans="1:3" x14ac:dyDescent="0.35">
      <c r="A268" s="1">
        <v>267</v>
      </c>
      <c r="B268" s="4" t="str">
        <f>HYPERLINK("https://doi.org/10.1007/s001130050567","Hackl (2000)")</f>
        <v>Hackl (2000)</v>
      </c>
      <c r="C268" s="1" t="s">
        <v>7</v>
      </c>
    </row>
    <row r="269" spans="1:3" x14ac:dyDescent="0.35">
      <c r="A269" s="1">
        <v>268</v>
      </c>
      <c r="B269" s="4" t="str">
        <f>HYPERLINK("https://doi.org/10.1007/s001670050166","Jansson (1999)")</f>
        <v>Jansson (1999)</v>
      </c>
      <c r="C269" s="1" t="s">
        <v>7</v>
      </c>
    </row>
    <row r="270" spans="1:3" x14ac:dyDescent="0.35">
      <c r="A270" s="1">
        <v>269</v>
      </c>
      <c r="B270" s="4" t="str">
        <f>HYPERLINK("https://doi.org/10.1053/ar.1999.v15.015046001","McGuire (1999)")</f>
        <v>McGuire (1999)</v>
      </c>
      <c r="C270" s="1" t="s">
        <v>4</v>
      </c>
    </row>
    <row r="271" spans="1:3" x14ac:dyDescent="0.35">
      <c r="A271" s="1">
        <v>270</v>
      </c>
      <c r="B271" s="4" t="str">
        <f>HYPERLINK("https://doi.org/10.1007/s001670050075","Marcacci (1998)")</f>
        <v>Marcacci (1998)</v>
      </c>
      <c r="C271" s="1" t="s">
        <v>15</v>
      </c>
    </row>
    <row r="272" spans="1:3" x14ac:dyDescent="0.35">
      <c r="A272" s="1">
        <v>271</v>
      </c>
      <c r="B272" s="4" t="str">
        <f>HYPERLINK("https://doi.org/10.1007/s001670050016","Feller (1997)")</f>
        <v>Feller (1997)</v>
      </c>
      <c r="C272" s="1" t="s">
        <v>4</v>
      </c>
    </row>
    <row r="273" spans="1:3" x14ac:dyDescent="0.35">
      <c r="A273" s="1">
        <v>272</v>
      </c>
      <c r="B273" s="4" t="str">
        <f>HYPERLINK("https://doi.org/10.1177/036354659602400612","MacDonald (1996)")</f>
        <v>MacDonald (1996)</v>
      </c>
      <c r="C273" s="1" t="s">
        <v>15</v>
      </c>
    </row>
    <row r="274" spans="1:3" x14ac:dyDescent="0.35">
      <c r="A274" s="1">
        <v>273</v>
      </c>
      <c r="B274" s="4" t="str">
        <f>HYPERLINK("https://doi.org/10.1016/j.knee.2025.07.024","Kentel (2025)")</f>
        <v>Kentel (2025)</v>
      </c>
      <c r="C274" s="1" t="s">
        <v>15</v>
      </c>
    </row>
    <row r="275" spans="1:3" x14ac:dyDescent="0.35">
      <c r="A275" s="1">
        <v>274</v>
      </c>
      <c r="B275" s="4" t="str">
        <f>HYPERLINK("https://doi.org/10.1177/03635465251344106","Mo (2025)")</f>
        <v>Mo (2025)</v>
      </c>
      <c r="C275" s="1" t="s">
        <v>4</v>
      </c>
    </row>
    <row r="276" spans="1:3" x14ac:dyDescent="0.35">
      <c r="A276" s="1">
        <v>275</v>
      </c>
      <c r="B276" s="4" t="str">
        <f>HYPERLINK("https://doi.org/10.1002/ksa.12698","Lawless (2026)")</f>
        <v>Lawless (2026)</v>
      </c>
      <c r="C276" s="1" t="s">
        <v>4</v>
      </c>
    </row>
    <row r="277" spans="1:3" x14ac:dyDescent="0.35">
      <c r="A277" s="1">
        <v>276</v>
      </c>
      <c r="B277" s="4" t="str">
        <f>HYPERLINK("https://doi.org/10.1123/jsr.2024-0160","Cao (2025)")</f>
        <v>Cao (2025)</v>
      </c>
      <c r="C277" s="1" t="s">
        <v>7</v>
      </c>
    </row>
    <row r="278" spans="1:3" x14ac:dyDescent="0.35">
      <c r="A278" s="1">
        <v>277</v>
      </c>
      <c r="B278" s="4" t="str">
        <f>HYPERLINK("https://doi.org/10.1002/ksa.12583","Calvert (2025)")</f>
        <v>Calvert (2025)</v>
      </c>
      <c r="C278" s="1" t="s">
        <v>4</v>
      </c>
    </row>
    <row r="279" spans="1:3" x14ac:dyDescent="0.35">
      <c r="A279" s="1">
        <v>278</v>
      </c>
      <c r="B279" s="4" t="str">
        <f>HYPERLINK("https://doi.org/10.1007/s00402-024-05639-1","Butt (2024)")</f>
        <v>Butt (2024)</v>
      </c>
      <c r="C279" s="1" t="s">
        <v>4</v>
      </c>
    </row>
    <row r="280" spans="1:3" x14ac:dyDescent="0.35">
      <c r="A280" s="1">
        <v>279</v>
      </c>
      <c r="B280" s="4" t="str">
        <f>HYPERLINK("https://doi.org/10.23736/S0022-4707.24.16134-8","Yang (2025)")</f>
        <v>Yang (2025)</v>
      </c>
      <c r="C280" s="1" t="s">
        <v>4</v>
      </c>
    </row>
    <row r="281" spans="1:3" x14ac:dyDescent="0.35">
      <c r="A281" s="1">
        <v>280</v>
      </c>
      <c r="B281" s="4" t="str">
        <f>HYPERLINK("https://doi.org/10.1016/j.arthro.2024.09.023","Ramakanth (2025)")</f>
        <v>Ramakanth (2025)</v>
      </c>
      <c r="C281" s="1" t="s">
        <v>4</v>
      </c>
    </row>
    <row r="282" spans="1:3" x14ac:dyDescent="0.35">
      <c r="A282" s="1">
        <v>281</v>
      </c>
      <c r="B282" s="4" t="str">
        <f>HYPERLINK("https://doi.org/10.1177/03635465241254048","Mo (2024)")</f>
        <v>Mo (2024)</v>
      </c>
      <c r="C282" s="1" t="s">
        <v>4</v>
      </c>
    </row>
    <row r="283" spans="1:3" x14ac:dyDescent="0.35">
      <c r="A283" s="1">
        <v>282</v>
      </c>
      <c r="B283" s="4" t="str">
        <f>HYPERLINK("https://doi.org/10.7507/1002-1892.202402054","Yu (2024)")</f>
        <v>Yu (2024)</v>
      </c>
    </row>
    <row r="284" spans="1:3" x14ac:dyDescent="0.35">
      <c r="A284" s="1">
        <v>283</v>
      </c>
      <c r="B284" s="4" t="str">
        <f>HYPERLINK("https://doi.org/10.1177/03635465231222279","Ebert (2024)")</f>
        <v>Ebert (2024)</v>
      </c>
      <c r="C284" s="1" t="s">
        <v>4</v>
      </c>
    </row>
    <row r="285" spans="1:3" x14ac:dyDescent="0.35">
      <c r="A285" s="1">
        <v>284</v>
      </c>
      <c r="B285" s="4" t="str">
        <f>HYPERLINK("https://doi.org/10.1186/s12893-023-02271-5","Ma (2023)")</f>
        <v>Ma (2023)</v>
      </c>
      <c r="C285" s="1" t="s">
        <v>4</v>
      </c>
    </row>
    <row r="286" spans="1:3" x14ac:dyDescent="0.35">
      <c r="A286" s="1">
        <v>285</v>
      </c>
      <c r="B286" s="4" t="str">
        <f>HYPERLINK("https://doi.org/10.1038/s41598-023-45817-6","Chen (2023)")</f>
        <v>Chen (2023)</v>
      </c>
      <c r="C286" s="1" t="s">
        <v>4</v>
      </c>
    </row>
    <row r="287" spans="1:3" x14ac:dyDescent="0.35">
      <c r="A287" s="1">
        <v>286</v>
      </c>
      <c r="B287" s="4" t="str">
        <f>HYPERLINK("https://doi.org/10.1016/j.jisako.2022.04.002","Cruz (2022)")</f>
        <v>Cruz (2022)</v>
      </c>
      <c r="C287" s="1" t="s">
        <v>4</v>
      </c>
    </row>
    <row r="288" spans="1:3" x14ac:dyDescent="0.35">
      <c r="A288" s="1">
        <v>287</v>
      </c>
      <c r="B288" s="4" t="str">
        <f>HYPERLINK("https://doi.org/10.1007/s00590-023-03636-5","Tang (2024)")</f>
        <v>Tang (2024)</v>
      </c>
      <c r="C288" s="1" t="s">
        <v>4</v>
      </c>
    </row>
    <row r="289" spans="1:3" x14ac:dyDescent="0.35">
      <c r="A289" s="1">
        <v>288</v>
      </c>
      <c r="B289" s="4" t="str">
        <f>HYPERLINK("https://doi.org/10.1016/j.arthro.2023.05.019","Rezansoff (2024)")</f>
        <v>Rezansoff (2024)</v>
      </c>
      <c r="C289" s="1" t="s">
        <v>4</v>
      </c>
    </row>
    <row r="290" spans="1:3" x14ac:dyDescent="0.35">
      <c r="A290" s="1">
        <v>289</v>
      </c>
      <c r="B290" s="4" t="str">
        <f>HYPERLINK("https://doi.org/10.1007/s00590-023-03522-0","Mousavi (2023)")</f>
        <v>Mousavi (2023)</v>
      </c>
      <c r="C290" s="1" t="s">
        <v>4</v>
      </c>
    </row>
    <row r="291" spans="1:3" x14ac:dyDescent="0.35">
      <c r="A291" s="1">
        <v>290</v>
      </c>
      <c r="B291" s="4" t="str">
        <f>HYPERLINK("https://doi.org/10.1177/19417381231155120","Zarzycki (2024)")</f>
        <v>Zarzycki (2024)</v>
      </c>
      <c r="C291" s="1" t="s">
        <v>15</v>
      </c>
    </row>
    <row r="292" spans="1:3" x14ac:dyDescent="0.35">
      <c r="A292" s="1">
        <v>291</v>
      </c>
      <c r="B292" s="4" t="str">
        <f>HYPERLINK("https://doi.org/10.1177/03635465221149738","Kuli?ski (2023)")</f>
        <v>Kuli?ski (2023)</v>
      </c>
      <c r="C292" s="1" t="s">
        <v>4</v>
      </c>
    </row>
    <row r="293" spans="1:3" x14ac:dyDescent="0.35">
      <c r="A293" s="1">
        <v>292</v>
      </c>
      <c r="B293" s="4" t="str">
        <f>HYPERLINK("https://doi.org/10.1016/j.injury.2023.01.033","El-Azab (2023)")</f>
        <v>El-Azab (2023)</v>
      </c>
      <c r="C293" s="1" t="s">
        <v>4</v>
      </c>
    </row>
    <row r="294" spans="1:3" x14ac:dyDescent="0.35">
      <c r="A294" s="1">
        <v>293</v>
      </c>
      <c r="B294" s="4" t="str">
        <f>HYPERLINK("https://doi.org/10.1016/j.jisako.2022.12.001","Heard (2023)")</f>
        <v>Heard (2023)</v>
      </c>
      <c r="C294" s="1" t="s">
        <v>4</v>
      </c>
    </row>
    <row r="295" spans="1:3" x14ac:dyDescent="0.35">
      <c r="A295" s="1">
        <v>294</v>
      </c>
      <c r="B295" s="4" t="str">
        <f>HYPERLINK("https://doi.org/10.2340/jrm.v54.2550","Vieira (2022)")</f>
        <v>Vieira (2022)</v>
      </c>
      <c r="C295" s="1" t="s">
        <v>4</v>
      </c>
    </row>
    <row r="296" spans="1:3" x14ac:dyDescent="0.35">
      <c r="A296" s="1">
        <v>295</v>
      </c>
      <c r="B296" s="4" t="str">
        <f>HYPERLINK("https://doi.org/10.1177/03635465221117777","Glasbrenner (2022)")</f>
        <v>Glasbrenner (2022)</v>
      </c>
      <c r="C296" s="1" t="s">
        <v>4</v>
      </c>
    </row>
    <row r="297" spans="1:3" x14ac:dyDescent="0.35">
      <c r="A297" s="1">
        <v>296</v>
      </c>
      <c r="B297" s="4" t="str">
        <f>HYPERLINK("https://doi.org/10.1007/s00167-022-06980-x","Beaudoin (2022)")</f>
        <v>Beaudoin (2022)</v>
      </c>
      <c r="C297" s="1" t="s">
        <v>4</v>
      </c>
    </row>
    <row r="298" spans="1:3" x14ac:dyDescent="0.35">
      <c r="A298" s="1">
        <v>297</v>
      </c>
      <c r="B298" s="4" t="str">
        <f>HYPERLINK("https://doi.org/10.1186/s12891-021-04540-x","Sole (2021)")</f>
        <v>Sole (2021)</v>
      </c>
      <c r="C298" s="1" t="s">
        <v>4</v>
      </c>
    </row>
    <row r="299" spans="1:3" x14ac:dyDescent="0.35">
      <c r="A299" s="1">
        <v>298</v>
      </c>
      <c r="B299" s="4" t="str">
        <f>HYPERLINK("https://doi.org/10.1007/s00402-021-03862-8","Horstmann (2022)")</f>
        <v>Horstmann (2022)</v>
      </c>
      <c r="C299" s="1" t="s">
        <v>4</v>
      </c>
    </row>
    <row r="300" spans="1:3" x14ac:dyDescent="0.35">
      <c r="A300" s="1">
        <v>299</v>
      </c>
      <c r="B300" s="4" t="str">
        <f>HYPERLINK("https://doi.org/10.1007/s00590-021-02912-6","Kulshrestha (2021)")</f>
        <v>Kulshrestha (2021)</v>
      </c>
      <c r="C300" s="1" t="s">
        <v>4</v>
      </c>
    </row>
    <row r="301" spans="1:3" x14ac:dyDescent="0.35">
      <c r="A301" s="1">
        <v>300</v>
      </c>
      <c r="B301" s="4" t="str">
        <f>HYPERLINK("https://doi.org/10.5606/ehc.2020.78201","Erden (2021)")</f>
        <v>Erden (2021)</v>
      </c>
      <c r="C301" s="1" t="s">
        <v>7</v>
      </c>
    </row>
    <row r="302" spans="1:3" x14ac:dyDescent="0.35">
      <c r="A302" s="1">
        <v>301</v>
      </c>
      <c r="B302" s="4" t="str">
        <f>HYPERLINK("https://doi.org/10.1177/0363546520951507","Zhang (2020)")</f>
        <v>Zhang (2020)</v>
      </c>
      <c r="C302" s="1" t="s">
        <v>4</v>
      </c>
    </row>
    <row r="303" spans="1:3" x14ac:dyDescent="0.35">
      <c r="A303" s="1">
        <v>302</v>
      </c>
      <c r="B303" s="4" t="str">
        <f>HYPERLINK("https://doi.org/10.1016/j.arthro.2020.08.012","Krishna (2021)")</f>
        <v>Krishna (2021)</v>
      </c>
      <c r="C303" s="1" t="s">
        <v>4</v>
      </c>
    </row>
    <row r="304" spans="1:3" x14ac:dyDescent="0.35">
      <c r="A304" s="1">
        <v>303</v>
      </c>
      <c r="B304" s="4" t="str">
        <f>HYPERLINK("https://doi.org/10.1007/s00167-020-06121-2","Roger (2020)")</f>
        <v>Roger (2020)</v>
      </c>
      <c r="C304" s="1" t="s">
        <v>4</v>
      </c>
    </row>
    <row r="305" spans="1:4" x14ac:dyDescent="0.35">
      <c r="A305" s="1">
        <v>304</v>
      </c>
      <c r="B305" s="4" t="str">
        <f>HYPERLINK("https://doi.org/10.1089/ten.tea.2020.0057","Barnett (2020)")</f>
        <v>Barnett (2020)</v>
      </c>
      <c r="C305" s="1" t="s">
        <v>7</v>
      </c>
    </row>
    <row r="306" spans="1:4" x14ac:dyDescent="0.35">
      <c r="A306" s="1">
        <v>305</v>
      </c>
      <c r="B306" s="4" t="str">
        <f>HYPERLINK("https://doi.org/10.1177/0363546520911024","Sundaraj (2020)")</f>
        <v>Sundaraj (2020)</v>
      </c>
      <c r="C306" s="1" t="s">
        <v>4</v>
      </c>
    </row>
    <row r="307" spans="1:4" x14ac:dyDescent="0.35">
      <c r="A307" s="1">
        <v>306</v>
      </c>
      <c r="B307" s="4" t="str">
        <f>HYPERLINK("https://doi.org/10.1177/0363546520910148","Porter (2020)")</f>
        <v>Porter (2020)</v>
      </c>
      <c r="C307" s="1" t="s">
        <v>4</v>
      </c>
    </row>
    <row r="308" spans="1:4" x14ac:dyDescent="0.35">
      <c r="A308" s="1">
        <v>307</v>
      </c>
      <c r="B308" s="4" t="str">
        <f>HYPERLINK("https://doi.org/10.1007/s40279-020-01276-x","Sinding (2020)")</f>
        <v>Sinding (2020)</v>
      </c>
      <c r="C308" s="1" t="s">
        <v>4</v>
      </c>
    </row>
    <row r="309" spans="1:4" x14ac:dyDescent="0.35">
      <c r="A309" s="1">
        <v>308</v>
      </c>
      <c r="B309" s="4" t="str">
        <f>HYPERLINK("https://doi.org/10.24875/CIRU.19001001","Vilchez-Cavazos (2020)")</f>
        <v>Vilchez-Cavazos (2020)</v>
      </c>
      <c r="C309" s="1" t="s">
        <v>4</v>
      </c>
    </row>
    <row r="310" spans="1:4" x14ac:dyDescent="0.35">
      <c r="A310" s="1">
        <v>309</v>
      </c>
      <c r="B310" s="4" t="str">
        <f>HYPERLINK("https://doi.org/10.1136/bjsports-2019-101000","Lind (2020)")</f>
        <v>Lind (2020)</v>
      </c>
      <c r="C310" s="1" t="s">
        <v>4</v>
      </c>
    </row>
    <row r="311" spans="1:4" x14ac:dyDescent="0.35">
      <c r="A311" s="1">
        <v>310</v>
      </c>
      <c r="B311" s="4" t="str">
        <f>HYPERLINK("https://doi.org/10.7507/1002-1892.201902059","Liu (2019)")</f>
        <v>Liu (2019)</v>
      </c>
      <c r="C311" s="1" t="s">
        <v>4</v>
      </c>
    </row>
    <row r="312" spans="1:4" x14ac:dyDescent="0.35">
      <c r="A312" s="1">
        <v>311</v>
      </c>
      <c r="B312" s="4" t="str">
        <f>HYPERLINK("https://doi.org/10.1177/0363546519861530","Shumborski (2019)")</f>
        <v>Shumborski (2019)</v>
      </c>
      <c r="C312" s="1" t="s">
        <v>4</v>
      </c>
    </row>
    <row r="313" spans="1:4" x14ac:dyDescent="0.35">
      <c r="A313" s="1">
        <v>312</v>
      </c>
      <c r="B313" s="4" t="str">
        <f>HYPERLINK("https://doi.org/10.1007/s00167-019-05456-9","Kouloumentas (2019)")</f>
        <v>Kouloumentas (2019)</v>
      </c>
      <c r="C313" s="1" t="s">
        <v>4</v>
      </c>
    </row>
    <row r="314" spans="1:4" x14ac:dyDescent="0.35">
      <c r="A314" s="1">
        <v>313</v>
      </c>
      <c r="B314" s="4" t="str">
        <f>HYPERLINK("https://doi.org/10.1097/MD.0000000000014851","Xiang (2019)")</f>
        <v>Xiang (2019)</v>
      </c>
      <c r="C314" s="1" t="s">
        <v>4</v>
      </c>
    </row>
    <row r="315" spans="1:4" x14ac:dyDescent="0.35">
      <c r="A315" s="1">
        <v>314</v>
      </c>
      <c r="B315" s="4" t="str">
        <f>HYPERLINK("https://doi.org/10.1177/0363546519825878","Hoogeslag (2019)")</f>
        <v>Hoogeslag (2019)</v>
      </c>
      <c r="C315" s="1" t="s">
        <v>4</v>
      </c>
    </row>
    <row r="316" spans="1:4" x14ac:dyDescent="0.35">
      <c r="A316" s="1">
        <v>315</v>
      </c>
      <c r="B316" s="4" t="str">
        <f>HYPERLINK("https://doi.org/10.1007/s00167-018-5040-1","Harput (2019)")</f>
        <v>Harput (2019)</v>
      </c>
      <c r="C316" s="1" t="s">
        <v>4</v>
      </c>
    </row>
    <row r="317" spans="1:4" x14ac:dyDescent="0.35">
      <c r="A317" s="1">
        <v>316</v>
      </c>
      <c r="B317" s="4" t="str">
        <f>HYPERLINK("https://doi.org/10.1016/j.knee.2018.03.011","Martin-Alguacil (2018)")</f>
        <v>Martin-Alguacil (2018)</v>
      </c>
      <c r="C317" s="1" t="s">
        <v>4</v>
      </c>
    </row>
    <row r="318" spans="1:4" x14ac:dyDescent="0.35">
      <c r="A318" s="1">
        <v>317</v>
      </c>
      <c r="B318" s="4" t="str">
        <f>HYPERLINK("https://doi.org/10.1016/j.arthro.2018.03.011","Zhang (2018)")</f>
        <v>Zhang (2018)</v>
      </c>
      <c r="C318" s="1" t="s">
        <v>4</v>
      </c>
    </row>
    <row r="319" spans="1:4" x14ac:dyDescent="0.35">
      <c r="A319" s="1">
        <v>318</v>
      </c>
      <c r="B319" s="4" t="str">
        <f>HYPERLINK("https://doi.org/10.1186/s12891-018-2028-4","Boer (2018)")</f>
        <v>Boer (2018)</v>
      </c>
      <c r="C319" s="1" t="s">
        <v>4</v>
      </c>
    </row>
    <row r="320" spans="1:4" x14ac:dyDescent="0.35">
      <c r="A320" s="1">
        <v>319</v>
      </c>
      <c r="B320" s="4" t="str">
        <f>HYPERLINK("https://doi.org/10.1177/0363546517752918","Liu (2018)")</f>
        <v>Liu (2018)</v>
      </c>
      <c r="C320" s="1" t="s">
        <v>4</v>
      </c>
      <c r="D320" s="1" t="s">
        <v>34</v>
      </c>
    </row>
    <row r="321" spans="1:3" x14ac:dyDescent="0.35">
      <c r="A321" s="1">
        <v>320</v>
      </c>
      <c r="B321" s="4" t="str">
        <f>HYPERLINK("https://doi.org/10.1055/s-0038-1627466","Bi (2018)")</f>
        <v>Bi (2018)</v>
      </c>
      <c r="C321" s="1" t="s">
        <v>4</v>
      </c>
    </row>
    <row r="322" spans="1:3" x14ac:dyDescent="0.35">
      <c r="A322" s="1">
        <v>321</v>
      </c>
      <c r="B322" s="4" t="str">
        <f>HYPERLINK("https://doi.org/10.1016/j.arthro.2017.06.040","Gupta (2017)")</f>
        <v>Gupta (2017)</v>
      </c>
      <c r="C322" s="1" t="s">
        <v>4</v>
      </c>
    </row>
    <row r="323" spans="1:3" x14ac:dyDescent="0.35">
      <c r="A323" s="1">
        <v>322</v>
      </c>
      <c r="B323" s="4" t="str">
        <f>HYPERLINK("https://doi.org/10.1007/s00402-017-2774-z","Beyaz (2017)")</f>
        <v>Beyaz (2017)</v>
      </c>
      <c r="C323" s="1" t="s">
        <v>4</v>
      </c>
    </row>
    <row r="324" spans="1:3" x14ac:dyDescent="0.35">
      <c r="A324" s="1">
        <v>323</v>
      </c>
      <c r="B324" s="4" t="str">
        <f>HYPERLINK("https://doi.org/10.1007/s00167-017-4664-x","MacDonald (2018)")</f>
        <v>MacDonald (2018)</v>
      </c>
      <c r="C324" s="1" t="s">
        <v>4</v>
      </c>
    </row>
    <row r="325" spans="1:3" x14ac:dyDescent="0.35">
      <c r="A325" s="1">
        <v>324</v>
      </c>
      <c r="B325" s="4" t="str">
        <f>HYPERLINK("https://doi.org/10.1007/s00167-017-4618-3","Schliemann (2018)")</f>
        <v>Schliemann (2018)</v>
      </c>
      <c r="C325" s="1" t="s">
        <v>4</v>
      </c>
    </row>
    <row r="326" spans="1:3" x14ac:dyDescent="0.35">
      <c r="A326" s="1">
        <v>325</v>
      </c>
      <c r="B326" s="4" t="str">
        <f>HYPERLINK("https://doi.org/10.3760/cma.j.issn.0529-5815.2017.03.001","Liu (2017)")</f>
        <v>Liu (2017)</v>
      </c>
    </row>
    <row r="327" spans="1:3" x14ac:dyDescent="0.35">
      <c r="A327" s="1">
        <v>326</v>
      </c>
      <c r="B327" s="4" t="str">
        <f>HYPERLINK("https://doi.org/10.1016/j.knee.2016.08.011","Rose (2016)")</f>
        <v>Rose (2016)</v>
      </c>
      <c r="C327" s="1" t="s">
        <v>4</v>
      </c>
    </row>
    <row r="328" spans="1:3" x14ac:dyDescent="0.35">
      <c r="A328" s="1">
        <v>327</v>
      </c>
      <c r="B328" s="4" t="str">
        <f>HYPERLINK("https://doi.org/10.1016/j.aott.2016.03.005","Balki (2016)")</f>
        <v>Balki (2016)</v>
      </c>
      <c r="C328" s="1" t="s">
        <v>4</v>
      </c>
    </row>
    <row r="329" spans="1:3" x14ac:dyDescent="0.35">
      <c r="A329" s="1">
        <v>328</v>
      </c>
      <c r="B329" s="4" t="str">
        <f>HYPERLINK("https://doi.org/10.1007/s00590-016-1812-9","Ruffilli (2016)")</f>
        <v>Ruffilli (2016)</v>
      </c>
      <c r="C329" s="1" t="s">
        <v>4</v>
      </c>
    </row>
    <row r="330" spans="1:3" x14ac:dyDescent="0.35">
      <c r="A330" s="1">
        <v>329</v>
      </c>
      <c r="B330" s="4" t="str">
        <f>HYPERLINK("https://doi.org/10.1177/0363546516650876","Liu (2016)")</f>
        <v>Liu (2016)</v>
      </c>
    </row>
    <row r="331" spans="1:3" x14ac:dyDescent="0.35">
      <c r="A331" s="1">
        <v>330</v>
      </c>
      <c r="B331" s="4" t="str">
        <f>HYPERLINK("https://doi.org/10.1007/s00167-016-4135-9","Carulli (2017)")</f>
        <v>Carulli (2017)</v>
      </c>
      <c r="C331" s="1" t="s">
        <v>15</v>
      </c>
    </row>
    <row r="332" spans="1:3" x14ac:dyDescent="0.35">
      <c r="A332" s="1">
        <v>331</v>
      </c>
      <c r="B332" s="4" t="str">
        <f>HYPERLINK("https://doi.org/10.1177/0363546516634021","Grunau (2016)")</f>
        <v>Grunau (2016)</v>
      </c>
      <c r="C332" s="1" t="s">
        <v>4</v>
      </c>
    </row>
    <row r="333" spans="1:3" x14ac:dyDescent="0.35">
      <c r="A333" s="1">
        <v>332</v>
      </c>
      <c r="B333" s="4" t="str">
        <f>HYPERLINK("https://doi.org/10.1177/0363546515626543","Karikis (2016)")</f>
        <v>Karikis (2016)</v>
      </c>
    </row>
    <row r="334" spans="1:3" x14ac:dyDescent="0.35">
      <c r="A334" s="1">
        <v>333</v>
      </c>
      <c r="B334" s="4" t="str">
        <f>HYPERLINK("https://doi.org/10.1016/j.arthro.2015.06.029","Mayr (2016)")</f>
        <v>Mayr (2016)</v>
      </c>
    </row>
    <row r="335" spans="1:3" x14ac:dyDescent="0.35">
      <c r="A335" s="1">
        <v>334</v>
      </c>
      <c r="B335" s="4" t="str">
        <f>HYPERLINK("https://doi.org/10.1007/s00167-015-3718-1","Çelik (2017)")</f>
        <v>Çelik (2017)</v>
      </c>
    </row>
    <row r="336" spans="1:3" x14ac:dyDescent="0.35">
      <c r="A336" s="1">
        <v>335</v>
      </c>
      <c r="B336" s="4" t="str">
        <f>HYPERLINK("https://doi.org/10.1177/0363546515588926","Arama (2015)")</f>
        <v>Arama (2015)</v>
      </c>
    </row>
    <row r="337" spans="1:2" x14ac:dyDescent="0.35">
      <c r="A337" s="1">
        <v>336</v>
      </c>
      <c r="B337" s="4" t="str">
        <f>HYPERLINK("https://doi.org/10.1016/j.knee.2015.04.015","Lindström (2015)")</f>
        <v>Lindström (2015)</v>
      </c>
    </row>
    <row r="338" spans="1:2" x14ac:dyDescent="0.35">
      <c r="A338" s="1">
        <v>337</v>
      </c>
      <c r="B338" s="4" t="str">
        <f>HYPERLINK("https://doi.org/10.1177/0363546514567069","Koga (2015)")</f>
        <v>Koga (2015)</v>
      </c>
    </row>
    <row r="339" spans="1:2" x14ac:dyDescent="0.35">
      <c r="A339" s="1">
        <v>338</v>
      </c>
      <c r="B339" s="4" t="str">
        <f>HYPERLINK("https://doi.org/10.1007/s00167-014-3430-6","Sacramento (2016)")</f>
        <v>Sacramento (2016)</v>
      </c>
    </row>
    <row r="340" spans="1:2" x14ac:dyDescent="0.35">
      <c r="A340" s="1">
        <v>339</v>
      </c>
      <c r="B340" s="4" t="str">
        <f>HYPERLINK("https://doi.org/10.1007/s00402-014-2108-3","Chen (2015)")</f>
        <v>Chen (2015)</v>
      </c>
    </row>
    <row r="341" spans="1:2" x14ac:dyDescent="0.35">
      <c r="A341" s="1">
        <v>340</v>
      </c>
      <c r="B341" s="4" t="str">
        <f>HYPERLINK("https://doi.org/10.1177/0363546514554189","Ibrahim (2015)")</f>
        <v>Ibrahim (2015)</v>
      </c>
    </row>
    <row r="342" spans="1:2" x14ac:dyDescent="0.35">
      <c r="A342" s="1">
        <v>341</v>
      </c>
      <c r="B342" s="4" t="str">
        <f>HYPERLINK("https://doi.org/10.1016/j.arthro.2014.07.020","Koga (2015)")</f>
        <v>Koga (2015)</v>
      </c>
    </row>
    <row r="343" spans="1:2" x14ac:dyDescent="0.35">
      <c r="A343" s="1">
        <v>342</v>
      </c>
      <c r="B343" s="4" t="str">
        <f>HYPERLINK("https://doi.org/10.3944/AOTT.2014.13.0111","K?n?kl? (2014)")</f>
        <v>K?n?kl? (2014)</v>
      </c>
    </row>
    <row r="344" spans="1:2" x14ac:dyDescent="0.35">
      <c r="A344" s="1">
        <v>343</v>
      </c>
      <c r="B344" s="4" t="str">
        <f>HYPERLINK("https://doi.org/10.1016/j.arthro.2013.12.014","Matsumoto (2014)")</f>
        <v>Matsumoto (2014)</v>
      </c>
    </row>
    <row r="345" spans="1:2" x14ac:dyDescent="0.35">
      <c r="A345" s="1">
        <v>344</v>
      </c>
      <c r="B345" s="4" t="str">
        <f>HYPERLINK("https://doi.org/10.1016/j.jss.2014.01.050","Wang (2014)")</f>
        <v>Wang (2014)</v>
      </c>
    </row>
    <row r="346" spans="1:2" x14ac:dyDescent="0.35">
      <c r="A346" s="1">
        <v>345</v>
      </c>
      <c r="B346" s="4" t="str">
        <f>HYPERLINK("https://doi.org/10.1007/s00167-014-2890-z","Karimi-Mobarakeh (2015)")</f>
        <v>Karimi-Mobarakeh (2015)</v>
      </c>
    </row>
    <row r="347" spans="1:2" x14ac:dyDescent="0.35">
      <c r="A347" s="1">
        <v>346</v>
      </c>
      <c r="B347" s="4" t="str">
        <f>HYPERLINK("https://doi.org/10.1007/s00167-013-2652-3","Gifstad (2014)")</f>
        <v>Gifstad (2014)</v>
      </c>
    </row>
    <row r="348" spans="1:2" x14ac:dyDescent="0.35">
      <c r="A348" s="1">
        <v>347</v>
      </c>
      <c r="B348" s="4" t="str">
        <f>HYPERLINK("https://doi.org/10.1007/s00776-013-0427-9","Inagaki (2013)")</f>
        <v>Inagaki (2013)</v>
      </c>
    </row>
    <row r="349" spans="1:2" x14ac:dyDescent="0.35">
      <c r="A349" s="1">
        <v>348</v>
      </c>
      <c r="B349" s="4" t="str">
        <f>HYPERLINK("https://doi.org/10.1123/jsr.22.3.191","Christensen (2013)")</f>
        <v>Christensen (2013)</v>
      </c>
    </row>
    <row r="350" spans="1:2" x14ac:dyDescent="0.35">
      <c r="A350" s="1">
        <v>349</v>
      </c>
      <c r="B350" s="4" t="str">
        <f>HYPERLINK("https://doi.org/10.1177/0363546513476473","Fu (2013)")</f>
        <v>Fu (2013)</v>
      </c>
    </row>
    <row r="351" spans="1:2" x14ac:dyDescent="0.35">
      <c r="A351" s="1">
        <v>350</v>
      </c>
      <c r="B351" s="4" t="str">
        <f>HYPERLINK("https://doi.org/10.1177/0363546513476482","Fukuda (2013)")</f>
        <v>Fukuda (2013)</v>
      </c>
    </row>
    <row r="352" spans="1:2" x14ac:dyDescent="0.35">
      <c r="A352" s="1">
        <v>351</v>
      </c>
      <c r="B352" s="4" t="str">
        <f>HYPERLINK("https://doi.org/10.1302/0301-620X.95B1.30487","Mirzatolooei (2013)")</f>
        <v>Mirzatolooei (2013)</v>
      </c>
    </row>
    <row r="353" spans="1:2" x14ac:dyDescent="0.35">
      <c r="A353" s="1">
        <v>352</v>
      </c>
      <c r="B353" s="4" t="str">
        <f>HYPERLINK("https://doi.org/10.1016/j.arthro.2012.07.007","Hwang (2013)")</f>
        <v>Hwang (2013)</v>
      </c>
    </row>
    <row r="354" spans="1:2" x14ac:dyDescent="0.35">
      <c r="A354" s="1">
        <v>353</v>
      </c>
      <c r="B354" s="4" t="str">
        <f>HYPERLINK("https://doi.org/10.1016/j.arthro.2012.10.021","Bourke (2013)")</f>
        <v>Bourke (2013)</v>
      </c>
    </row>
    <row r="355" spans="1:2" x14ac:dyDescent="0.35">
      <c r="A355" s="1">
        <v>354</v>
      </c>
      <c r="B355" s="4" t="str">
        <f>HYPERLINK("https://doi.org/10.1007/s00167-012-2341-7","Zhang (2014)")</f>
        <v>Zhang (2014)</v>
      </c>
    </row>
    <row r="356" spans="1:2" x14ac:dyDescent="0.35">
      <c r="A356" s="1">
        <v>355</v>
      </c>
      <c r="B356" s="4" t="str">
        <f>HYPERLINK("https://doi.org/10.1177/0363546512449618","Mutsuzaki (2012)")</f>
        <v>Mutsuzaki (2012)</v>
      </c>
    </row>
    <row r="357" spans="1:2" x14ac:dyDescent="0.35">
      <c r="A357" s="1">
        <v>356</v>
      </c>
      <c r="B357" s="4" t="str">
        <f>HYPERLINK("https://doi.org/10.1007/s00167-012-1880-2","Lee (2012)")</f>
        <v>Lee (2012)</v>
      </c>
    </row>
    <row r="358" spans="1:2" x14ac:dyDescent="0.35">
      <c r="A358" s="1">
        <v>357</v>
      </c>
      <c r="B358" s="4" t="str">
        <f>HYPERLINK("https://doi.org/10.1016/j.arthro.2011.02.009","Sabat (2011)")</f>
        <v>Sabat (2011)</v>
      </c>
    </row>
    <row r="359" spans="1:2" x14ac:dyDescent="0.35">
      <c r="A359" s="1">
        <v>358</v>
      </c>
      <c r="B359" s="4" t="str">
        <f>HYPERLINK("https://doi.org/10.1111/j.1445-2197.2009.05128.x","Price (2010)")</f>
        <v>Price (2010)</v>
      </c>
    </row>
    <row r="360" spans="1:2" x14ac:dyDescent="0.35">
      <c r="A360" s="1">
        <v>359</v>
      </c>
      <c r="B360" s="4" t="str">
        <f>HYPERLINK("https://doi.org/10.1007/s00508-010-1340-2","Vogrin (2010)")</f>
        <v>Vogrin (2010)</v>
      </c>
    </row>
    <row r="361" spans="1:2" x14ac:dyDescent="0.35">
      <c r="A361" s="1">
        <v>360</v>
      </c>
      <c r="B361" s="4" t="str">
        <f>HYPERLINK("https://doi.org/10.1177/0363546510361952","Stener (2010)")</f>
        <v>Stener (2010)</v>
      </c>
    </row>
    <row r="362" spans="1:2" x14ac:dyDescent="0.35">
      <c r="A362" s="1">
        <v>361</v>
      </c>
      <c r="B362" s="4" t="str">
        <f>HYPERLINK("https://doi.org/10.1302/0301-620X.92B4.22973","Raviraj (2010)")</f>
        <v>Raviraj (2010)</v>
      </c>
    </row>
    <row r="363" spans="1:2" x14ac:dyDescent="0.35">
      <c r="A363" s="1">
        <v>362</v>
      </c>
      <c r="B363" s="4" t="str">
        <f>HYPERLINK("https://doi.org/10.1177/0363546509350325","Jagodzinski (2010)")</f>
        <v>Jagodzinski (2010)</v>
      </c>
    </row>
    <row r="364" spans="1:2" x14ac:dyDescent="0.35">
      <c r="A364" s="1">
        <v>363</v>
      </c>
      <c r="B364" s="4" t="str">
        <f>HYPERLINK("https://doi.org/10.1007/s00167-009-0844-7","Sastre (2010)")</f>
        <v>Sastre (2010)</v>
      </c>
    </row>
    <row r="365" spans="1:2" x14ac:dyDescent="0.35">
      <c r="A365" s="1">
        <v>364</v>
      </c>
      <c r="B365" s="4" t="str">
        <f>HYPERLINK("https://doi.org/10.1111/j.1600-0838.2009.00903.x","Tagesson (2010)")</f>
        <v>Tagesson (2010)</v>
      </c>
    </row>
    <row r="366" spans="1:2" x14ac:dyDescent="0.35">
      <c r="A366" s="1">
        <v>365</v>
      </c>
      <c r="B366" s="4" t="str">
        <f>HYPERLINK("https://doi.org/10.1177/0363546509333008","Stengel (2009)")</f>
        <v>Stengel (2009)</v>
      </c>
    </row>
    <row r="367" spans="1:2" x14ac:dyDescent="0.35">
      <c r="A367" s="1">
        <v>366</v>
      </c>
      <c r="B367" s="4" t="str">
        <f>HYPERLINK("https://doi.org/10.1007/s00167-008-0593-z","Moisala (2008)")</f>
        <v>Moisala (2008)</v>
      </c>
    </row>
    <row r="368" spans="1:2" x14ac:dyDescent="0.35">
      <c r="A368" s="1">
        <v>367</v>
      </c>
      <c r="B368" s="4" t="str">
        <f>HYPERLINK("https://doi.org/10.1016/j.arthro.2008.02.011","Myers (2008)")</f>
        <v>Myers (2008)</v>
      </c>
    </row>
    <row r="369" spans="1:2" x14ac:dyDescent="0.35">
      <c r="A369" s="1">
        <v>368</v>
      </c>
      <c r="B369" s="4" t="str">
        <f>HYPERLINK("https://doi.org/10.1177/0363546508317123","Kondo (2008)")</f>
        <v>Kondo (2008)</v>
      </c>
    </row>
    <row r="370" spans="1:2" x14ac:dyDescent="0.35">
      <c r="A370" s="1">
        <v>369</v>
      </c>
      <c r="B370" s="4" t="str">
        <f>HYPERLINK("https://doi.org/10.1007/s00167-008-0519-9","Benazzo (2008)")</f>
        <v>Benazzo (2008)</v>
      </c>
    </row>
    <row r="371" spans="1:2" x14ac:dyDescent="0.35">
      <c r="A371" s="1">
        <v>370</v>
      </c>
      <c r="B371" s="4" t="str">
        <f>HYPERLINK("https://doi.org/10.1016/j.knee.2008.02.003","Capuano (2008)")</f>
        <v>Capuano (2008)</v>
      </c>
    </row>
    <row r="372" spans="1:2" x14ac:dyDescent="0.35">
      <c r="A372" s="1">
        <v>371</v>
      </c>
      <c r="B372" s="4" t="str">
        <f>HYPERLINK("https://doi.org/10.1016/j.arthro.2007.11.013","Siebold (2008)")</f>
        <v>Siebold (2008)</v>
      </c>
    </row>
    <row r="373" spans="1:2" x14ac:dyDescent="0.35">
      <c r="A373" s="1">
        <v>372</v>
      </c>
      <c r="B373" s="4" t="str">
        <f>HYPERLINK("https://doi.org/10.1177/0363546507312164","Bottoni (2008)")</f>
        <v>Bottoni (2008)</v>
      </c>
    </row>
    <row r="374" spans="1:2" x14ac:dyDescent="0.35">
      <c r="A374" s="1">
        <v>373</v>
      </c>
      <c r="B374" s="4" t="str">
        <f>HYPERLINK("https://doi.org/10.1111/j.1600-0838.2007.00697.x","Zaffagnini (2008)")</f>
        <v>Zaffagnini (2008)</v>
      </c>
    </row>
    <row r="375" spans="1:2" x14ac:dyDescent="0.35">
      <c r="A375" s="1">
        <v>374</v>
      </c>
      <c r="B375" s="4" t="str">
        <f>HYPERLINK("https://doi.org/10.1007/s00167-007-0480-z","Streich (2008)")</f>
        <v>Streich (2008)</v>
      </c>
    </row>
    <row r="376" spans="1:2" x14ac:dyDescent="0.35">
      <c r="A376" s="1">
        <v>375</v>
      </c>
      <c r="B376" s="4" t="str">
        <f>HYPERLINK("https://doi.org/10.1177/0363546507311601","Birmingham (2008)")</f>
        <v>Birmingham (2008)</v>
      </c>
    </row>
    <row r="377" spans="1:2" x14ac:dyDescent="0.35">
      <c r="A377" s="1">
        <v>376</v>
      </c>
      <c r="B377" s="4" t="str">
        <f>HYPERLINK("https://doi.org/10.1016/j.arthro.2007.09.010","Jepsen (2007)")</f>
        <v>Jepsen (2007)</v>
      </c>
    </row>
    <row r="378" spans="1:2" x14ac:dyDescent="0.35">
      <c r="A378" s="1">
        <v>377</v>
      </c>
      <c r="B378" s="4" t="str">
        <f>HYPERLINK("https://doi.org/10.1177/0363546507307867","Tagesson (2008)")</f>
        <v>Tagesson (2008)</v>
      </c>
    </row>
    <row r="379" spans="1:2" x14ac:dyDescent="0.35">
      <c r="A379" s="1">
        <v>378</v>
      </c>
      <c r="B379" s="4" t="str">
        <f>HYPERLINK("https://doi.org/10.1177/0363546507308360","Järvelä (2008)")</f>
        <v>Järvelä (2008)</v>
      </c>
    </row>
    <row r="380" spans="1:2" x14ac:dyDescent="0.35">
      <c r="A380" s="1">
        <v>379</v>
      </c>
      <c r="B380" s="4" t="str">
        <f>HYPERLINK("https://doi.org/10.1007/s00167-007-0426-5","Papachristou (2008)")</f>
        <v>Papachristou (2008)</v>
      </c>
    </row>
    <row r="381" spans="1:2" x14ac:dyDescent="0.35">
      <c r="A381" s="1">
        <v>380</v>
      </c>
      <c r="B381" s="4" t="str">
        <f>HYPERLINK("https://doi.org/10.1302/0301-620X.89B9.19339","Gohil (2007)")</f>
        <v>Gohil (2007)</v>
      </c>
    </row>
    <row r="382" spans="1:2" x14ac:dyDescent="0.35">
      <c r="A382" s="1">
        <v>381</v>
      </c>
      <c r="B382" s="4" t="str">
        <f>HYPERLINK("https://doi.org/10.1016/j.arthro.2007.01.022","Zhao (2007)")</f>
        <v>Zhao (2007)</v>
      </c>
    </row>
    <row r="383" spans="1:2" x14ac:dyDescent="0.35">
      <c r="A383" s="1">
        <v>382</v>
      </c>
      <c r="B383" s="4" t="str">
        <f>HYPERLINK("https://doi.org/10.1016/j.arthro.2007.04.010","Muneta (2007)")</f>
        <v>Muneta (2007)</v>
      </c>
    </row>
    <row r="384" spans="1:2" x14ac:dyDescent="0.35">
      <c r="A384" s="1">
        <v>383</v>
      </c>
      <c r="B384" s="4" t="str">
        <f>HYPERLINK("https://doi.org/10.1007/s00167-006-0254-z","Järvelä (2007)")</f>
        <v>Järvelä (2007)</v>
      </c>
    </row>
    <row r="385" spans="1:2" x14ac:dyDescent="0.35">
      <c r="A385" s="1">
        <v>384</v>
      </c>
      <c r="B385" s="4" t="str">
        <f>HYPERLINK("https://doi.org/10.1177/0363546506288014","Laxdal (2006)")</f>
        <v>Laxdal (2006)</v>
      </c>
    </row>
    <row r="386" spans="1:2" x14ac:dyDescent="0.35">
      <c r="A386" s="1">
        <v>385</v>
      </c>
      <c r="B386" s="4" t="str">
        <f>HYPERLINK("https://doi.org/10.1016/j.arthro.2005.12.017","Yasuda (2006)")</f>
        <v>Yasuda (2006)</v>
      </c>
    </row>
    <row r="387" spans="1:2" x14ac:dyDescent="0.35">
      <c r="A387" s="1">
        <v>386</v>
      </c>
      <c r="B387" s="4" t="str">
        <f>HYPERLINK("https://doi.org/10.1007/s00167-006-0034-9","Rose (2006)")</f>
        <v>Rose (2006)</v>
      </c>
    </row>
    <row r="388" spans="1:2" x14ac:dyDescent="0.35">
      <c r="A388" s="1">
        <v>387</v>
      </c>
      <c r="B388" s="4" t="str">
        <f>HYPERLINK("https://doi.org/10.1016/j.arthro.2005.08.023","Fauno (2005)")</f>
        <v>Fauno (2005)</v>
      </c>
    </row>
    <row r="389" spans="1:2" x14ac:dyDescent="0.35">
      <c r="A389" s="1">
        <v>388</v>
      </c>
      <c r="B389" s="4" t="str">
        <f>HYPERLINK("https://doi.org/10.1055/s-2005-858472","Pförringer (2005)")</f>
        <v>Pförringer (2005)</v>
      </c>
    </row>
    <row r="390" spans="1:2" x14ac:dyDescent="0.35">
      <c r="A390" s="1">
        <v>389</v>
      </c>
      <c r="B390" s="4" t="str">
        <f>HYPERLINK("https://doi.org/10.1016/j.arthro.2004.10.016","Gobbi (2005)")</f>
        <v>Gobbi (2005)</v>
      </c>
    </row>
    <row r="391" spans="1:2" x14ac:dyDescent="0.35">
      <c r="A391" s="1">
        <v>390</v>
      </c>
      <c r="B391" s="4" t="str">
        <f>HYPERLINK("https://doi.org/10.1186/1471-2482-5-1","Stengel (2005)")</f>
        <v>Stengel (2005)</v>
      </c>
    </row>
    <row r="392" spans="1:2" x14ac:dyDescent="0.35">
      <c r="A392" s="1">
        <v>391</v>
      </c>
      <c r="B392" s="4" t="str">
        <f>HYPERLINK("https://doi.org/10.1016/j.arthro.2004.09.013","Harilainen (2005)")</f>
        <v>Harilainen (2005)</v>
      </c>
    </row>
    <row r="393" spans="1:2" x14ac:dyDescent="0.35">
      <c r="A393" s="1">
        <v>392</v>
      </c>
      <c r="B393" s="4" t="str">
        <f>HYPERLINK("https://doi.org/10.1177/0095399703258675","Arneja (2004)")</f>
        <v>Arneja (2004)</v>
      </c>
    </row>
    <row r="394" spans="1:2" x14ac:dyDescent="0.35">
      <c r="A394" s="1">
        <v>393</v>
      </c>
      <c r="B394" s="4" t="str">
        <f>HYPERLINK("https://doi.org/10.1302/0301-620x.85b4.13743","Meighan (2003)")</f>
        <v>Meighan (2003)</v>
      </c>
    </row>
    <row r="395" spans="1:2" x14ac:dyDescent="0.35">
      <c r="A395" s="1">
        <v>394</v>
      </c>
      <c r="B395" s="4" t="str">
        <f>HYPERLINK("https://doi.org/10.1053/jars.2002.30637","Colombet (2002)")</f>
        <v>Colombet (2002)</v>
      </c>
    </row>
    <row r="396" spans="1:2" x14ac:dyDescent="0.35">
      <c r="A396" s="1">
        <v>395</v>
      </c>
      <c r="B396" s="4" t="str">
        <f>HYPERLINK("https://doi.org/10.2106/00004623-200109000-00006","O'Neill (2001)")</f>
        <v>O'Neill (2001)</v>
      </c>
    </row>
    <row r="397" spans="1:2" x14ac:dyDescent="0.35">
      <c r="A397" s="1">
        <v>396</v>
      </c>
      <c r="B397" s="4" t="str">
        <f>HYPERLINK("https://doi.org/10.1007/s001670000143","Mikkelsen (2000)")</f>
        <v>Mikkelsen (2000)</v>
      </c>
    </row>
    <row r="398" spans="1:2" x14ac:dyDescent="0.35">
      <c r="A398" s="1">
        <v>397</v>
      </c>
      <c r="B398" s="4" t="str">
        <f>HYPERLINK("https://doi.org/10.1177/036354659602400610","Arciero (1996)")</f>
        <v>Arciero (1996)</v>
      </c>
    </row>
    <row r="399" spans="1:2" x14ac:dyDescent="0.35">
      <c r="A399" s="1">
        <v>398</v>
      </c>
      <c r="B399" s="4" t="str">
        <f>HYPERLINK("https://doi.org/10.2519/jospt.1994.20.5.247","Yack (1994)")</f>
        <v>Yack (1994)</v>
      </c>
    </row>
    <row r="400" spans="1:2" x14ac:dyDescent="0.35">
      <c r="A400" s="1">
        <v>399</v>
      </c>
      <c r="B400" s="4" t="str">
        <f>HYPERLINK("https://doi.org/10.1007/s00590-025-04510-2","Yadav (2025)")</f>
        <v>Yadav (2025)</v>
      </c>
    </row>
    <row r="401" spans="1:3" x14ac:dyDescent="0.35">
      <c r="A401" s="1">
        <v>400</v>
      </c>
      <c r="B401" s="4" t="str">
        <f>HYPERLINK("https://doi.org/10.1097/CM9.0000000000003267","Wang (2025)")</f>
        <v>Wang (2025)</v>
      </c>
    </row>
    <row r="402" spans="1:3" x14ac:dyDescent="0.35">
      <c r="A402" s="1">
        <v>401</v>
      </c>
      <c r="B402" s="4" t="str">
        <f>HYPERLINK("https://doi.org/10.1186/s13063-022-06674-2","Ong (2022)")</f>
        <v>Ong (2022)</v>
      </c>
    </row>
    <row r="403" spans="1:3" x14ac:dyDescent="0.35">
      <c r="A403" s="1">
        <v>402</v>
      </c>
      <c r="B403" s="4" t="str">
        <f>HYPERLINK("https://doi.org/10.1177/03635465221090527","Hoogeslag (2022)")</f>
        <v>Hoogeslag (2022)</v>
      </c>
    </row>
    <row r="404" spans="1:3" x14ac:dyDescent="0.35">
      <c r="A404" s="1">
        <v>403</v>
      </c>
      <c r="B404" s="4" t="str">
        <f>HYPERLINK("https://doi.org/10.1186/s12891-021-04862-w","Ogrodzka-Ciechanowicz (2021)")</f>
        <v>Ogrodzka-Ciechanowicz (2021)</v>
      </c>
    </row>
    <row r="405" spans="1:3" x14ac:dyDescent="0.35">
      <c r="A405" s="1">
        <v>404</v>
      </c>
      <c r="B405" s="4" t="str">
        <f>HYPERLINK("https://doi.org/10.1007/s00421-021-04812-3","Minshull (2021)")</f>
        <v>Minshull (2021)</v>
      </c>
    </row>
    <row r="406" spans="1:3" x14ac:dyDescent="0.35">
      <c r="A406" s="1">
        <v>405</v>
      </c>
      <c r="B406" s="4" t="str">
        <f>HYPERLINK("https://doi.org/10.1007/s00167-021-06585-w","Irrgang (2021)")</f>
        <v>Irrgang (2021)</v>
      </c>
      <c r="C406" s="1" t="s">
        <v>4</v>
      </c>
    </row>
    <row r="407" spans="1:3" x14ac:dyDescent="0.35">
      <c r="A407" s="1">
        <v>406</v>
      </c>
      <c r="B407" s="4" t="str">
        <f>HYPERLINK("https://doi.org/10.2340/16501977-2664","Zhang (2020)")</f>
        <v>Zhang (2020)</v>
      </c>
    </row>
    <row r="408" spans="1:3" x14ac:dyDescent="0.35">
      <c r="A408" s="1">
        <v>407</v>
      </c>
      <c r="B408" s="4" t="str">
        <f>HYPERLINK("https://doi.org/10.1016/j.bjpt.2019.07.003","Vidmar (2020)")</f>
        <v>Vidmar (2020)</v>
      </c>
    </row>
    <row r="409" spans="1:3" x14ac:dyDescent="0.35">
      <c r="A409" s="1">
        <v>408</v>
      </c>
      <c r="B409" s="4" t="str">
        <f>HYPERLINK("https://doi.org/10.1007/s11999-017-5280-2","Arundale (2017)")</f>
        <v>Arundale (2017)</v>
      </c>
    </row>
    <row r="410" spans="1:3" x14ac:dyDescent="0.35">
      <c r="A410" s="1">
        <v>409</v>
      </c>
      <c r="B410" s="4" t="str">
        <f>HYPERLINK("https://doi.org/10.1177/0363546515620583","Chmielewski (2016)")</f>
        <v>Chmielewski (2016)</v>
      </c>
    </row>
    <row r="411" spans="1:3" x14ac:dyDescent="0.35">
      <c r="A411" s="1">
        <v>410</v>
      </c>
      <c r="B411" s="4" t="str">
        <f>HYPERLINK("https://doi.org/10.1093/ptj/74.8.710","Tovin (1994)")</f>
        <v>Tovin (1994)</v>
      </c>
    </row>
    <row r="412" spans="1:3" x14ac:dyDescent="0.35">
      <c r="A412" s="1">
        <v>411</v>
      </c>
      <c r="B412" s="4" t="str">
        <f>HYPERLINK("https://doi.org/10.1016/j.lanepe.2025.101561","Sonnery-Cottet (2026)")</f>
        <v>Sonnery-Cottet (2026)</v>
      </c>
    </row>
    <row r="413" spans="1:3" x14ac:dyDescent="0.35">
      <c r="A413" s="1">
        <v>412</v>
      </c>
      <c r="B413" s="4" t="str">
        <f>HYPERLINK("https://doi.org/10.1177/23259671241302348","Lucidi (2025)")</f>
        <v>Lucidi (2025)</v>
      </c>
    </row>
    <row r="414" spans="1:3" x14ac:dyDescent="0.35">
      <c r="A414" s="1">
        <v>413</v>
      </c>
      <c r="B414" s="4" t="str">
        <f>HYPERLINK("https://doi.org/10.1016/j.apunsm.2025.100507","Elazab (2025)")</f>
        <v>Elazab (2025)</v>
      </c>
    </row>
    <row r="415" spans="1:3" x14ac:dyDescent="0.35">
      <c r="A415" s="1">
        <v>414</v>
      </c>
      <c r="B415" s="4" t="str">
        <f>HYPERLINK("https://doi.org/10.1177/23259671231210035","Anz (2023)")</f>
        <v>Anz (2023)</v>
      </c>
    </row>
    <row r="416" spans="1:3" x14ac:dyDescent="0.35">
      <c r="A416" s="1">
        <v>415</v>
      </c>
      <c r="B416" s="4" t="str">
        <f>HYPERLINK("https://doi.org/10.1177/23259671221144983","Sonnier (2023)")</f>
        <v>Sonnier (2023)</v>
      </c>
    </row>
    <row r="417" spans="1:2" x14ac:dyDescent="0.35">
      <c r="A417" s="1">
        <v>416</v>
      </c>
      <c r="B417" s="4" t="str">
        <f>HYPERLINK("https://doi.org/10.1177/23259671221088830","Oliveira (2022)")</f>
        <v>Oliveira (2022)</v>
      </c>
    </row>
    <row r="418" spans="1:2" x14ac:dyDescent="0.35">
      <c r="A418" s="1">
        <v>417</v>
      </c>
      <c r="B418" s="4" t="str">
        <f>HYPERLINK("https://doi.org/10.1177/23259671211070542","Sanborn (2022)")</f>
        <v>Sanborn (2022)</v>
      </c>
    </row>
    <row r="419" spans="1:2" x14ac:dyDescent="0.35">
      <c r="A419" s="1">
        <v>418</v>
      </c>
      <c r="B419" s="4" t="str">
        <f>HYPERLINK("https://doi.org/10.47750/pnr.2022.13.S09.1056","Sohu (2022)")</f>
        <v>Sohu (2022)</v>
      </c>
    </row>
    <row r="420" spans="1:2" x14ac:dyDescent="0.35">
      <c r="A420" s="1">
        <v>419</v>
      </c>
      <c r="B420" s="4" t="str">
        <f>HYPERLINK("https://doi.org/10.1177/23259671211028168","Guglielmetti (2021)")</f>
        <v>Guglielmetti (2021)</v>
      </c>
    </row>
    <row r="421" spans="1:2" x14ac:dyDescent="0.35">
      <c r="A421" s="1">
        <v>420</v>
      </c>
      <c r="B421" s="4" t="str">
        <f>HYPERLINK("https://doi.org/10.1186/s40634-020-00292-0","Van (2020)")</f>
        <v>Van (2020)</v>
      </c>
    </row>
    <row r="422" spans="1:2" x14ac:dyDescent="0.35">
      <c r="A422" s="1">
        <v>421</v>
      </c>
      <c r="B422" s="4" t="str">
        <f>HYPERLINK("https://doi.org/10.1177/2325967120918490","Sonnery-Cottet (2020)")</f>
        <v>Sonnery-Cottet (2020)</v>
      </c>
    </row>
    <row r="423" spans="1:2" x14ac:dyDescent="0.35">
      <c r="A423" s="1">
        <v>422</v>
      </c>
      <c r="B423" s="4" t="str">
        <f>HYPERLINK("https://doi.org/10.1016/j.jcot.2018.04.018","Gupta (2019)")</f>
        <v>Gupta (2019)</v>
      </c>
    </row>
    <row r="424" spans="1:2" x14ac:dyDescent="0.35">
      <c r="A424" s="1">
        <v>423</v>
      </c>
      <c r="B424" s="4" t="str">
        <f>HYPERLINK("https://doi.org/10.1016/j.arthro.2018.07.009","Hamrin (2019)")</f>
        <v>Hamrin (2019)</v>
      </c>
    </row>
    <row r="425" spans="1:2" x14ac:dyDescent="0.35">
      <c r="A425" s="1">
        <v>424</v>
      </c>
      <c r="B425" s="4" t="str">
        <f>HYPERLINK("https://doi.org/10.1177/2325967118808778","Elveos (2018)")</f>
        <v>Elveos (2018)</v>
      </c>
    </row>
    <row r="426" spans="1:2" x14ac:dyDescent="0.35">
      <c r="A426" s="1">
        <v>425</v>
      </c>
      <c r="B426" s="4" t="str">
        <f>HYPERLINK("https://doi.org/10.1177/0300060517722696","Sta?czak (2018)")</f>
        <v>Sta?czak (2018)</v>
      </c>
    </row>
    <row r="427" spans="1:2" x14ac:dyDescent="0.35">
      <c r="A427" s="1">
        <v>426</v>
      </c>
      <c r="B427" s="4" t="str">
        <f>HYPERLINK("https://doi.org/10.4103/jrms.JRMS_939_16","Sadeghpour (2017)")</f>
        <v>Sadeghpour (2017)</v>
      </c>
    </row>
    <row r="428" spans="1:2" x14ac:dyDescent="0.35">
      <c r="A428" s="1">
        <v>427</v>
      </c>
      <c r="B428" s="4" t="str">
        <f>HYPERLINK("https://doi.org/10.2106/00004623-200410000-00004","Aglietti (2004)")</f>
        <v>Aglietti (2004)</v>
      </c>
    </row>
    <row r="429" spans="1:2" x14ac:dyDescent="0.35">
      <c r="A429" s="1">
        <v>428</v>
      </c>
      <c r="B429" s="4" t="str">
        <f>HYPERLINK("https://doi.org/10.1302/0301-620X.84B3.12400","Nau (2002)")</f>
        <v>Nau (2002)</v>
      </c>
    </row>
    <row r="430" spans="1:2" x14ac:dyDescent="0.35">
      <c r="A430" s="1">
        <v>429</v>
      </c>
      <c r="B430" s="4" t="str">
        <f>HYPERLINK("https://doi.org/10.1302/0301-620X.83B3.11685","Eriksson (2001)")</f>
        <v>Eriksson (2001)</v>
      </c>
    </row>
    <row r="431" spans="1:2" x14ac:dyDescent="0.35">
      <c r="A431" s="1">
        <v>430</v>
      </c>
      <c r="B431" s="4" t="str">
        <f>HYPERLINK("https://doi.org/10.1186/s12891-025-09183-w","Castellanos (2025)")</f>
        <v>Castellanos (2025)</v>
      </c>
    </row>
    <row r="432" spans="1:2" x14ac:dyDescent="0.35">
      <c r="A432" s="1">
        <v>431</v>
      </c>
      <c r="B432" s="4" t="str">
        <f>HYPERLINK("https://doi.org/10.1002/jeo2.70460","Firoozabadi (2025)")</f>
        <v>Firoozabadi (2025)</v>
      </c>
    </row>
    <row r="433" spans="1:2" x14ac:dyDescent="0.35">
      <c r="A433" s="1">
        <v>432</v>
      </c>
      <c r="B433" s="4" t="str">
        <f>HYPERLINK("https://doi.org/10.1002/jeo2.70399","Martinez-Cano (2025)")</f>
        <v>Martinez-Cano (2025)</v>
      </c>
    </row>
    <row r="434" spans="1:2" x14ac:dyDescent="0.35">
      <c r="A434" s="1">
        <v>433</v>
      </c>
      <c r="B434" s="4" t="str">
        <f>HYPERLINK("https://doi.org/10.69605/ijlbpr_14.7.2025.278","Kadivar (2025)")</f>
        <v>Kadivar (2025)</v>
      </c>
    </row>
    <row r="435" spans="1:2" x14ac:dyDescent="0.35">
      <c r="A435" s="1">
        <v>434</v>
      </c>
      <c r="B435" s="4" t="str">
        <f>HYPERLINK("https://doi.org/10.1007/s00264-025-06468-6","Khalil (2025)")</f>
        <v>Khalil (2025)</v>
      </c>
    </row>
    <row r="436" spans="1:2" x14ac:dyDescent="0.35">
      <c r="A436" s="1">
        <v>435</v>
      </c>
      <c r="B436" s="4" t="str">
        <f>HYPERLINK("https://doi.org/10.1002/ksa.12710","LaPrade (2025)")</f>
        <v>LaPrade (2025)</v>
      </c>
    </row>
    <row r="437" spans="1:2" x14ac:dyDescent="0.35">
      <c r="A437" s="1">
        <v>436</v>
      </c>
      <c r="B437" s="4" t="str">
        <f>HYPERLINK("https://doi.org/10.59218/makrjms.2024.3.254.259","Siddique (2024)")</f>
        <v>Siddique (2024)</v>
      </c>
    </row>
    <row r="438" spans="1:2" x14ac:dyDescent="0.35">
      <c r="A438" s="1">
        <v>437</v>
      </c>
      <c r="B438" s="4" t="str">
        <f>HYPERLINK("https://doi.org/10.2106/JBJS.OA.23.00051","Saeed (2023)")</f>
        <v>Saeed (2023)</v>
      </c>
    </row>
    <row r="439" spans="1:2" x14ac:dyDescent="0.35">
      <c r="A439" s="1">
        <v>438</v>
      </c>
      <c r="B439" s="4" t="str">
        <f>HYPERLINK("https://doi.org/10.7860/JCDR/2023/64284.18350","Khatri (2023)")</f>
        <v>Khatri (2023)</v>
      </c>
    </row>
    <row r="440" spans="1:2" x14ac:dyDescent="0.35">
      <c r="A440" s="1">
        <v>439</v>
      </c>
      <c r="B440" s="4" t="str">
        <f>HYPERLINK("https://doi.org/10.1177/23259671221116340","Zhang (2022)")</f>
        <v>Zhang (2022)</v>
      </c>
    </row>
    <row r="441" spans="1:2" x14ac:dyDescent="0.35">
      <c r="A441" s="1">
        <v>440</v>
      </c>
      <c r="B441" s="4" t="str">
        <f>HYPERLINK("https://doi.org/10.1177/22104917221088335","Vijay (2022)")</f>
        <v>Vijay (2022)</v>
      </c>
    </row>
    <row r="442" spans="1:2" x14ac:dyDescent="0.35">
      <c r="A442" s="1">
        <v>441</v>
      </c>
      <c r="B442" s="4" t="str">
        <f>HYPERLINK("https://doi.org/10.1186/s12891-021-04280-y","van (2021)")</f>
        <v>van (2021)</v>
      </c>
    </row>
    <row r="443" spans="1:2" x14ac:dyDescent="0.35">
      <c r="A443" s="1">
        <v>442</v>
      </c>
      <c r="B443" s="4" t="str">
        <f>HYPERLINK("https://doi.org/10.1186/s13102-021-00275-3","Ghaderi (2021)")</f>
        <v>Ghaderi (2021)</v>
      </c>
    </row>
    <row r="444" spans="1:2" x14ac:dyDescent="0.35">
      <c r="A444" s="1">
        <v>443</v>
      </c>
      <c r="B444" s="4" t="str">
        <f>HYPERLINK("https://doi.org/10.1177/2325967119827237","López-Vidriero (2019)")</f>
        <v>López-Vidriero (2019)</v>
      </c>
    </row>
    <row r="445" spans="1:2" x14ac:dyDescent="0.35">
      <c r="A445" s="1">
        <v>444</v>
      </c>
      <c r="B445" s="4" t="str">
        <f>HYPERLINK("https://doi.org/10.1186/s13063-018-2448-3","Bregenhof (2018)")</f>
        <v>Bregenhof (2018)</v>
      </c>
    </row>
    <row r="446" spans="1:2" x14ac:dyDescent="0.35">
      <c r="A446" s="1">
        <v>445</v>
      </c>
      <c r="B446" s="4" t="str">
        <f>HYPERLINK("https://doi.org/10.3969/j.issn.2095-4344.2014.51.023","Li (2014)")</f>
        <v>Li (2014)</v>
      </c>
    </row>
    <row r="447" spans="1:2" x14ac:dyDescent="0.35">
      <c r="A447" s="1">
        <v>446</v>
      </c>
      <c r="B447" s="4" t="str">
        <f>HYPERLINK("https://doi.org/10.1177/2325967114S00274","Kaya (2014)")</f>
        <v>Kaya (2014)</v>
      </c>
    </row>
    <row r="448" spans="1:2" x14ac:dyDescent="0.35">
      <c r="A448" s="1">
        <v>447</v>
      </c>
      <c r="B448" s="4" t="str">
        <f>HYPERLINK("https://doi.org/10.1302/0301-620X.85B4.13743","Meighan (2003)")</f>
        <v>Meighan (2003)</v>
      </c>
    </row>
    <row r="449" spans="1:2" x14ac:dyDescent="0.35">
      <c r="A449" s="1">
        <v>448</v>
      </c>
      <c r="B449" s="4" t="str">
        <f>HYPERLINK("https://doi.org/10.1186/s40798-025-00901-1","Qiu (2025)")</f>
        <v>Qiu (2025)</v>
      </c>
    </row>
    <row r="450" spans="1:2" x14ac:dyDescent="0.35">
      <c r="A450" s="1">
        <v>449</v>
      </c>
      <c r="B450" s="4" t="str">
        <f>HYPERLINK("https://doi.org/10.1177/23259671241271729","Lim (2024)")</f>
        <v>Lim (2024)</v>
      </c>
    </row>
    <row r="451" spans="1:2" x14ac:dyDescent="0.35">
      <c r="A451" s="1">
        <v>450</v>
      </c>
      <c r="B451" s="4" t="str">
        <f>HYPERLINK("https://doi.org/10.1177/03635465221128566","Balasingam (2022)")</f>
        <v>Balasingam (2022)</v>
      </c>
    </row>
    <row r="452" spans="1:2" x14ac:dyDescent="0.35">
      <c r="A452" s="1">
        <v>451</v>
      </c>
      <c r="B452" s="4" t="str">
        <f>HYPERLINK("https://doi.org/10.1177/0363546516658041","Thompson (2016)")</f>
        <v>Thompson (2016)</v>
      </c>
    </row>
    <row r="453" spans="1:2" x14ac:dyDescent="0.35">
      <c r="A453" s="1">
        <v>452</v>
      </c>
      <c r="B453" s="4" t="str">
        <f>HYPERLINK("https://doi.org/10.1177/0363546517721692","Chen (2017)")</f>
        <v>Chen (2017)</v>
      </c>
    </row>
    <row r="454" spans="1:2" x14ac:dyDescent="0.35">
      <c r="A454" s="1">
        <v>453</v>
      </c>
      <c r="B454" s="4" t="str">
        <f>HYPERLINK("https://doi.org/10.1177/23259671221138103","Shelbourne (2022)")</f>
        <v>Shelbourne (2022)</v>
      </c>
    </row>
    <row r="455" spans="1:2" x14ac:dyDescent="0.35">
      <c r="A455" s="1">
        <v>454</v>
      </c>
      <c r="B455" s="4" t="str">
        <f>HYPERLINK("https://doi.org/10.1177/0363546518784005","Boutsiadis (2018)")</f>
        <v>Boutsiadis (2018)</v>
      </c>
    </row>
    <row r="456" spans="1:2" x14ac:dyDescent="0.35">
      <c r="A456" s="1">
        <v>455</v>
      </c>
      <c r="B456" s="4" t="str">
        <f>HYPERLINK("https://doi.org/10.1007/s00264-012-1718-z","Dejour (2013)")</f>
        <v>Dejour (2013)</v>
      </c>
    </row>
    <row r="457" spans="1:2" x14ac:dyDescent="0.35">
      <c r="A457" s="1">
        <v>456</v>
      </c>
      <c r="B457" s="4" t="str">
        <f>HYPERLINK("https://doi.org/10.1016/j.eng.2024.10.018","Zhang (2025)")</f>
        <v>Zhang (2025)</v>
      </c>
    </row>
    <row r="458" spans="1:2" x14ac:dyDescent="0.35">
      <c r="A458" s="1">
        <v>457</v>
      </c>
      <c r="B458" s="4" t="str">
        <f>HYPERLINK("https://doi.org/10.4085/1062-6050-49.3.53","Harris (2015)")</f>
        <v>Harris (2015)</v>
      </c>
    </row>
    <row r="459" spans="1:2" x14ac:dyDescent="0.35">
      <c r="A459" s="1">
        <v>458</v>
      </c>
      <c r="B459" s="4" t="str">
        <f>HYPERLINK("https://doi.org/10.1186/s40634-023-00601-3","Runer (2023)")</f>
        <v>Runer (2023)</v>
      </c>
    </row>
    <row r="460" spans="1:2" x14ac:dyDescent="0.35">
      <c r="A460" s="1">
        <v>459</v>
      </c>
      <c r="B460" s="4" t="str">
        <f>HYPERLINK("https://doi.org/10.1016/j.otsr.2016.06.011","Cantin (2016)")</f>
        <v>Cantin (2016)</v>
      </c>
    </row>
    <row r="461" spans="1:2" x14ac:dyDescent="0.35">
      <c r="A461" s="1">
        <v>460</v>
      </c>
      <c r="B461" s="4" t="str">
        <f>HYPERLINK("https://doi.org/10.1177/0363546518795137","Lecoq (2018)")</f>
        <v>Lecoq (2018)</v>
      </c>
    </row>
    <row r="462" spans="1:2" x14ac:dyDescent="0.35">
      <c r="A462" s="1">
        <v>461</v>
      </c>
      <c r="B462" s="4" t="str">
        <f>HYPERLINK("https://doi.org/10.1177/0363546510396180","Feil (2011)")</f>
        <v>Feil (2011)</v>
      </c>
    </row>
    <row r="463" spans="1:2" x14ac:dyDescent="0.35">
      <c r="A463" s="1">
        <v>462</v>
      </c>
      <c r="B463" s="4" t="str">
        <f>HYPERLINK("https://doi.org/10.1177/0363546512464200","Fleming (2013)")</f>
        <v>Fleming (2013)</v>
      </c>
    </row>
    <row r="464" spans="1:2" x14ac:dyDescent="0.35">
      <c r="A464" s="1">
        <v>463</v>
      </c>
      <c r="B464" s="4" t="str">
        <f>HYPERLINK("https://doi.org/10.1177/03635465221124917","Costa (2022)")</f>
        <v>Costa (2022)</v>
      </c>
    </row>
    <row r="465" spans="1:2" x14ac:dyDescent="0.35">
      <c r="A465" s="1">
        <v>464</v>
      </c>
      <c r="B465" s="4" t="str">
        <f>HYPERLINK("https://doi.org/10.1016/j.knee.2009.07.002","Mayr (2010)")</f>
        <v>Mayr (2010)</v>
      </c>
    </row>
    <row r="466" spans="1:2" x14ac:dyDescent="0.35">
      <c r="A466" s="1">
        <v>465</v>
      </c>
      <c r="B466" s="4" t="str">
        <f>HYPERLINK("https://doi.org/10.1056/NEJMoa0907797","Frobell (2010)")</f>
        <v>Frobell (2010)</v>
      </c>
    </row>
    <row r="467" spans="1:2" x14ac:dyDescent="0.35">
      <c r="A467" s="1">
        <v>466</v>
      </c>
      <c r="B467" s="4" t="str">
        <f>HYPERLINK("https://doi.org/10.1177/0363546507299238","Kostogiannis (2007)")</f>
        <v>Kostogiannis (2007)</v>
      </c>
    </row>
    <row r="468" spans="1:2" x14ac:dyDescent="0.35">
      <c r="A468" s="1">
        <v>467</v>
      </c>
      <c r="B468" s="4" t="str">
        <f>HYPERLINK("https://doi.org/10.1007/s00167-011-1458-4","Darabos (2011)")</f>
        <v>Darabos (2011)</v>
      </c>
    </row>
    <row r="469" spans="1:2" x14ac:dyDescent="0.35">
      <c r="A469" s="1">
        <v>468</v>
      </c>
      <c r="B469" s="4" t="str">
        <f>HYPERLINK("https://doi.org/10.1177/0363546518820529","Porter (2019)")</f>
        <v>Porter (2019)</v>
      </c>
    </row>
    <row r="470" spans="1:2" x14ac:dyDescent="0.35">
      <c r="A470" s="1">
        <v>469</v>
      </c>
      <c r="B470" s="4" t="str">
        <f>HYPERLINK("https://doi.org/10.1302/2633-1462.111.BJO-2020.0012.R1","Ashraf (2020)")</f>
        <v>Ashraf (2020)</v>
      </c>
    </row>
    <row r="471" spans="1:2" x14ac:dyDescent="0.35">
      <c r="A471" s="1">
        <v>470</v>
      </c>
      <c r="B471" s="4" t="str">
        <f>HYPERLINK("https://doi.org/10.1016/j.jisako.2024.100309","Rips (2024)")</f>
        <v>Rips (2024)</v>
      </c>
    </row>
    <row r="472" spans="1:2" x14ac:dyDescent="0.35">
      <c r="A472" s="1">
        <v>471</v>
      </c>
      <c r="B472" s="4" t="str">
        <f>HYPERLINK("https://doi.org/10.4085/1062-6050-49.3.95","Christensen (2015)")</f>
        <v>Christensen (2015)</v>
      </c>
    </row>
    <row r="473" spans="1:2" x14ac:dyDescent="0.35">
      <c r="A473" s="1">
        <v>472</v>
      </c>
      <c r="B473" s="4" t="str">
        <f>HYPERLINK("https://www.embase.com/search/results?subaction=viewrecord&amp;id=LNCT06975306&amp;from=export")</f>
        <v>https://www.embase.com/search/results?subaction=viewrecord&amp;id=LNCT06975306&amp;from=export</v>
      </c>
    </row>
    <row r="474" spans="1:2" x14ac:dyDescent="0.35">
      <c r="A474" s="1">
        <v>473</v>
      </c>
      <c r="B474" s="4" t="str">
        <f>HYPERLINK("https://www.embase.com/search/results?subaction=viewrecord&amp;id=LNCT06505525&amp;from=export")</f>
        <v>https://www.embase.com/search/results?subaction=viewrecord&amp;id=LNCT06505525&amp;from=export</v>
      </c>
    </row>
    <row r="475" spans="1:2" x14ac:dyDescent="0.35">
      <c r="A475" s="1">
        <v>474</v>
      </c>
      <c r="B475" s="4" t="str">
        <f>HYPERLINK("https://www.embase.com/search/results?subaction=viewrecord&amp;id=LNCT06189573&amp;from=export")</f>
        <v>https://www.embase.com/search/results?subaction=viewrecord&amp;id=LNCT06189573&amp;from=export</v>
      </c>
    </row>
    <row r="476" spans="1:2" x14ac:dyDescent="0.35">
      <c r="A476" s="1">
        <v>475</v>
      </c>
      <c r="B476" s="4" t="str">
        <f>HYPERLINK("https://www.embase.com/search/results?subaction=viewrecord&amp;id=LNCT06050785&amp;from=export")</f>
        <v>https://www.embase.com/search/results?subaction=viewrecord&amp;id=LNCT06050785&amp;from=export</v>
      </c>
    </row>
    <row r="477" spans="1:2" x14ac:dyDescent="0.35">
      <c r="A477" s="1">
        <v>476</v>
      </c>
      <c r="B477" s="4" t="str">
        <f>HYPERLINK("https://www.embase.com/search/results?subaction=viewrecord&amp;id=LNCT06303726&amp;from=export")</f>
        <v>https://www.embase.com/search/results?subaction=viewrecord&amp;id=LNCT06303726&amp;from=export</v>
      </c>
    </row>
    <row r="478" spans="1:2" x14ac:dyDescent="0.35">
      <c r="A478" s="1">
        <v>477</v>
      </c>
      <c r="B478" s="4" t="str">
        <f>HYPERLINK("https://www.embase.com/search/results?subaction=viewrecord&amp;id=LNCT05876013&amp;from=export")</f>
        <v>https://www.embase.com/search/results?subaction=viewrecord&amp;id=LNCT05876013&amp;from=export</v>
      </c>
    </row>
    <row r="479" spans="1:2" x14ac:dyDescent="0.35">
      <c r="A479" s="1">
        <v>478</v>
      </c>
      <c r="B479" s="4" t="str">
        <f>HYPERLINK("https://www.embase.com/search/results?subaction=viewrecord&amp;id=LNCT05673356&amp;from=export")</f>
        <v>https://www.embase.com/search/results?subaction=viewrecord&amp;id=LNCT05673356&amp;from=export</v>
      </c>
    </row>
    <row r="480" spans="1:2" x14ac:dyDescent="0.35">
      <c r="A480" s="1">
        <v>479</v>
      </c>
      <c r="B480" s="4" t="str">
        <f>HYPERLINK("https://www.embase.com/search/results?subaction=viewrecord&amp;id=LNCT05582226&amp;from=export")</f>
        <v>https://www.embase.com/search/results?subaction=viewrecord&amp;id=LNCT05582226&amp;from=export</v>
      </c>
    </row>
    <row r="481" spans="1:2" x14ac:dyDescent="0.35">
      <c r="A481" s="1">
        <v>480</v>
      </c>
      <c r="B481" s="4" t="str">
        <f>HYPERLINK("https://www.embase.com/search/results?subaction=viewrecord&amp;id=LNCT05580133&amp;from=export")</f>
        <v>https://www.embase.com/search/results?subaction=viewrecord&amp;id=LNCT05580133&amp;from=export</v>
      </c>
    </row>
    <row r="482" spans="1:2" x14ac:dyDescent="0.35">
      <c r="A482" s="1">
        <v>481</v>
      </c>
      <c r="B482" s="4" t="str">
        <f>HYPERLINK("https://www.embase.com/search/results?subaction=viewrecord&amp;id=LNCT05461326&amp;from=export")</f>
        <v>https://www.embase.com/search/results?subaction=viewrecord&amp;id=LNCT05461326&amp;from=export</v>
      </c>
    </row>
    <row r="483" spans="1:2" x14ac:dyDescent="0.35">
      <c r="A483" s="1">
        <v>482</v>
      </c>
      <c r="B483" s="4" t="str">
        <f>HYPERLINK("https://www.embase.com/search/results?subaction=viewrecord&amp;id=LNCT05342441&amp;from=export")</f>
        <v>https://www.embase.com/search/results?subaction=viewrecord&amp;id=LNCT05342441&amp;from=export</v>
      </c>
    </row>
    <row r="484" spans="1:2" x14ac:dyDescent="0.35">
      <c r="A484" s="1">
        <v>483</v>
      </c>
      <c r="B484" s="4" t="str">
        <f>HYPERLINK("https://www.embase.com/search/results?subaction=viewrecord&amp;id=LNCT05270551&amp;from=export")</f>
        <v>https://www.embase.com/search/results?subaction=viewrecord&amp;id=LNCT05270551&amp;from=export</v>
      </c>
    </row>
    <row r="485" spans="1:2" x14ac:dyDescent="0.35">
      <c r="A485" s="1">
        <v>484</v>
      </c>
      <c r="B485" s="4" t="str">
        <f>HYPERLINK("https://www.embase.com/search/results?subaction=viewrecord&amp;id=LNCT05088278&amp;from=export")</f>
        <v>https://www.embase.com/search/results?subaction=viewrecord&amp;id=LNCT05088278&amp;from=export</v>
      </c>
    </row>
    <row r="486" spans="1:2" x14ac:dyDescent="0.35">
      <c r="A486" s="1">
        <v>485</v>
      </c>
      <c r="B486" s="4" t="str">
        <f>HYPERLINK("https://www.embase.com/search/results?subaction=viewrecord&amp;id=LNCT04951531&amp;from=export")</f>
        <v>https://www.embase.com/search/results?subaction=viewrecord&amp;id=LNCT04951531&amp;from=export</v>
      </c>
    </row>
    <row r="487" spans="1:2" x14ac:dyDescent="0.35">
      <c r="A487" s="1">
        <v>486</v>
      </c>
      <c r="B487" s="4" t="str">
        <f>HYPERLINK("https://www.embase.com/search/results?subaction=viewrecord&amp;id=LNCT04901559&amp;from=export")</f>
        <v>https://www.embase.com/search/results?subaction=viewrecord&amp;id=LNCT04901559&amp;from=export</v>
      </c>
    </row>
    <row r="488" spans="1:2" x14ac:dyDescent="0.35">
      <c r="A488" s="1">
        <v>487</v>
      </c>
      <c r="B488" s="4" t="str">
        <f>HYPERLINK("https://www.embase.com/search/results?subaction=viewrecord&amp;id=LNCT04484961&amp;from=export")</f>
        <v>https://www.embase.com/search/results?subaction=viewrecord&amp;id=LNCT04484961&amp;from=export</v>
      </c>
    </row>
    <row r="489" spans="1:2" x14ac:dyDescent="0.35">
      <c r="A489" s="1">
        <v>488</v>
      </c>
      <c r="B489" s="4" t="str">
        <f>HYPERLINK("https://www.embase.com/search/results?subaction=viewrecord&amp;id=LNCT04360928&amp;from=export")</f>
        <v>https://www.embase.com/search/results?subaction=viewrecord&amp;id=LNCT04360928&amp;from=export</v>
      </c>
    </row>
    <row r="490" spans="1:2" x14ac:dyDescent="0.35">
      <c r="A490" s="1">
        <v>489</v>
      </c>
      <c r="B490" s="4" t="str">
        <f>HYPERLINK("https://www.embase.com/search/results?subaction=viewrecord&amp;id=LNCT04123834&amp;from=export")</f>
        <v>https://www.embase.com/search/results?subaction=viewrecord&amp;id=LNCT04123834&amp;from=export</v>
      </c>
    </row>
    <row r="491" spans="1:2" x14ac:dyDescent="0.35">
      <c r="A491" s="1">
        <v>490</v>
      </c>
      <c r="B491" s="4" t="str">
        <f>HYPERLINK("https://www.embase.com/search/results?subaction=viewrecord&amp;id=LNCT04650568&amp;from=export")</f>
        <v>https://www.embase.com/search/results?subaction=viewrecord&amp;id=LNCT04650568&amp;from=export</v>
      </c>
    </row>
    <row r="492" spans="1:2" x14ac:dyDescent="0.35">
      <c r="A492" s="1">
        <v>491</v>
      </c>
      <c r="B492" s="4" t="str">
        <f>HYPERLINK("https://www.embase.com/search/results?subaction=viewrecord&amp;id=LNCT03354195&amp;from=export")</f>
        <v>https://www.embase.com/search/results?subaction=viewrecord&amp;id=LNCT03354195&amp;from=export</v>
      </c>
    </row>
    <row r="493" spans="1:2" x14ac:dyDescent="0.35">
      <c r="A493" s="1">
        <v>492</v>
      </c>
      <c r="B493" s="4" t="str">
        <f>HYPERLINK("https://www.embase.com/search/results?subaction=viewrecord&amp;id=LNCT03740022&amp;from=export")</f>
        <v>https://www.embase.com/search/results?subaction=viewrecord&amp;id=LNCT03740022&amp;from=export</v>
      </c>
    </row>
    <row r="494" spans="1:2" x14ac:dyDescent="0.35">
      <c r="A494" s="1">
        <v>493</v>
      </c>
      <c r="B494" s="4" t="str">
        <f>HYPERLINK("https://www.embase.com/search/results?subaction=viewrecord&amp;id=LNCT00529958&amp;from=export")</f>
        <v>https://www.embase.com/search/results?subaction=viewrecord&amp;id=LNCT00529958&amp;from=export</v>
      </c>
    </row>
    <row r="495" spans="1:2" x14ac:dyDescent="0.35">
      <c r="A495" s="1">
        <v>494</v>
      </c>
      <c r="B495" s="4" t="str">
        <f>HYPERLINK("https://www.embase.com/search/results?subaction=viewrecord&amp;id=LNCT00198042&amp;from=export")</f>
        <v>https://www.embase.com/search/results?subaction=viewrecord&amp;id=LNCT00198042&amp;from=export</v>
      </c>
    </row>
    <row r="496" spans="1:2" x14ac:dyDescent="0.35">
      <c r="A496" s="1">
        <v>495</v>
      </c>
      <c r="B496" s="4" t="str">
        <f>HYPERLINK("https://www.embase.com/search/results?subaction=viewrecord&amp;id=LNCT07023653&amp;from=export")</f>
        <v>https://www.embase.com/search/results?subaction=viewrecord&amp;id=LNCT07023653&amp;from=export</v>
      </c>
    </row>
    <row r="497" spans="1:2" x14ac:dyDescent="0.35">
      <c r="A497" s="1">
        <v>496</v>
      </c>
      <c r="B497" s="4" t="str">
        <f>HYPERLINK("https://www.embase.com/search/results?subaction=viewrecord&amp;id=LNCT06980285&amp;from=export")</f>
        <v>https://www.embase.com/search/results?subaction=viewrecord&amp;id=LNCT06980285&amp;from=export</v>
      </c>
    </row>
    <row r="498" spans="1:2" x14ac:dyDescent="0.35">
      <c r="A498" s="1">
        <v>497</v>
      </c>
      <c r="B498" s="4" t="str">
        <f>HYPERLINK("https://www.embase.com/search/results?subaction=viewrecord&amp;id=LNCT06961292&amp;from=export")</f>
        <v>https://www.embase.com/search/results?subaction=viewrecord&amp;id=LNCT06961292&amp;from=export</v>
      </c>
    </row>
    <row r="499" spans="1:2" x14ac:dyDescent="0.35">
      <c r="A499" s="1">
        <v>498</v>
      </c>
      <c r="B499" s="4" t="str">
        <f>HYPERLINK("https://www.embase.com/search/results?subaction=viewrecord&amp;id=LNCT06831279&amp;from=export")</f>
        <v>https://www.embase.com/search/results?subaction=viewrecord&amp;id=LNCT06831279&amp;from=export</v>
      </c>
    </row>
    <row r="500" spans="1:2" x14ac:dyDescent="0.35">
      <c r="A500" s="1">
        <v>499</v>
      </c>
      <c r="B500" s="4" t="str">
        <f>HYPERLINK("https://www.embase.com/search/results?subaction=viewrecord&amp;id=LNCT06769711&amp;from=export")</f>
        <v>https://www.embase.com/search/results?subaction=viewrecord&amp;id=LNCT06769711&amp;from=export</v>
      </c>
    </row>
    <row r="501" spans="1:2" x14ac:dyDescent="0.35">
      <c r="A501" s="1">
        <v>500</v>
      </c>
      <c r="B501" s="4" t="str">
        <f>HYPERLINK("https://www.embase.com/search/results?subaction=viewrecord&amp;id=LNCT06755398&amp;from=export")</f>
        <v>https://www.embase.com/search/results?subaction=viewrecord&amp;id=LNCT06755398&amp;from=export</v>
      </c>
    </row>
    <row r="502" spans="1:2" x14ac:dyDescent="0.35">
      <c r="A502" s="1">
        <v>501</v>
      </c>
      <c r="B502" s="4" t="str">
        <f>HYPERLINK("https://www.embase.com/search/results?subaction=viewrecord&amp;id=LNCT06727344&amp;from=export")</f>
        <v>https://www.embase.com/search/results?subaction=viewrecord&amp;id=LNCT06727344&amp;from=export</v>
      </c>
    </row>
    <row r="503" spans="1:2" x14ac:dyDescent="0.35">
      <c r="A503" s="1">
        <v>502</v>
      </c>
      <c r="B503" s="4" t="str">
        <f>HYPERLINK("https://www.embase.com/search/results?subaction=viewrecord&amp;id=LNCT06505525&amp;from=export")</f>
        <v>https://www.embase.com/search/results?subaction=viewrecord&amp;id=LNCT06505525&amp;from=export</v>
      </c>
    </row>
    <row r="504" spans="1:2" x14ac:dyDescent="0.35">
      <c r="A504" s="1">
        <v>503</v>
      </c>
      <c r="B504" s="4" t="str">
        <f>HYPERLINK("https://www.embase.com/search/results?subaction=viewrecord&amp;id=LNCT06280456&amp;from=export")</f>
        <v>https://www.embase.com/search/results?subaction=viewrecord&amp;id=LNCT06280456&amp;from=export</v>
      </c>
    </row>
    <row r="505" spans="1:2" x14ac:dyDescent="0.35">
      <c r="A505" s="1">
        <v>504</v>
      </c>
      <c r="B505" s="4" t="str">
        <f>HYPERLINK("https://www.embase.com/search/results?subaction=viewrecord&amp;id=LNCT06147427&amp;from=export")</f>
        <v>https://www.embase.com/search/results?subaction=viewrecord&amp;id=LNCT06147427&amp;from=export</v>
      </c>
    </row>
    <row r="506" spans="1:2" x14ac:dyDescent="0.35">
      <c r="A506" s="1">
        <v>505</v>
      </c>
      <c r="B506" s="4" t="str">
        <f>HYPERLINK("https://www.embase.com/search/results?subaction=viewrecord&amp;id=LNCT06050785&amp;from=export")</f>
        <v>https://www.embase.com/search/results?subaction=viewrecord&amp;id=LNCT06050785&amp;from=export</v>
      </c>
    </row>
    <row r="507" spans="1:2" x14ac:dyDescent="0.35">
      <c r="A507" s="1">
        <v>506</v>
      </c>
      <c r="B507" s="4" t="str">
        <f>HYPERLINK("https://www.embase.com/search/results?subaction=viewrecord&amp;id=LNCT05983692&amp;from=export")</f>
        <v>https://www.embase.com/search/results?subaction=viewrecord&amp;id=LNCT05983692&amp;from=export</v>
      </c>
    </row>
    <row r="508" spans="1:2" x14ac:dyDescent="0.35">
      <c r="A508" s="1">
        <v>507</v>
      </c>
      <c r="B508" s="4" t="str">
        <f>HYPERLINK("https://www.embase.com/search/results?subaction=viewrecord&amp;id=LNCT06303726&amp;from=export")</f>
        <v>https://www.embase.com/search/results?subaction=viewrecord&amp;id=LNCT06303726&amp;from=export</v>
      </c>
    </row>
    <row r="509" spans="1:2" x14ac:dyDescent="0.35">
      <c r="A509" s="1">
        <v>508</v>
      </c>
      <c r="B509" s="4" t="str">
        <f>HYPERLINK("https://www.embase.com/search/results?subaction=viewrecord&amp;id=LNCT05904158&amp;from=export")</f>
        <v>https://www.embase.com/search/results?subaction=viewrecord&amp;id=LNCT05904158&amp;from=export</v>
      </c>
    </row>
    <row r="510" spans="1:2" x14ac:dyDescent="0.35">
      <c r="A510" s="1">
        <v>509</v>
      </c>
      <c r="B510" s="4" t="str">
        <f>HYPERLINK("https://www.embase.com/search/results?subaction=viewrecord&amp;id=LNCT05876013&amp;from=export")</f>
        <v>https://www.embase.com/search/results?subaction=viewrecord&amp;id=LNCT05876013&amp;from=export</v>
      </c>
    </row>
    <row r="511" spans="1:2" x14ac:dyDescent="0.35">
      <c r="A511" s="1">
        <v>510</v>
      </c>
      <c r="B511" s="4" t="str">
        <f>HYPERLINK("https://www.embase.com/search/results?subaction=viewrecord&amp;id=LNCT05814445&amp;from=export")</f>
        <v>https://www.embase.com/search/results?subaction=viewrecord&amp;id=LNCT05814445&amp;from=export</v>
      </c>
    </row>
    <row r="512" spans="1:2" x14ac:dyDescent="0.35">
      <c r="A512" s="1">
        <v>511</v>
      </c>
      <c r="B512" s="4" t="str">
        <f>HYPERLINK("https://www.embase.com/search/results?subaction=viewrecord&amp;id=LNCT05673356&amp;from=export")</f>
        <v>https://www.embase.com/search/results?subaction=viewrecord&amp;id=LNCT05673356&amp;from=export</v>
      </c>
    </row>
    <row r="513" spans="1:2" x14ac:dyDescent="0.35">
      <c r="A513" s="1">
        <v>512</v>
      </c>
      <c r="B513" s="4" t="str">
        <f>HYPERLINK("https://www.embase.com/search/results?subaction=viewrecord&amp;id=LNCT05738200&amp;from=export")</f>
        <v>https://www.embase.com/search/results?subaction=viewrecord&amp;id=LNCT05738200&amp;from=export</v>
      </c>
    </row>
    <row r="514" spans="1:2" x14ac:dyDescent="0.35">
      <c r="A514" s="1">
        <v>513</v>
      </c>
      <c r="B514" s="4" t="str">
        <f>HYPERLINK("https://www.embase.com/search/results?subaction=viewrecord&amp;id=LNCT05574946&amp;from=export")</f>
        <v>https://www.embase.com/search/results?subaction=viewrecord&amp;id=LNCT05574946&amp;from=export</v>
      </c>
    </row>
    <row r="515" spans="1:2" x14ac:dyDescent="0.35">
      <c r="A515" s="1">
        <v>514</v>
      </c>
      <c r="B515" s="4" t="str">
        <f>HYPERLINK("https://www.embase.com/search/results?subaction=viewrecord&amp;id=LNCT05580133&amp;from=export")</f>
        <v>https://www.embase.com/search/results?subaction=viewrecord&amp;id=LNCT05580133&amp;from=export</v>
      </c>
    </row>
    <row r="516" spans="1:2" x14ac:dyDescent="0.35">
      <c r="A516" s="1">
        <v>515</v>
      </c>
      <c r="B516" s="4" t="str">
        <f>HYPERLINK("https://www.embase.com/search/results?subaction=viewrecord&amp;id=LNCT05532189&amp;from=export")</f>
        <v>https://www.embase.com/search/results?subaction=viewrecord&amp;id=LNCT05532189&amp;from=export</v>
      </c>
    </row>
    <row r="517" spans="1:2" x14ac:dyDescent="0.35">
      <c r="A517" s="1">
        <v>516</v>
      </c>
      <c r="B517" s="4" t="str">
        <f>HYPERLINK("https://www.embase.com/search/results?subaction=viewrecord&amp;id=LNCT05489627&amp;from=export")</f>
        <v>https://www.embase.com/search/results?subaction=viewrecord&amp;id=LNCT05489627&amp;from=export</v>
      </c>
    </row>
    <row r="518" spans="1:2" x14ac:dyDescent="0.35">
      <c r="A518" s="1">
        <v>517</v>
      </c>
      <c r="B518" s="4" t="str">
        <f>HYPERLINK("https://www.embase.com/search/results?subaction=viewrecord&amp;id=LNCT05342441&amp;from=export")</f>
        <v>https://www.embase.com/search/results?subaction=viewrecord&amp;id=LNCT05342441&amp;from=export</v>
      </c>
    </row>
    <row r="519" spans="1:2" x14ac:dyDescent="0.35">
      <c r="A519" s="1">
        <v>518</v>
      </c>
      <c r="B519" s="4" t="str">
        <f>HYPERLINK("https://www.embase.com/search/results?subaction=viewrecord&amp;id=LNCT05270551&amp;from=export")</f>
        <v>https://www.embase.com/search/results?subaction=viewrecord&amp;id=LNCT05270551&amp;from=export</v>
      </c>
    </row>
    <row r="520" spans="1:2" x14ac:dyDescent="0.35">
      <c r="A520" s="1">
        <v>519</v>
      </c>
      <c r="B520" s="4" t="str">
        <f>HYPERLINK("https://www.embase.com/search/results?subaction=viewrecord&amp;id=LNCT04953676&amp;from=export")</f>
        <v>https://www.embase.com/search/results?subaction=viewrecord&amp;id=LNCT04953676&amp;from=export</v>
      </c>
    </row>
    <row r="521" spans="1:2" x14ac:dyDescent="0.35">
      <c r="A521" s="1">
        <v>520</v>
      </c>
      <c r="B521" s="4" t="str">
        <f>HYPERLINK("https://www.embase.com/search/results?subaction=viewrecord&amp;id=LNCT04940169&amp;from=export")</f>
        <v>https://www.embase.com/search/results?subaction=viewrecord&amp;id=LNCT04940169&amp;from=export</v>
      </c>
    </row>
    <row r="522" spans="1:2" x14ac:dyDescent="0.35">
      <c r="A522" s="1">
        <v>521</v>
      </c>
      <c r="B522" s="4" t="str">
        <f>HYPERLINK("https://www.embase.com/search/results?subaction=viewrecord&amp;id=LNCT04906538&amp;from=export")</f>
        <v>https://www.embase.com/search/results?subaction=viewrecord&amp;id=LNCT04906538&amp;from=export</v>
      </c>
    </row>
    <row r="523" spans="1:2" x14ac:dyDescent="0.35">
      <c r="A523" s="1">
        <v>522</v>
      </c>
      <c r="B523" s="4" t="str">
        <f>HYPERLINK("https://www.embase.com/search/results?subaction=viewrecord&amp;id=LNCT04901559&amp;from=export")</f>
        <v>https://www.embase.com/search/results?subaction=viewrecord&amp;id=LNCT04901559&amp;from=export</v>
      </c>
    </row>
    <row r="524" spans="1:2" x14ac:dyDescent="0.35">
      <c r="A524" s="1">
        <v>523</v>
      </c>
      <c r="B524" s="4" t="str">
        <f>HYPERLINK("https://www.embase.com/search/results?subaction=viewrecord&amp;id=LNCT04753424&amp;from=export")</f>
        <v>https://www.embase.com/search/results?subaction=viewrecord&amp;id=LNCT04753424&amp;from=export</v>
      </c>
    </row>
    <row r="525" spans="1:2" x14ac:dyDescent="0.35">
      <c r="A525" s="1">
        <v>524</v>
      </c>
      <c r="B525" s="4" t="str">
        <f>HYPERLINK("https://www.embase.com/search/results?subaction=viewrecord&amp;id=LNCT04677218&amp;from=export")</f>
        <v>https://www.embase.com/search/results?subaction=viewrecord&amp;id=LNCT04677218&amp;from=export</v>
      </c>
    </row>
    <row r="526" spans="1:2" x14ac:dyDescent="0.35">
      <c r="A526" s="1">
        <v>525</v>
      </c>
      <c r="B526" s="4" t="str">
        <f>HYPERLINK("https://www.embase.com/search/results?subaction=viewrecord&amp;id=LNCT04626999&amp;from=export")</f>
        <v>https://www.embase.com/search/results?subaction=viewrecord&amp;id=LNCT04626999&amp;from=export</v>
      </c>
    </row>
    <row r="527" spans="1:2" x14ac:dyDescent="0.35">
      <c r="A527" s="1">
        <v>526</v>
      </c>
      <c r="B527" s="4" t="str">
        <f>HYPERLINK("https://www.embase.com/search/results?subaction=viewrecord&amp;id=LNCT04531826&amp;from=export")</f>
        <v>https://www.embase.com/search/results?subaction=viewrecord&amp;id=LNCT04531826&amp;from=export</v>
      </c>
    </row>
    <row r="528" spans="1:2" x14ac:dyDescent="0.35">
      <c r="A528" s="1">
        <v>527</v>
      </c>
      <c r="B528" s="4" t="str">
        <f>HYPERLINK("https://www.embase.com/search/results?subaction=viewrecord&amp;id=LNCT04536246&amp;from=export")</f>
        <v>https://www.embase.com/search/results?subaction=viewrecord&amp;id=LNCT04536246&amp;from=export</v>
      </c>
    </row>
    <row r="529" spans="1:2" x14ac:dyDescent="0.35">
      <c r="A529" s="1">
        <v>528</v>
      </c>
      <c r="B529" s="4" t="str">
        <f>HYPERLINK("https://www.embase.com/search/results?subaction=viewrecord&amp;id=LNCT04484961&amp;from=export")</f>
        <v>https://www.embase.com/search/results?subaction=viewrecord&amp;id=LNCT04484961&amp;from=export</v>
      </c>
    </row>
    <row r="530" spans="1:2" x14ac:dyDescent="0.35">
      <c r="A530" s="1">
        <v>529</v>
      </c>
      <c r="B530" s="4" t="str">
        <f>HYPERLINK("https://www.embase.com/search/results?subaction=viewrecord&amp;id=LNCT04360928&amp;from=export")</f>
        <v>https://www.embase.com/search/results?subaction=viewrecord&amp;id=LNCT04360928&amp;from=export</v>
      </c>
    </row>
    <row r="531" spans="1:2" x14ac:dyDescent="0.35">
      <c r="A531" s="1">
        <v>530</v>
      </c>
      <c r="B531" s="4" t="str">
        <f>HYPERLINK("https://www.embase.com/search/results?subaction=viewrecord&amp;id=LNCT04295148&amp;from=export")</f>
        <v>https://www.embase.com/search/results?subaction=viewrecord&amp;id=LNCT04295148&amp;from=export</v>
      </c>
    </row>
    <row r="532" spans="1:2" x14ac:dyDescent="0.35">
      <c r="A532" s="1">
        <v>531</v>
      </c>
      <c r="B532" s="4" t="str">
        <f>HYPERLINK("https://www.embase.com/search/results?subaction=viewrecord&amp;id=LNCT04129827&amp;from=export")</f>
        <v>https://www.embase.com/search/results?subaction=viewrecord&amp;id=LNCT04129827&amp;from=export</v>
      </c>
    </row>
    <row r="533" spans="1:2" x14ac:dyDescent="0.35">
      <c r="A533" s="1">
        <v>532</v>
      </c>
      <c r="B533" s="4" t="str">
        <f>HYPERLINK("https://www.embase.com/search/results?subaction=viewrecord&amp;id=LNCT04123834&amp;from=export")</f>
        <v>https://www.embase.com/search/results?subaction=viewrecord&amp;id=LNCT04123834&amp;from=export</v>
      </c>
    </row>
    <row r="534" spans="1:2" x14ac:dyDescent="0.35">
      <c r="A534" s="1">
        <v>533</v>
      </c>
      <c r="B534" s="4" t="str">
        <f>HYPERLINK("https://www.embase.com/search/results?subaction=viewrecord&amp;id=LNCT03896464&amp;from=export")</f>
        <v>https://www.embase.com/search/results?subaction=viewrecord&amp;id=LNCT03896464&amp;from=export</v>
      </c>
    </row>
    <row r="535" spans="1:2" x14ac:dyDescent="0.35">
      <c r="A535" s="1">
        <v>534</v>
      </c>
      <c r="B535" s="4" t="str">
        <f>HYPERLINK("https://www.embase.com/search/results?subaction=viewrecord&amp;id=LNCT03700996&amp;from=export")</f>
        <v>https://www.embase.com/search/results?subaction=viewrecord&amp;id=LNCT03700996&amp;from=export</v>
      </c>
    </row>
    <row r="536" spans="1:2" x14ac:dyDescent="0.35">
      <c r="A536" s="1">
        <v>535</v>
      </c>
      <c r="B536" s="4" t="str">
        <f>HYPERLINK("https://www.embase.com/search/results?subaction=viewrecord&amp;id=LNCT03580018&amp;from=export")</f>
        <v>https://www.embase.com/search/results?subaction=viewrecord&amp;id=LNCT03580018&amp;from=export</v>
      </c>
    </row>
    <row r="537" spans="1:2" x14ac:dyDescent="0.35">
      <c r="A537" s="1">
        <v>536</v>
      </c>
      <c r="B537" s="4" t="str">
        <f>HYPERLINK("https://www.embase.com/search/results?subaction=viewrecord&amp;id=LNCT03441295&amp;from=export")</f>
        <v>https://www.embase.com/search/results?subaction=viewrecord&amp;id=LNCT03441295&amp;from=export</v>
      </c>
    </row>
    <row r="538" spans="1:2" x14ac:dyDescent="0.35">
      <c r="A538" s="1">
        <v>537</v>
      </c>
      <c r="B538" s="4" t="str">
        <f>HYPERLINK("https://www.embase.com/search/results?subaction=viewrecord&amp;id=LNCT03510845&amp;from=export")</f>
        <v>https://www.embase.com/search/results?subaction=viewrecord&amp;id=LNCT03510845&amp;from=export</v>
      </c>
    </row>
    <row r="539" spans="1:2" x14ac:dyDescent="0.35">
      <c r="A539" s="1">
        <v>538</v>
      </c>
      <c r="B539" s="4" t="str">
        <f>HYPERLINK("https://www.embase.com/search/results?subaction=viewrecord&amp;id=LNCT03433170&amp;from=export")</f>
        <v>https://www.embase.com/search/results?subaction=viewrecord&amp;id=LNCT03433170&amp;from=export</v>
      </c>
    </row>
    <row r="540" spans="1:2" x14ac:dyDescent="0.35">
      <c r="A540" s="1">
        <v>539</v>
      </c>
      <c r="B540" s="4" t="str">
        <f>HYPERLINK("https://www.embase.com/search/results?subaction=viewrecord&amp;id=LNCT03462823&amp;from=export")</f>
        <v>https://www.embase.com/search/results?subaction=viewrecord&amp;id=LNCT03462823&amp;from=export</v>
      </c>
    </row>
    <row r="541" spans="1:2" x14ac:dyDescent="0.35">
      <c r="A541" s="1">
        <v>540</v>
      </c>
      <c r="B541" s="4" t="str">
        <f>HYPERLINK("https://www.embase.com/search/results?subaction=viewrecord&amp;id=LNCT03184922&amp;from=export")</f>
        <v>https://www.embase.com/search/results?subaction=viewrecord&amp;id=LNCT03184922&amp;from=export</v>
      </c>
    </row>
    <row r="542" spans="1:2" x14ac:dyDescent="0.35">
      <c r="A542" s="1">
        <v>541</v>
      </c>
      <c r="B542" s="4" t="str">
        <f>HYPERLINK("https://www.embase.com/search/results?subaction=viewrecord&amp;id=LNCT04137250&amp;from=export")</f>
        <v>https://www.embase.com/search/results?subaction=viewrecord&amp;id=LNCT04137250&amp;from=export</v>
      </c>
    </row>
    <row r="543" spans="1:2" x14ac:dyDescent="0.35">
      <c r="A543" s="1">
        <v>542</v>
      </c>
      <c r="B543" s="4" t="str">
        <f>HYPERLINK("https://www.embase.com/search/results?subaction=viewrecord&amp;id=LNCT03073083&amp;from=export")</f>
        <v>https://www.embase.com/search/results?subaction=viewrecord&amp;id=LNCT03073083&amp;from=export</v>
      </c>
    </row>
    <row r="544" spans="1:2" x14ac:dyDescent="0.35">
      <c r="A544" s="1">
        <v>543</v>
      </c>
      <c r="B544" s="4" t="str">
        <f>HYPERLINK("https://www.embase.com/search/results?subaction=viewrecord&amp;id=LNCT03047187&amp;from=export")</f>
        <v>https://www.embase.com/search/results?subaction=viewrecord&amp;id=LNCT03047187&amp;from=export</v>
      </c>
    </row>
    <row r="545" spans="1:2" x14ac:dyDescent="0.35">
      <c r="A545" s="1">
        <v>544</v>
      </c>
      <c r="B545" s="4" t="str">
        <f>HYPERLINK("https://www.embase.com/search/results?subaction=viewrecord&amp;id=LNCT02939677&amp;from=export")</f>
        <v>https://www.embase.com/search/results?subaction=viewrecord&amp;id=LNCT02939677&amp;from=export</v>
      </c>
    </row>
    <row r="546" spans="1:2" x14ac:dyDescent="0.35">
      <c r="A546" s="1">
        <v>545</v>
      </c>
      <c r="B546" s="4" t="str">
        <f>HYPERLINK("https://www.embase.com/search/results?subaction=viewrecord&amp;id=LNCT02626975&amp;from=export")</f>
        <v>https://www.embase.com/search/results?subaction=viewrecord&amp;id=LNCT02626975&amp;from=export</v>
      </c>
    </row>
    <row r="547" spans="1:2" x14ac:dyDescent="0.35">
      <c r="A547" s="1">
        <v>546</v>
      </c>
      <c r="B547" s="4" t="str">
        <f>HYPERLINK("https://www.embase.com/search/results?subaction=viewrecord&amp;id=LNCT02310854&amp;from=export")</f>
        <v>https://www.embase.com/search/results?subaction=viewrecord&amp;id=LNCT02310854&amp;from=export</v>
      </c>
    </row>
    <row r="548" spans="1:2" x14ac:dyDescent="0.35">
      <c r="A548" s="1">
        <v>547</v>
      </c>
      <c r="B548" s="4" t="str">
        <f>HYPERLINK("https://www.embase.com/search/results?subaction=viewrecord&amp;id=LNCT01755819&amp;from=export")</f>
        <v>https://www.embase.com/search/results?subaction=viewrecord&amp;id=LNCT01755819&amp;from=export</v>
      </c>
    </row>
    <row r="549" spans="1:2" x14ac:dyDescent="0.35">
      <c r="A549" s="1">
        <v>548</v>
      </c>
      <c r="B549" s="4" t="str">
        <f>HYPERLINK("https://www.embase.com/search/results?subaction=viewrecord&amp;id=LNCT01727739&amp;from=export")</f>
        <v>https://www.embase.com/search/results?subaction=viewrecord&amp;id=LNCT01727739&amp;from=export</v>
      </c>
    </row>
    <row r="550" spans="1:2" x14ac:dyDescent="0.35">
      <c r="A550" s="1">
        <v>549</v>
      </c>
      <c r="B550" s="4" t="str">
        <f>HYPERLINK("https://www.embase.com/search/results?subaction=viewrecord&amp;id=LNCT01634711&amp;from=export")</f>
        <v>https://www.embase.com/search/results?subaction=viewrecord&amp;id=LNCT01634711&amp;from=export</v>
      </c>
    </row>
    <row r="551" spans="1:2" x14ac:dyDescent="0.35">
      <c r="A551" s="1">
        <v>550</v>
      </c>
      <c r="B551" s="4" t="str">
        <f>HYPERLINK("https://www.embase.com/search/results?subaction=viewrecord&amp;id=LNCT01348945&amp;from=export")</f>
        <v>https://www.embase.com/search/results?subaction=viewrecord&amp;id=LNCT01348945&amp;from=export</v>
      </c>
    </row>
    <row r="552" spans="1:2" x14ac:dyDescent="0.35">
      <c r="A552" s="1">
        <v>551</v>
      </c>
      <c r="B552" s="4" t="str">
        <f>HYPERLINK("https://www.embase.com/search/results?subaction=viewrecord&amp;id=LNCT01170546&amp;from=export")</f>
        <v>https://www.embase.com/search/results?subaction=viewrecord&amp;id=LNCT01170546&amp;from=export</v>
      </c>
    </row>
    <row r="553" spans="1:2" x14ac:dyDescent="0.35">
      <c r="A553" s="1">
        <v>552</v>
      </c>
      <c r="B553" s="4" t="str">
        <f>HYPERLINK("https://www.embase.com/search/results?subaction=viewrecord&amp;id=LNCT00529958&amp;from=export")</f>
        <v>https://www.embase.com/search/results?subaction=viewrecord&amp;id=LNCT00529958&amp;from=export</v>
      </c>
    </row>
    <row r="554" spans="1:2" x14ac:dyDescent="0.35">
      <c r="A554" s="1">
        <v>553</v>
      </c>
      <c r="B554" s="4" t="str">
        <f>HYPERLINK("https://www.embase.com/search/results?subaction=viewrecord&amp;id=LNCT00198042&amp;from=export")</f>
        <v>https://www.embase.com/search/results?subaction=viewrecord&amp;id=LNCT00198042&amp;from=export</v>
      </c>
    </row>
    <row r="555" spans="1:2" x14ac:dyDescent="0.35">
      <c r="A555" s="1">
        <v>554</v>
      </c>
      <c r="B555" s="4" t="str">
        <f>HYPERLINK("https://www.embase.com/search/results?subaction=viewrecord&amp;id=LNCT07145606&amp;from=export")</f>
        <v>https://www.embase.com/search/results?subaction=viewrecord&amp;id=LNCT07145606&amp;from=export</v>
      </c>
    </row>
    <row r="556" spans="1:2" x14ac:dyDescent="0.35">
      <c r="A556" s="1">
        <v>555</v>
      </c>
      <c r="B556" s="4" t="str">
        <f>HYPERLINK("https://www.embase.com/search/results?subaction=viewrecord&amp;id=LNCT07040384&amp;from=export")</f>
        <v>https://www.embase.com/search/results?subaction=viewrecord&amp;id=LNCT07040384&amp;from=export</v>
      </c>
    </row>
    <row r="557" spans="1:2" x14ac:dyDescent="0.35">
      <c r="A557" s="1">
        <v>556</v>
      </c>
      <c r="B557" s="4" t="str">
        <f>HYPERLINK("https://www.embase.com/search/results?subaction=viewrecord&amp;id=LNCT06980285&amp;from=export")</f>
        <v>https://www.embase.com/search/results?subaction=viewrecord&amp;id=LNCT06980285&amp;from=export</v>
      </c>
    </row>
    <row r="558" spans="1:2" x14ac:dyDescent="0.35">
      <c r="A558" s="1">
        <v>557</v>
      </c>
      <c r="B558" s="4" t="str">
        <f>HYPERLINK("https://www.embase.com/search/results?subaction=viewrecord&amp;id=LNCT06831279&amp;from=export")</f>
        <v>https://www.embase.com/search/results?subaction=viewrecord&amp;id=LNCT06831279&amp;from=export</v>
      </c>
    </row>
    <row r="559" spans="1:2" x14ac:dyDescent="0.35">
      <c r="A559" s="1">
        <v>558</v>
      </c>
      <c r="B559" s="4" t="str">
        <f>HYPERLINK("https://www.embase.com/search/results?subaction=viewrecord&amp;id=LNCT06755398&amp;from=export")</f>
        <v>https://www.embase.com/search/results?subaction=viewrecord&amp;id=LNCT06755398&amp;from=export</v>
      </c>
    </row>
    <row r="560" spans="1:2" x14ac:dyDescent="0.35">
      <c r="A560" s="1">
        <v>559</v>
      </c>
      <c r="B560" s="4" t="str">
        <f>HYPERLINK("https://www.embase.com/search/results?subaction=viewrecord&amp;id=LNCT06727344&amp;from=export")</f>
        <v>https://www.embase.com/search/results?subaction=viewrecord&amp;id=LNCT06727344&amp;from=export</v>
      </c>
    </row>
    <row r="561" spans="1:2" x14ac:dyDescent="0.35">
      <c r="A561" s="1">
        <v>560</v>
      </c>
      <c r="B561" s="4" t="str">
        <f>HYPERLINK("https://www.embase.com/search/results?subaction=viewrecord&amp;id=LNCT06430775&amp;from=export")</f>
        <v>https://www.embase.com/search/results?subaction=viewrecord&amp;id=LNCT06430775&amp;from=export</v>
      </c>
    </row>
    <row r="562" spans="1:2" x14ac:dyDescent="0.35">
      <c r="A562" s="1">
        <v>561</v>
      </c>
      <c r="B562" s="4" t="str">
        <f>HYPERLINK("https://www.embase.com/search/results?subaction=viewrecord&amp;id=LNCT06189573&amp;from=export")</f>
        <v>https://www.embase.com/search/results?subaction=viewrecord&amp;id=LNCT06189573&amp;from=export</v>
      </c>
    </row>
    <row r="563" spans="1:2" x14ac:dyDescent="0.35">
      <c r="A563" s="1">
        <v>562</v>
      </c>
      <c r="B563" s="4" t="str">
        <f>HYPERLINK("https://www.embase.com/search/results?subaction=viewrecord&amp;id=LNCT05904158&amp;from=export")</f>
        <v>https://www.embase.com/search/results?subaction=viewrecord&amp;id=LNCT05904158&amp;from=export</v>
      </c>
    </row>
    <row r="564" spans="1:2" x14ac:dyDescent="0.35">
      <c r="A564" s="1">
        <v>563</v>
      </c>
      <c r="B564" s="4" t="str">
        <f>HYPERLINK("https://www.embase.com/search/results?subaction=viewrecord&amp;id=LNCT05876013&amp;from=export")</f>
        <v>https://www.embase.com/search/results?subaction=viewrecord&amp;id=LNCT05876013&amp;from=export</v>
      </c>
    </row>
    <row r="565" spans="1:2" x14ac:dyDescent="0.35">
      <c r="A565" s="1">
        <v>564</v>
      </c>
      <c r="B565" s="4" t="str">
        <f>HYPERLINK("https://www.embase.com/search/results?subaction=viewrecord&amp;id=LNCT05673356&amp;from=export")</f>
        <v>https://www.embase.com/search/results?subaction=viewrecord&amp;id=LNCT05673356&amp;from=export</v>
      </c>
    </row>
    <row r="566" spans="1:2" x14ac:dyDescent="0.35">
      <c r="A566" s="1">
        <v>565</v>
      </c>
      <c r="B566" s="4" t="str">
        <f>HYPERLINK("https://www.embase.com/search/results?subaction=viewrecord&amp;id=LNCT05738200&amp;from=export")</f>
        <v>https://www.embase.com/search/results?subaction=viewrecord&amp;id=LNCT05738200&amp;from=export</v>
      </c>
    </row>
    <row r="567" spans="1:2" x14ac:dyDescent="0.35">
      <c r="A567" s="1">
        <v>566</v>
      </c>
      <c r="B567" s="4" t="str">
        <f>HYPERLINK("https://www.embase.com/search/results?subaction=viewrecord&amp;id=LNCT05580133&amp;from=export")</f>
        <v>https://www.embase.com/search/results?subaction=viewrecord&amp;id=LNCT05580133&amp;from=export</v>
      </c>
    </row>
    <row r="568" spans="1:2" x14ac:dyDescent="0.35">
      <c r="A568" s="1">
        <v>567</v>
      </c>
      <c r="B568" s="4" t="str">
        <f>HYPERLINK("https://www.embase.com/search/results?subaction=viewrecord&amp;id=LNCT05489627&amp;from=export")</f>
        <v>https://www.embase.com/search/results?subaction=viewrecord&amp;id=LNCT05489627&amp;from=export</v>
      </c>
    </row>
    <row r="569" spans="1:2" x14ac:dyDescent="0.35">
      <c r="A569" s="1">
        <v>568</v>
      </c>
      <c r="B569" s="4" t="str">
        <f>HYPERLINK("https://www.embase.com/search/results?subaction=viewrecord&amp;id=LNCT05461326&amp;from=export")</f>
        <v>https://www.embase.com/search/results?subaction=viewrecord&amp;id=LNCT05461326&amp;from=export</v>
      </c>
    </row>
    <row r="570" spans="1:2" x14ac:dyDescent="0.35">
      <c r="A570" s="1">
        <v>569</v>
      </c>
      <c r="B570" s="4" t="str">
        <f>HYPERLINK("https://www.embase.com/search/results?subaction=viewrecord&amp;id=LNCT05481918&amp;from=export")</f>
        <v>https://www.embase.com/search/results?subaction=viewrecord&amp;id=LNCT05481918&amp;from=export</v>
      </c>
    </row>
    <row r="571" spans="1:2" x14ac:dyDescent="0.35">
      <c r="A571" s="1">
        <v>570</v>
      </c>
      <c r="B571" s="4" t="str">
        <f>HYPERLINK("https://www.embase.com/search/results?subaction=viewrecord&amp;id=LNCT05426954&amp;from=export")</f>
        <v>https://www.embase.com/search/results?subaction=viewrecord&amp;id=LNCT05426954&amp;from=export</v>
      </c>
    </row>
    <row r="572" spans="1:2" x14ac:dyDescent="0.35">
      <c r="A572" s="1">
        <v>571</v>
      </c>
      <c r="B572" s="4" t="str">
        <f>HYPERLINK("https://www.embase.com/search/results?subaction=viewrecord&amp;id=LNCT05342441&amp;from=export")</f>
        <v>https://www.embase.com/search/results?subaction=viewrecord&amp;id=LNCT05342441&amp;from=export</v>
      </c>
    </row>
    <row r="573" spans="1:2" x14ac:dyDescent="0.35">
      <c r="A573" s="1">
        <v>572</v>
      </c>
      <c r="B573" s="4" t="str">
        <f>HYPERLINK("https://www.embase.com/search/results?subaction=viewrecord&amp;id=LNCT05180123&amp;from=export")</f>
        <v>https://www.embase.com/search/results?subaction=viewrecord&amp;id=LNCT05180123&amp;from=export</v>
      </c>
    </row>
    <row r="574" spans="1:2" x14ac:dyDescent="0.35">
      <c r="A574" s="1">
        <v>573</v>
      </c>
      <c r="B574" s="4" t="str">
        <f>HYPERLINK("https://www.embase.com/search/results?subaction=viewrecord&amp;id=LNCT05184023&amp;from=export")</f>
        <v>https://www.embase.com/search/results?subaction=viewrecord&amp;id=LNCT05184023&amp;from=export</v>
      </c>
    </row>
    <row r="575" spans="1:2" x14ac:dyDescent="0.35">
      <c r="A575" s="1">
        <v>574</v>
      </c>
      <c r="B575" s="4" t="str">
        <f>HYPERLINK("https://www.embase.com/search/results?subaction=viewrecord&amp;id=LNCT04940169&amp;from=export")</f>
        <v>https://www.embase.com/search/results?subaction=viewrecord&amp;id=LNCT04940169&amp;from=export</v>
      </c>
    </row>
    <row r="576" spans="1:2" x14ac:dyDescent="0.35">
      <c r="A576" s="1">
        <v>575</v>
      </c>
      <c r="B576" s="4" t="str">
        <f>HYPERLINK("https://www.embase.com/search/results?subaction=viewrecord&amp;id=LNCT04901559&amp;from=export")</f>
        <v>https://www.embase.com/search/results?subaction=viewrecord&amp;id=LNCT04901559&amp;from=export</v>
      </c>
    </row>
    <row r="577" spans="1:2" x14ac:dyDescent="0.35">
      <c r="A577" s="1">
        <v>576</v>
      </c>
      <c r="B577" s="4" t="str">
        <f>HYPERLINK("https://www.embase.com/search/results?subaction=viewrecord&amp;id=LNCT04677218&amp;from=export")</f>
        <v>https://www.embase.com/search/results?subaction=viewrecord&amp;id=LNCT04677218&amp;from=export</v>
      </c>
    </row>
    <row r="578" spans="1:2" x14ac:dyDescent="0.35">
      <c r="A578" s="1">
        <v>577</v>
      </c>
      <c r="B578" s="4" t="str">
        <f>HYPERLINK("https://www.embase.com/search/results?subaction=viewrecord&amp;id=LNCT04536246&amp;from=export")</f>
        <v>https://www.embase.com/search/results?subaction=viewrecord&amp;id=LNCT04536246&amp;from=export</v>
      </c>
    </row>
    <row r="579" spans="1:2" x14ac:dyDescent="0.35">
      <c r="A579" s="1">
        <v>578</v>
      </c>
      <c r="B579" s="4" t="str">
        <f>HYPERLINK("https://www.embase.com/search/results?subaction=viewrecord&amp;id=LNCT04390035&amp;from=export")</f>
        <v>https://www.embase.com/search/results?subaction=viewrecord&amp;id=LNCT04390035&amp;from=export</v>
      </c>
    </row>
    <row r="580" spans="1:2" x14ac:dyDescent="0.35">
      <c r="A580" s="1">
        <v>579</v>
      </c>
      <c r="B580" s="4" t="str">
        <f>HYPERLINK("https://www.embase.com/search/results?subaction=viewrecord&amp;id=LNCT04360928&amp;from=export")</f>
        <v>https://www.embase.com/search/results?subaction=viewrecord&amp;id=LNCT04360928&amp;from=export</v>
      </c>
    </row>
    <row r="581" spans="1:2" x14ac:dyDescent="0.35">
      <c r="A581" s="1">
        <v>580</v>
      </c>
      <c r="B581" s="4" t="str">
        <f>HYPERLINK("https://www.embase.com/search/results?subaction=viewrecord&amp;id=LNCT04295148&amp;from=export")</f>
        <v>https://www.embase.com/search/results?subaction=viewrecord&amp;id=LNCT04295148&amp;from=export</v>
      </c>
    </row>
    <row r="582" spans="1:2" x14ac:dyDescent="0.35">
      <c r="A582" s="1">
        <v>581</v>
      </c>
      <c r="B582" s="4" t="str">
        <f>HYPERLINK("https://www.embase.com/search/results?subaction=viewrecord&amp;id=LNCT03896464&amp;from=export")</f>
        <v>https://www.embase.com/search/results?subaction=viewrecord&amp;id=LNCT03896464&amp;from=export</v>
      </c>
    </row>
    <row r="583" spans="1:2" x14ac:dyDescent="0.35">
      <c r="A583" s="1">
        <v>582</v>
      </c>
      <c r="B583" s="4" t="str">
        <f>HYPERLINK("https://www.embase.com/search/results?subaction=viewrecord&amp;id=LNCT03794570&amp;from=export")</f>
        <v>https://www.embase.com/search/results?subaction=viewrecord&amp;id=LNCT03794570&amp;from=export</v>
      </c>
    </row>
    <row r="584" spans="1:2" x14ac:dyDescent="0.35">
      <c r="A584" s="1">
        <v>583</v>
      </c>
      <c r="B584" s="4" t="str">
        <f>HYPERLINK("https://www.embase.com/search/results?subaction=viewrecord&amp;id=LNCT04137250&amp;from=export")</f>
        <v>https://www.embase.com/search/results?subaction=viewrecord&amp;id=LNCT04137250&amp;from=export</v>
      </c>
    </row>
    <row r="585" spans="1:2" x14ac:dyDescent="0.35">
      <c r="A585" s="1">
        <v>584</v>
      </c>
      <c r="B585" s="4" t="str">
        <f>HYPERLINK("https://www.embase.com/search/results?subaction=viewrecord&amp;id=LNCT03073083&amp;from=export")</f>
        <v>https://www.embase.com/search/results?subaction=viewrecord&amp;id=LNCT03073083&amp;from=export</v>
      </c>
    </row>
    <row r="586" spans="1:2" x14ac:dyDescent="0.35">
      <c r="A586" s="1">
        <v>585</v>
      </c>
      <c r="B586" s="4" t="str">
        <f>HYPERLINK("https://www.embase.com/search/results?subaction=viewrecord&amp;id=LNCT03047187&amp;from=export")</f>
        <v>https://www.embase.com/search/results?subaction=viewrecord&amp;id=LNCT03047187&amp;from=export</v>
      </c>
    </row>
    <row r="587" spans="1:2" x14ac:dyDescent="0.35">
      <c r="A587" s="1">
        <v>586</v>
      </c>
      <c r="B587" s="4" t="str">
        <f>HYPERLINK("https://www.embase.com/search/results?subaction=viewrecord&amp;id=LNCT02939677&amp;from=export")</f>
        <v>https://www.embase.com/search/results?subaction=viewrecord&amp;id=LNCT02939677&amp;from=export</v>
      </c>
    </row>
    <row r="588" spans="1:2" x14ac:dyDescent="0.35">
      <c r="A588" s="1">
        <v>587</v>
      </c>
      <c r="B588" s="4" t="str">
        <f>HYPERLINK("https://www.embase.com/search/results?subaction=viewrecord&amp;id=LNCT02310854&amp;from=export")</f>
        <v>https://www.embase.com/search/results?subaction=viewrecord&amp;id=LNCT02310854&amp;from=export</v>
      </c>
    </row>
    <row r="589" spans="1:2" x14ac:dyDescent="0.35">
      <c r="A589" s="1">
        <v>588</v>
      </c>
      <c r="B589" s="4" t="str">
        <f>HYPERLINK("https://www.embase.com/search/results?subaction=viewrecord&amp;id=LNCT01170546&amp;from=export")</f>
        <v>https://www.embase.com/search/results?subaction=viewrecord&amp;id=LNCT01170546&amp;from=export</v>
      </c>
    </row>
    <row r="590" spans="1:2" x14ac:dyDescent="0.35">
      <c r="A590" s="1">
        <v>589</v>
      </c>
      <c r="B590" s="4" t="str">
        <f>HYPERLINK("https://www.embase.com/search/results?subaction=viewrecord&amp;id=LNCT00696319&amp;from=export")</f>
        <v>https://www.embase.com/search/results?subaction=viewrecord&amp;id=LNCT00696319&amp;from=export</v>
      </c>
    </row>
    <row r="591" spans="1:2" x14ac:dyDescent="0.35">
      <c r="A591" s="1">
        <v>590</v>
      </c>
      <c r="B591" s="4" t="str">
        <f>HYPERLINK("https://www.embase.com/search/results?subaction=viewrecord&amp;id=LNCT06769711&amp;from=export")</f>
        <v>https://www.embase.com/search/results?subaction=viewrecord&amp;id=LNCT06769711&amp;from=export</v>
      </c>
    </row>
    <row r="592" spans="1:2" x14ac:dyDescent="0.35">
      <c r="A592" s="1">
        <v>591</v>
      </c>
      <c r="B592" s="4" t="str">
        <f>HYPERLINK("https://www.embase.com/search/results?subaction=viewrecord&amp;id=LNCT05580133&amp;from=export")</f>
        <v>https://www.embase.com/search/results?subaction=viewrecord&amp;id=LNCT05580133&amp;from=export</v>
      </c>
    </row>
    <row r="593" spans="1:2" x14ac:dyDescent="0.35">
      <c r="A593" s="1">
        <v>592</v>
      </c>
      <c r="B593" s="4" t="str">
        <f>HYPERLINK("https://www.embase.com/search/results?subaction=viewrecord&amp;id=LNCT01634711&amp;from=export")</f>
        <v>https://www.embase.com/search/results?subaction=viewrecord&amp;id=LNCT01634711&amp;from=export</v>
      </c>
    </row>
    <row r="594" spans="1:2" x14ac:dyDescent="0.35">
      <c r="A594" s="1">
        <v>593</v>
      </c>
      <c r="B594" s="4" t="str">
        <f>HYPERLINK("https://www.embase.com/search/results?subaction=viewrecord&amp;id=LNCT00198042&amp;from=export")</f>
        <v>https://www.embase.com/search/results?subaction=viewrecord&amp;id=LNCT00198042&amp;from=export</v>
      </c>
    </row>
    <row r="595" spans="1:2" x14ac:dyDescent="0.35">
      <c r="A595" s="1">
        <v>594</v>
      </c>
      <c r="B595" s="4" t="str">
        <f>HYPERLINK("26039020")</f>
        <v>26039020</v>
      </c>
    </row>
    <row r="596" spans="1:2" x14ac:dyDescent="0.35">
      <c r="A596" s="1">
        <v>595</v>
      </c>
      <c r="B596" s="4" t="str">
        <f>HYPERLINK("12148189")</f>
        <v>12148189</v>
      </c>
    </row>
    <row r="597" spans="1:2" x14ac:dyDescent="0.35">
      <c r="A597" s="1">
        <v>596</v>
      </c>
      <c r="B597" s="4" t="str">
        <f>HYPERLINK("9533048")</f>
        <v>9533048</v>
      </c>
    </row>
    <row r="598" spans="1:2" x14ac:dyDescent="0.35">
      <c r="A598" s="1">
        <v>597</v>
      </c>
      <c r="B598" s="4" t="str">
        <f>HYPERLINK("9520889")</f>
        <v>9520889</v>
      </c>
    </row>
    <row r="599" spans="1:2" x14ac:dyDescent="0.35">
      <c r="A599" s="1">
        <v>598</v>
      </c>
      <c r="B599" s="4" t="str">
        <f>HYPERLINK("9377970")</f>
        <v>9377970</v>
      </c>
    </row>
    <row r="600" spans="1:2" x14ac:dyDescent="0.35">
      <c r="A600" s="1">
        <v>599</v>
      </c>
      <c r="B600" s="4" t="str">
        <f>HYPERLINK("8165955")</f>
        <v>8165955</v>
      </c>
    </row>
    <row r="601" spans="1:2" x14ac:dyDescent="0.35">
      <c r="A601" s="1">
        <v>600</v>
      </c>
      <c r="B601" s="4" t="str">
        <f>HYPERLINK("8403647")</f>
        <v>8403647</v>
      </c>
    </row>
    <row r="602" spans="1:2" x14ac:dyDescent="0.35">
      <c r="A602" s="1">
        <v>601</v>
      </c>
      <c r="B602" s="4" t="str">
        <f>HYPERLINK("2323135")</f>
        <v>2323135</v>
      </c>
    </row>
    <row r="603" spans="1:2" x14ac:dyDescent="0.35">
      <c r="A603" s="1">
        <v>602</v>
      </c>
      <c r="B603" s="4" t="str">
        <f>HYPERLINK("24755056")</f>
        <v>24755056</v>
      </c>
    </row>
    <row r="604" spans="1:2" x14ac:dyDescent="0.35">
      <c r="A604" s="1">
        <v>603</v>
      </c>
      <c r="B604" s="4" t="str">
        <f>HYPERLINK("22816221")</f>
        <v>22816221</v>
      </c>
    </row>
    <row r="605" spans="1:2" x14ac:dyDescent="0.35">
      <c r="A605" s="1">
        <v>604</v>
      </c>
      <c r="B605" s="4" t="str">
        <f>HYPERLINK("19323939")</f>
        <v>19323939</v>
      </c>
    </row>
    <row r="606" spans="1:2" x14ac:dyDescent="0.35">
      <c r="A606" s="1">
        <v>605</v>
      </c>
      <c r="B606" s="4" t="str">
        <f>HYPERLINK("18630561")</f>
        <v>18630561</v>
      </c>
    </row>
    <row r="607" spans="1:2" x14ac:dyDescent="0.35">
      <c r="A607" s="1">
        <v>606</v>
      </c>
      <c r="B607" s="4" t="str">
        <f>HYPERLINK("15174545")</f>
        <v>15174545</v>
      </c>
    </row>
    <row r="608" spans="1:2" x14ac:dyDescent="0.35">
      <c r="A608" s="1">
        <v>607</v>
      </c>
      <c r="B608" s="4" t="str">
        <f>HYPERLINK("11401167")</f>
        <v>11401167</v>
      </c>
    </row>
    <row r="609" spans="1:2" x14ac:dyDescent="0.35">
      <c r="A609" s="1">
        <v>608</v>
      </c>
      <c r="B609" s="4" t="str">
        <f>HYPERLINK("8666597")</f>
        <v>8666597</v>
      </c>
    </row>
    <row r="610" spans="1:2" x14ac:dyDescent="0.35">
      <c r="A610" s="1">
        <v>609</v>
      </c>
      <c r="B610" s="4" t="str">
        <f>HYPERLINK("8300688")</f>
        <v>8300688</v>
      </c>
    </row>
    <row r="611" spans="1:2" x14ac:dyDescent="0.35">
      <c r="A611" s="1">
        <v>610</v>
      </c>
      <c r="B611" s="4" t="str">
        <f>HYPERLINK("https://www.embase.com/search/results?subaction=viewrecord&amp;id=L33452408&amp;from=export")</f>
        <v>https://www.embase.com/search/results?subaction=viewrecord&amp;id=L33452408&amp;from=export</v>
      </c>
    </row>
    <row r="612" spans="1:2" x14ac:dyDescent="0.35">
      <c r="A612" s="1">
        <v>611</v>
      </c>
      <c r="B612" s="4" t="str">
        <f>HYPERLINK("https://www.embase.com/search/results?subaction=viewrecord&amp;id=L33458262&amp;from=export")</f>
        <v>https://www.embase.com/search/results?subaction=viewrecord&amp;id=L33458262&amp;from=export</v>
      </c>
    </row>
    <row r="613" spans="1:2" x14ac:dyDescent="0.35">
      <c r="A613" s="1">
        <v>612</v>
      </c>
      <c r="B613" s="4" t="str">
        <f>HYPERLINK("https://www.embase.com/search/results?subaction=viewrecord&amp;id=L128262800&amp;from=export")</f>
        <v>https://www.embase.com/search/results?subaction=viewrecord&amp;id=L128262800&amp;from=export</v>
      </c>
    </row>
    <row r="614" spans="1:2" x14ac:dyDescent="0.35">
      <c r="A614" s="1">
        <v>613</v>
      </c>
      <c r="B614" s="4" t="str">
        <f>HYPERLINK("https://www.embase.com/search/results?subaction=viewrecord&amp;id=L128212690&amp;from=export")</f>
        <v>https://www.embase.com/search/results?subaction=viewrecord&amp;id=L128212690&amp;from=export</v>
      </c>
    </row>
    <row r="615" spans="1:2" x14ac:dyDescent="0.35">
      <c r="A615" s="1">
        <v>614</v>
      </c>
      <c r="B615" s="4" t="str">
        <f>HYPERLINK("https://www.embase.com/search/results?subaction=viewrecord&amp;id=L127191273&amp;from=export")</f>
        <v>https://www.embase.com/search/results?subaction=viewrecord&amp;id=L127191273&amp;from=export</v>
      </c>
    </row>
    <row r="616" spans="1:2" x14ac:dyDescent="0.35">
      <c r="A616" s="1">
        <v>615</v>
      </c>
      <c r="B616" s="4" t="str">
        <f>HYPERLINK("https://www.embase.com/search/results?subaction=viewrecord&amp;id=L126274565&amp;from=export")</f>
        <v>https://www.embase.com/search/results?subaction=viewrecord&amp;id=L126274565&amp;from=export</v>
      </c>
    </row>
    <row r="617" spans="1:2" x14ac:dyDescent="0.35">
      <c r="A617" s="1">
        <v>616</v>
      </c>
      <c r="B617" s="4" t="str">
        <f>HYPERLINK("https://www.embase.com/search/results?subaction=viewrecord&amp;id=L25159707&amp;from=export")</f>
        <v>https://www.embase.com/search/results?subaction=viewrecord&amp;id=L25159707&amp;from=export</v>
      </c>
    </row>
    <row r="618" spans="1:2" x14ac:dyDescent="0.35">
      <c r="A618" s="1">
        <v>617</v>
      </c>
      <c r="B618" s="4" t="str">
        <f>HYPERLINK("https://www.embase.com/search/results?subaction=viewrecord&amp;id=L25093144&amp;from=export")</f>
        <v>https://www.embase.com/search/results?subaction=viewrecord&amp;id=L25093144&amp;from=export</v>
      </c>
    </row>
    <row r="619" spans="1:2" x14ac:dyDescent="0.35">
      <c r="A619" s="1">
        <v>618</v>
      </c>
      <c r="B619" s="4" t="str">
        <f>HYPERLINK("https://www.embase.com/search/results?subaction=viewrecord&amp;id=L24092602&amp;from=export")</f>
        <v>https://www.embase.com/search/results?subaction=viewrecord&amp;id=L24092602&amp;from=export</v>
      </c>
    </row>
    <row r="620" spans="1:2" x14ac:dyDescent="0.35">
      <c r="A620" s="1">
        <v>619</v>
      </c>
      <c r="B620" s="4" t="str">
        <f>HYPERLINK("https://www.embase.com/search/results?subaction=viewrecord&amp;id=L2023822448&amp;from=export")</f>
        <v>https://www.embase.com/search/results?subaction=viewrecord&amp;id=L2023822448&amp;from=export</v>
      </c>
    </row>
    <row r="621" spans="1:2" x14ac:dyDescent="0.35">
      <c r="A621" s="1">
        <v>620</v>
      </c>
      <c r="B621" s="4" t="str">
        <f>HYPERLINK("https://www.embase.com/search/results?subaction=viewrecord&amp;id=L2017379457&amp;from=export")</f>
        <v>https://www.embase.com/search/results?subaction=viewrecord&amp;id=L2017379457&amp;from=export</v>
      </c>
    </row>
    <row r="622" spans="1:2" x14ac:dyDescent="0.35">
      <c r="A622" s="1">
        <v>621</v>
      </c>
      <c r="B622" s="4" t="str">
        <f>HYPERLINK("https://www.embase.com/search/results?subaction=viewrecord&amp;id=L624866580&amp;from=export")</f>
        <v>https://www.embase.com/search/results?subaction=viewrecord&amp;id=L624866580&amp;from=export</v>
      </c>
    </row>
    <row r="623" spans="1:2" x14ac:dyDescent="0.35">
      <c r="A623" s="1">
        <v>622</v>
      </c>
      <c r="B623" s="4" t="str">
        <f>HYPERLINK("https://www.embase.com/search/results?subaction=viewrecord&amp;id=L563021961&amp;from=export")</f>
        <v>https://www.embase.com/search/results?subaction=viewrecord&amp;id=L563021961&amp;from=export</v>
      </c>
    </row>
    <row r="624" spans="1:2" x14ac:dyDescent="0.35">
      <c r="A624" s="1">
        <v>623</v>
      </c>
      <c r="B624" s="4" t="str">
        <f>HYPERLINK("https://www.embase.com/search/results?subaction=viewrecord&amp;id=L563069648&amp;from=export")</f>
        <v>https://www.embase.com/search/results?subaction=viewrecord&amp;id=L563069648&amp;from=export</v>
      </c>
    </row>
    <row r="625" spans="1:2" x14ac:dyDescent="0.35">
      <c r="A625" s="1">
        <v>624</v>
      </c>
      <c r="B625" s="4" t="str">
        <f>HYPERLINK("https://www.embase.com/search/results?subaction=viewrecord&amp;id=L366357224&amp;from=export")</f>
        <v>https://www.embase.com/search/results?subaction=viewrecord&amp;id=L366357224&amp;from=export</v>
      </c>
    </row>
    <row r="626" spans="1:2" x14ac:dyDescent="0.35">
      <c r="A626" s="1">
        <v>625</v>
      </c>
      <c r="B626" s="4" t="str">
        <f>HYPERLINK("https://www.embase.com/search/results?subaction=viewrecord&amp;id=L366005418&amp;from=export")</f>
        <v>https://www.embase.com/search/results?subaction=viewrecord&amp;id=L366005418&amp;from=export</v>
      </c>
    </row>
    <row r="627" spans="1:2" x14ac:dyDescent="0.35">
      <c r="A627" s="1">
        <v>626</v>
      </c>
      <c r="B627" s="4" t="str">
        <f>HYPERLINK("https://www.embase.com/search/results?subaction=viewrecord&amp;id=L365234555&amp;from=export")</f>
        <v>https://www.embase.com/search/results?subaction=viewrecord&amp;id=L365234555&amp;from=export</v>
      </c>
    </row>
    <row r="628" spans="1:2" x14ac:dyDescent="0.35">
      <c r="A628" s="1">
        <v>627</v>
      </c>
      <c r="B628" s="4" t="str">
        <f>HYPERLINK("https://www.embase.com/search/results?subaction=viewrecord&amp;id=L560020602&amp;from=export")</f>
        <v>https://www.embase.com/search/results?subaction=viewrecord&amp;id=L560020602&amp;from=export</v>
      </c>
    </row>
    <row r="629" spans="1:2" x14ac:dyDescent="0.35">
      <c r="A629" s="1">
        <v>628</v>
      </c>
      <c r="B629" s="4" t="str">
        <f>HYPERLINK("https://www.embase.com/search/results?subaction=viewrecord&amp;id=L560029995&amp;from=export")</f>
        <v>https://www.embase.com/search/results?subaction=viewrecord&amp;id=L560029995&amp;from=export</v>
      </c>
    </row>
    <row r="630" spans="1:2" x14ac:dyDescent="0.35">
      <c r="A630" s="1">
        <v>629</v>
      </c>
      <c r="B630" s="4" t="str">
        <f>HYPERLINK("https://www.embase.com/search/results?subaction=viewrecord&amp;id=L360300164&amp;from=export")</f>
        <v>https://www.embase.com/search/results?subaction=viewrecord&amp;id=L360300164&amp;from=export</v>
      </c>
    </row>
    <row r="631" spans="1:2" x14ac:dyDescent="0.35">
      <c r="A631" s="1">
        <v>630</v>
      </c>
      <c r="B631" s="4" t="str">
        <f>HYPERLINK("https://www.embase.com/search/results?subaction=viewrecord&amp;id=L358986090&amp;from=export")</f>
        <v>https://www.embase.com/search/results?subaction=viewrecord&amp;id=L358986090&amp;from=export</v>
      </c>
    </row>
    <row r="632" spans="1:2" x14ac:dyDescent="0.35">
      <c r="A632" s="1">
        <v>631</v>
      </c>
      <c r="B632" s="4" t="str">
        <f>HYPERLINK("https://www.embase.com/search/results?subaction=viewrecord&amp;id=L360248818&amp;from=export")</f>
        <v>https://www.embase.com/search/results?subaction=viewrecord&amp;id=L360248818&amp;from=export</v>
      </c>
    </row>
    <row r="633" spans="1:2" x14ac:dyDescent="0.35">
      <c r="A633" s="1">
        <v>632</v>
      </c>
      <c r="B633" s="4" t="str">
        <f>HYPERLINK("https://www.embase.com/search/results?subaction=viewrecord&amp;id=L39074351&amp;from=export")</f>
        <v>https://www.embase.com/search/results?subaction=viewrecord&amp;id=L39074351&amp;from=export</v>
      </c>
    </row>
    <row r="634" spans="1:2" x14ac:dyDescent="0.35">
      <c r="A634" s="1">
        <v>633</v>
      </c>
      <c r="B634" s="4" t="str">
        <f>HYPERLINK("https://www.embase.com/search/results?subaction=viewrecord&amp;id=L44249535&amp;from=export")</f>
        <v>https://www.embase.com/search/results?subaction=viewrecord&amp;id=L44249535&amp;from=export</v>
      </c>
    </row>
    <row r="635" spans="1:2" x14ac:dyDescent="0.35">
      <c r="A635" s="1">
        <v>634</v>
      </c>
      <c r="B635" s="4" t="str">
        <f>HYPERLINK("WOS:000237710900006")</f>
        <v>WOS:000237710900006</v>
      </c>
    </row>
    <row r="636" spans="1:2" x14ac:dyDescent="0.35">
      <c r="A636" s="1">
        <v>635</v>
      </c>
      <c r="B636" s="4" t="str">
        <f>HYPERLINK("WOS:000431090500003")</f>
        <v>WOS:000431090500003</v>
      </c>
    </row>
    <row r="637" spans="1:2" x14ac:dyDescent="0.35">
      <c r="A637" s="1">
        <v>636</v>
      </c>
      <c r="B637" s="4" t="str">
        <f>HYPERLINK("19374299")</f>
        <v>19374299</v>
      </c>
    </row>
    <row r="638" spans="1:2" x14ac:dyDescent="0.35">
      <c r="A638" s="1">
        <v>637</v>
      </c>
      <c r="B638" s="4" t="str">
        <f>HYPERLINK("15516013")</f>
        <v>15516013</v>
      </c>
    </row>
    <row r="639" spans="1:2" x14ac:dyDescent="0.35">
      <c r="A639" s="1">
        <v>638</v>
      </c>
      <c r="B639" s="4" t="str">
        <f>HYPERLINK("15466722")</f>
        <v>15466722</v>
      </c>
    </row>
    <row r="640" spans="1:2" x14ac:dyDescent="0.35">
      <c r="A640" s="1">
        <v>639</v>
      </c>
      <c r="B640" s="4" t="str">
        <f>HYPERLINK("13679741")</f>
        <v>13679741</v>
      </c>
    </row>
    <row r="641" spans="1:2" x14ac:dyDescent="0.35">
      <c r="A641" s="1">
        <v>640</v>
      </c>
      <c r="B641" s="4" t="str">
        <f>HYPERLINK("11973544")</f>
        <v>11973544</v>
      </c>
    </row>
    <row r="642" spans="1:2" x14ac:dyDescent="0.35">
      <c r="A642" s="1">
        <v>641</v>
      </c>
      <c r="B642" s="4" t="str">
        <f>HYPERLINK("11374431")</f>
        <v>11374431</v>
      </c>
    </row>
    <row r="643" spans="1:2" x14ac:dyDescent="0.35">
      <c r="A643" s="1">
        <v>642</v>
      </c>
      <c r="B643" s="4" t="str">
        <f>HYPERLINK("39855903")</f>
        <v>39855903</v>
      </c>
    </row>
    <row r="644" spans="1:2" x14ac:dyDescent="0.35">
      <c r="A644" s="1">
        <v>643</v>
      </c>
      <c r="B644" s="4" t="str">
        <f>HYPERLINK("37499157")</f>
        <v>37499157</v>
      </c>
    </row>
    <row r="645" spans="1:2" x14ac:dyDescent="0.35">
      <c r="A645" s="1">
        <v>644</v>
      </c>
      <c r="B645" s="4" t="str">
        <f>HYPERLINK("36055668")</f>
        <v>36055668</v>
      </c>
    </row>
    <row r="646" spans="1:2" x14ac:dyDescent="0.35">
      <c r="A646" s="1">
        <v>645</v>
      </c>
      <c r="B646" s="4" t="str">
        <f>HYPERLINK("28327683")</f>
        <v>28327683</v>
      </c>
    </row>
    <row r="647" spans="1:2" x14ac:dyDescent="0.35">
      <c r="A647" s="1">
        <v>646</v>
      </c>
      <c r="B647" s="4" t="str">
        <f>HYPERLINK("23145756")</f>
        <v>23145756</v>
      </c>
    </row>
    <row r="648" spans="1:2" x14ac:dyDescent="0.35">
      <c r="A648" s="1">
        <v>647</v>
      </c>
      <c r="B648" s="4" t="str">
        <f>HYPERLINK("19102185")</f>
        <v>19102185</v>
      </c>
    </row>
    <row r="649" spans="1:2" x14ac:dyDescent="0.35">
      <c r="A649" s="1">
        <v>648</v>
      </c>
      <c r="B649" s="4" t="str">
        <f>HYPERLINK("7899626")</f>
        <v>7899626</v>
      </c>
    </row>
    <row r="650" spans="1:2" x14ac:dyDescent="0.35">
      <c r="A650" s="1">
        <v>649</v>
      </c>
      <c r="B650" s="4" t="str">
        <f>HYPERLINK("26875887")</f>
        <v>26875887</v>
      </c>
    </row>
    <row r="651" spans="1:2" x14ac:dyDescent="0.35">
      <c r="A651" s="1">
        <v>650</v>
      </c>
      <c r="B651" s="4" t="str">
        <f>HYPERLINK("3896609")</f>
        <v>3896609</v>
      </c>
    </row>
    <row r="652" spans="1:2" x14ac:dyDescent="0.35">
      <c r="A652" s="1">
        <v>651</v>
      </c>
      <c r="B652" s="4" t="str">
        <f>HYPERLINK("27682300")</f>
        <v>27682300</v>
      </c>
    </row>
    <row r="653" spans="1:2" x14ac:dyDescent="0.35">
      <c r="A653" s="1">
        <v>652</v>
      </c>
      <c r="B653" s="4" t="str">
        <f>HYPERLINK("https://www.embase.com/search/results?subaction=viewrecord&amp;id=L2039490534&amp;from=export")</f>
        <v>https://www.embase.com/search/results?subaction=viewrecord&amp;id=L2039490534&amp;from=export</v>
      </c>
    </row>
    <row r="654" spans="1:2" x14ac:dyDescent="0.35">
      <c r="A654" s="1">
        <v>653</v>
      </c>
      <c r="B654" s="4" t="str">
        <f>HYPERLINK("https://www.embase.com/search/results?subaction=viewrecord&amp;id=L2008563345&amp;from=export")</f>
        <v>https://www.embase.com/search/results?subaction=viewrecord&amp;id=L2008563345&amp;from=export</v>
      </c>
    </row>
    <row r="655" spans="1:2" x14ac:dyDescent="0.35">
      <c r="A655" s="1">
        <v>654</v>
      </c>
      <c r="B655" s="4" t="str">
        <f>HYPERLINK("https://www.embase.com/search/results?subaction=viewrecord&amp;id=L373981905&amp;from=export")</f>
        <v>https://www.embase.com/search/results?subaction=viewrecord&amp;id=L373981905&amp;from=export</v>
      </c>
    </row>
    <row r="656" spans="1:2" x14ac:dyDescent="0.35">
      <c r="A656" s="1">
        <v>655</v>
      </c>
      <c r="B656" s="4" t="str">
        <f>HYPERLINK("https://www.embase.com/search/results?subaction=viewrecord&amp;id=L563069668&amp;from=export")</f>
        <v>https://www.embase.com/search/results?subaction=viewrecord&amp;id=L563069668&amp;from=export</v>
      </c>
    </row>
    <row r="657" spans="1:2" x14ac:dyDescent="0.35">
      <c r="A657" s="1">
        <v>656</v>
      </c>
      <c r="B657" s="4" t="str">
        <f>HYPERLINK("https://www.embase.com/search/results?subaction=viewrecord&amp;id=L560045113&amp;from=export")</f>
        <v>https://www.embase.com/search/results?subaction=viewrecord&amp;id=L560045113&amp;from=export</v>
      </c>
    </row>
    <row r="658" spans="1:2" x14ac:dyDescent="0.35">
      <c r="A658" s="1">
        <v>657</v>
      </c>
      <c r="B658" s="4" t="str">
        <f>HYPERLINK("https://www.embase.com/search/results?subaction=viewrecord&amp;id=L360300182&amp;from=export")</f>
        <v>https://www.embase.com/search/results?subaction=viewrecord&amp;id=L360300182&amp;from=export</v>
      </c>
    </row>
    <row r="659" spans="1:2" x14ac:dyDescent="0.35">
      <c r="A659" s="1">
        <v>658</v>
      </c>
      <c r="B659" s="4" t="str">
        <f>HYPERLINK("https://www.embase.com/search/results?subaction=viewrecord&amp;id=L358986098&amp;from=export")</f>
        <v>https://www.embase.com/search/results?subaction=viewrecord&amp;id=L358986098&amp;from=export</v>
      </c>
    </row>
    <row r="660" spans="1:2" x14ac:dyDescent="0.35">
      <c r="A660" s="1">
        <v>659</v>
      </c>
      <c r="B660" s="4" t="str">
        <f>HYPERLINK("https://www.embase.com/search/results?subaction=viewrecord&amp;id=L358986106&amp;from=export")</f>
        <v>https://www.embase.com/search/results?subaction=viewrecord&amp;id=L358986106&amp;from=export</v>
      </c>
    </row>
    <row r="661" spans="1:2" x14ac:dyDescent="0.35">
      <c r="A661" s="1">
        <v>660</v>
      </c>
      <c r="B661" s="4" t="str">
        <f>HYPERLINK("https://www.embase.com/search/results?subaction=viewrecord&amp;id=L35615671&amp;from=export")</f>
        <v>https://www.embase.com/search/results?subaction=viewrecord&amp;id=L35615671&amp;from=export</v>
      </c>
    </row>
    <row r="662" spans="1:2" x14ac:dyDescent="0.35">
      <c r="A662" s="1">
        <v>661</v>
      </c>
      <c r="B662" s="4" t="str">
        <f>HYPERLINK("https://www.embase.com/search/results?subaction=viewrecord&amp;id=L33540224&amp;from=export")</f>
        <v>https://www.embase.com/search/results?subaction=viewrecord&amp;id=L33540224&amp;from=export</v>
      </c>
    </row>
    <row r="663" spans="1:2" x14ac:dyDescent="0.35">
      <c r="A663" s="1">
        <v>662</v>
      </c>
      <c r="B663" s="4" t="str">
        <f>HYPERLINK("https://www.embase.com/search/results?subaction=viewrecord&amp;id=L129474280&amp;from=export")</f>
        <v>https://www.embase.com/search/results?subaction=viewrecord&amp;id=L129474280&amp;from=export</v>
      </c>
    </row>
    <row r="664" spans="1:2" x14ac:dyDescent="0.35">
      <c r="A664" s="1">
        <v>663</v>
      </c>
      <c r="B664" s="4" t="str">
        <f>HYPERLINK("https://www.embase.com/search/results?subaction=viewrecord&amp;id=L127257411&amp;from=export")</f>
        <v>https://www.embase.com/search/results?subaction=viewrecord&amp;id=L127257411&amp;from=export</v>
      </c>
    </row>
    <row r="665" spans="1:2" x14ac:dyDescent="0.35">
      <c r="A665" s="1">
        <v>664</v>
      </c>
      <c r="B665" s="4" t="str">
        <f>HYPERLINK("https://www.embase.com/search/results?subaction=viewrecord&amp;id=L2039492805&amp;from=export")</f>
        <v>https://www.embase.com/search/results?subaction=viewrecord&amp;id=L2039492805&amp;from=export</v>
      </c>
    </row>
    <row r="666" spans="1:2" x14ac:dyDescent="0.35">
      <c r="A666" s="1">
        <v>665</v>
      </c>
      <c r="B666" s="4" t="str">
        <f>HYPERLINK("https://www.embase.com/search/results?subaction=viewrecord&amp;id=L563021956&amp;from=export")</f>
        <v>https://www.embase.com/search/results?subaction=viewrecord&amp;id=L563021956&amp;from=export</v>
      </c>
    </row>
    <row r="667" spans="1:2" x14ac:dyDescent="0.35">
      <c r="A667" s="1">
        <v>666</v>
      </c>
      <c r="B667" s="4" t="str">
        <f>HYPERLINK("https://www.embase.com/search/results?subaction=viewrecord&amp;id=L33421621&amp;from=export")</f>
        <v>https://www.embase.com/search/results?subaction=viewrecord&amp;id=L33421621&amp;from=export</v>
      </c>
    </row>
    <row r="668" spans="1:2" x14ac:dyDescent="0.35">
      <c r="A668" s="1">
        <v>667</v>
      </c>
      <c r="B668" s="4" t="str">
        <f>HYPERLINK("WOS:000408643700110")</f>
        <v>WOS:000408643700110</v>
      </c>
    </row>
    <row r="669" spans="1:2" x14ac:dyDescent="0.35">
      <c r="B669" s="4" t="str">
        <f>HYPERLINK("")</f>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D22A2-3832-469A-BF47-CBEF6BAB5716}">
  <dimension ref="A1:E669"/>
  <sheetViews>
    <sheetView topLeftCell="A647" zoomScale="78" workbookViewId="0">
      <selection sqref="A1:E669"/>
    </sheetView>
  </sheetViews>
  <sheetFormatPr defaultRowHeight="14.5" x14ac:dyDescent="0.35"/>
  <cols>
    <col min="1" max="1" width="5.453125" style="1" bestFit="1" customWidth="1"/>
    <col min="2" max="2" width="40.54296875" style="4" customWidth="1"/>
    <col min="3" max="4" width="24.1796875" hidden="1" customWidth="1"/>
    <col min="5" max="5" width="21.1796875" style="1" bestFit="1" customWidth="1"/>
  </cols>
  <sheetData>
    <row r="1" spans="1:5" x14ac:dyDescent="0.35">
      <c r="A1" s="2" t="s">
        <v>0</v>
      </c>
      <c r="B1" s="3" t="s">
        <v>33</v>
      </c>
      <c r="C1" t="s">
        <v>0</v>
      </c>
      <c r="D1" t="s">
        <v>36</v>
      </c>
      <c r="E1" s="2" t="s">
        <v>1</v>
      </c>
    </row>
    <row r="2" spans="1:5" x14ac:dyDescent="0.35">
      <c r="A2" s="1">
        <v>0</v>
      </c>
      <c r="B2" s="4" t="str">
        <f>HYPERLINK("https://www.embase.com/search/results?subaction=viewrecord&amp;id=LNCT03433170&amp;from=export")</f>
        <v>https://www.embase.com/search/results?subaction=viewrecord&amp;id=LNCT03433170&amp;from=export</v>
      </c>
      <c r="C2" t="s">
        <v>1992</v>
      </c>
      <c r="D2" t="s">
        <v>1993</v>
      </c>
    </row>
    <row r="3" spans="1:5" x14ac:dyDescent="0.35">
      <c r="A3" s="1">
        <v>0</v>
      </c>
      <c r="B3" s="4" t="str">
        <f>HYPERLINK("https://doi.org/10.7860/JCDR/2023/64284.18350","Khatri (2023)")</f>
        <v>Khatri (2023)</v>
      </c>
      <c r="C3" t="s">
        <v>2944</v>
      </c>
      <c r="D3" t="s">
        <v>2945</v>
      </c>
      <c r="E3" s="1" t="s">
        <v>4</v>
      </c>
    </row>
    <row r="4" spans="1:5" x14ac:dyDescent="0.35">
      <c r="A4" s="1">
        <v>1</v>
      </c>
      <c r="B4" s="4" t="str">
        <f>HYPERLINK("https://www.embase.com/search/results?subaction=viewrecord&amp;id=LNCT03441295&amp;from=export")</f>
        <v>https://www.embase.com/search/results?subaction=viewrecord&amp;id=LNCT03441295&amp;from=export</v>
      </c>
      <c r="C4" t="s">
        <v>1999</v>
      </c>
      <c r="D4" t="s">
        <v>2000</v>
      </c>
    </row>
    <row r="5" spans="1:5" x14ac:dyDescent="0.35">
      <c r="A5" s="1">
        <v>2</v>
      </c>
      <c r="B5" s="4" t="str">
        <f>HYPERLINK("https://doi.org/10.1016/j.knee.2008.02.003","Capuano (2008)")</f>
        <v>Capuano (2008)</v>
      </c>
      <c r="C5" t="s">
        <v>724</v>
      </c>
      <c r="D5" t="s">
        <v>725</v>
      </c>
      <c r="E5" s="1" t="s">
        <v>4</v>
      </c>
    </row>
    <row r="6" spans="1:5" x14ac:dyDescent="0.35">
      <c r="A6" s="1">
        <v>2</v>
      </c>
      <c r="B6" s="4" t="str">
        <f>HYPERLINK("https://doi.org/10.1056/NEJMoa0907797","Frobell (2010)")</f>
        <v>Frobell (2010)</v>
      </c>
      <c r="C6" t="s">
        <v>1163</v>
      </c>
      <c r="D6" t="s">
        <v>1164</v>
      </c>
      <c r="E6" s="1" t="s">
        <v>4</v>
      </c>
    </row>
    <row r="7" spans="1:5" x14ac:dyDescent="0.35">
      <c r="A7" s="1">
        <v>2</v>
      </c>
      <c r="B7" s="4" t="str">
        <f>HYPERLINK("https://www.embase.com/search/results?subaction=viewrecord&amp;id=LNCT03462823&amp;from=export")</f>
        <v>https://www.embase.com/search/results?subaction=viewrecord&amp;id=LNCT03462823&amp;from=export</v>
      </c>
      <c r="C7" t="s">
        <v>2006</v>
      </c>
      <c r="D7" t="s">
        <v>2007</v>
      </c>
    </row>
    <row r="8" spans="1:5" x14ac:dyDescent="0.35">
      <c r="A8" s="1">
        <v>3</v>
      </c>
      <c r="B8" s="4" t="str">
        <f>HYPERLINK("https://doi.org/10.1016/j.arthro.2004.10.016","Gobbi (2005)")</f>
        <v>Gobbi (2005)</v>
      </c>
      <c r="C8" t="s">
        <v>1306</v>
      </c>
      <c r="D8" t="s">
        <v>1307</v>
      </c>
      <c r="E8" s="1" t="s">
        <v>4</v>
      </c>
    </row>
    <row r="9" spans="1:5" x14ac:dyDescent="0.35">
      <c r="A9" s="1">
        <v>3</v>
      </c>
      <c r="B9" s="4" t="str">
        <f>HYPERLINK("https://www.embase.com/search/results?subaction=viewrecord&amp;id=LNCT03510845&amp;from=export")</f>
        <v>https://www.embase.com/search/results?subaction=viewrecord&amp;id=LNCT03510845&amp;from=export</v>
      </c>
      <c r="C9" t="s">
        <v>2013</v>
      </c>
      <c r="D9" t="s">
        <v>2014</v>
      </c>
    </row>
    <row r="10" spans="1:5" x14ac:dyDescent="0.35">
      <c r="A10" s="1">
        <v>3</v>
      </c>
      <c r="B10" s="4" t="str">
        <f>HYPERLINK("https://doi.org/10.1016/j.lanepe.2025.101561","Sonnery-Cottet (2026)")</f>
        <v>Sonnery-Cottet (2026)</v>
      </c>
      <c r="C10" t="s">
        <v>3657</v>
      </c>
      <c r="D10" t="s">
        <v>3658</v>
      </c>
      <c r="E10" s="1" t="s">
        <v>4</v>
      </c>
    </row>
    <row r="11" spans="1:5" x14ac:dyDescent="0.35">
      <c r="A11" s="1">
        <v>4</v>
      </c>
      <c r="B11" s="4" t="str">
        <f>HYPERLINK("https://doi.org/10.1177/0363546512464200","Fleming (2013)")</f>
        <v>Fleming (2013)</v>
      </c>
      <c r="C11" t="s">
        <v>1139</v>
      </c>
      <c r="D11" t="s">
        <v>1140</v>
      </c>
      <c r="E11" s="1" t="s">
        <v>4</v>
      </c>
    </row>
    <row r="12" spans="1:5" x14ac:dyDescent="0.35">
      <c r="A12" s="1">
        <v>4</v>
      </c>
      <c r="B12" s="4" t="str">
        <f>HYPERLINK("https://doi.org/10.1177/23259671221144983","Sonnier (2023)")</f>
        <v>Sonnier (2023)</v>
      </c>
      <c r="C12" t="s">
        <v>3487</v>
      </c>
      <c r="D12" t="s">
        <v>3488</v>
      </c>
      <c r="E12" s="1" t="s">
        <v>7</v>
      </c>
    </row>
    <row r="13" spans="1:5" x14ac:dyDescent="0.35">
      <c r="A13" s="1">
        <v>4</v>
      </c>
      <c r="B13" s="4" t="str">
        <f>HYPERLINK("WOS:000408643700110")</f>
        <v>WOS:000408643700110</v>
      </c>
      <c r="C13" t="s">
        <v>3958</v>
      </c>
      <c r="D13" t="s">
        <v>3959</v>
      </c>
    </row>
    <row r="14" spans="1:5" x14ac:dyDescent="0.35">
      <c r="A14" s="1">
        <v>5</v>
      </c>
      <c r="B14" s="4" t="str">
        <f>HYPERLINK("https://www.embase.com/search/results?subaction=viewrecord&amp;id=LNCT03580018&amp;from=export")</f>
        <v>https://www.embase.com/search/results?subaction=viewrecord&amp;id=LNCT03580018&amp;from=export</v>
      </c>
      <c r="C14" t="s">
        <v>2021</v>
      </c>
      <c r="D14" t="s">
        <v>2022</v>
      </c>
    </row>
    <row r="15" spans="1:5" x14ac:dyDescent="0.35">
      <c r="A15" s="1">
        <v>5</v>
      </c>
      <c r="B15" s="4" t="str">
        <f>HYPERLINK("https://doi.org/10.1002/jeo2.70399","Martinez-Cano (2025)")</f>
        <v>Martinez-Cano (2025)</v>
      </c>
      <c r="C15" t="s">
        <v>3403</v>
      </c>
      <c r="D15" t="s">
        <v>3404</v>
      </c>
      <c r="E15" s="1" t="s">
        <v>4</v>
      </c>
    </row>
    <row r="16" spans="1:5" x14ac:dyDescent="0.35">
      <c r="A16" s="1">
        <v>6</v>
      </c>
      <c r="B16" s="4" t="str">
        <f>HYPERLINK("https://doi.org/10.1302/0301-620X.89B9.19339","Gohil (2007)")</f>
        <v>Gohil (2007)</v>
      </c>
      <c r="C16" t="s">
        <v>1327</v>
      </c>
      <c r="D16" t="s">
        <v>1328</v>
      </c>
      <c r="E16" s="1" t="s">
        <v>4</v>
      </c>
    </row>
    <row r="17" spans="1:5" x14ac:dyDescent="0.35">
      <c r="A17" s="1">
        <v>6</v>
      </c>
      <c r="B17" s="4" t="str">
        <f>HYPERLINK("https://www.embase.com/search/results?subaction=viewrecord&amp;id=LNCT03700996&amp;from=export")</f>
        <v>https://www.embase.com/search/results?subaction=viewrecord&amp;id=LNCT03700996&amp;from=export</v>
      </c>
      <c r="C17" t="s">
        <v>2028</v>
      </c>
      <c r="D17" t="s">
        <v>2029</v>
      </c>
    </row>
    <row r="18" spans="1:5" x14ac:dyDescent="0.35">
      <c r="A18" s="1">
        <v>7</v>
      </c>
      <c r="B18" s="4" t="str">
        <f>HYPERLINK("https://www.embase.com/search/results?subaction=viewrecord&amp;id=LNCT03740022&amp;from=export")</f>
        <v>https://www.embase.com/search/results?subaction=viewrecord&amp;id=LNCT03740022&amp;from=export</v>
      </c>
      <c r="C18" t="s">
        <v>2035</v>
      </c>
      <c r="D18" t="s">
        <v>2036</v>
      </c>
    </row>
    <row r="19" spans="1:5" x14ac:dyDescent="0.35">
      <c r="A19" s="1">
        <v>7</v>
      </c>
      <c r="B19" s="4" t="str">
        <f>HYPERLINK("https://doi.org/10.1002/ksa.12710","LaPrade (2025)")</f>
        <v>LaPrade (2025)</v>
      </c>
      <c r="C19" t="s">
        <v>3103</v>
      </c>
      <c r="D19" t="s">
        <v>3104</v>
      </c>
      <c r="E19" s="1" t="s">
        <v>7</v>
      </c>
    </row>
    <row r="20" spans="1:5" x14ac:dyDescent="0.35">
      <c r="A20" s="1">
        <v>7</v>
      </c>
      <c r="B20" s="4" t="str">
        <f>HYPERLINK("https://doi.org/10.1177/2325967120918490","Sonnery-Cottet (2020)")</f>
        <v>Sonnery-Cottet (2020)</v>
      </c>
      <c r="C20" t="s">
        <v>3431</v>
      </c>
      <c r="D20" t="s">
        <v>3432</v>
      </c>
      <c r="E20" s="1" t="s">
        <v>15</v>
      </c>
    </row>
    <row r="21" spans="1:5" x14ac:dyDescent="0.35">
      <c r="A21" s="1">
        <v>8</v>
      </c>
      <c r="B21" s="4" t="str">
        <f>HYPERLINK("https://doi.org/10.1177/0363546515620583","Chmielewski (2016)")</f>
        <v>Chmielewski (2016)</v>
      </c>
      <c r="C21" t="s">
        <v>819</v>
      </c>
      <c r="D21" t="s">
        <v>820</v>
      </c>
      <c r="E21" s="1" t="s">
        <v>7</v>
      </c>
    </row>
    <row r="22" spans="1:5" x14ac:dyDescent="0.35">
      <c r="A22" s="1">
        <v>8</v>
      </c>
      <c r="B22" s="4" t="str">
        <f>HYPERLINK("https://www.embase.com/search/results?subaction=viewrecord&amp;id=LNCT03794570&amp;from=export")</f>
        <v>https://www.embase.com/search/results?subaction=viewrecord&amp;id=LNCT03794570&amp;from=export</v>
      </c>
      <c r="C22" t="s">
        <v>2043</v>
      </c>
      <c r="D22" t="s">
        <v>2044</v>
      </c>
    </row>
    <row r="23" spans="1:5" x14ac:dyDescent="0.35">
      <c r="A23" s="1">
        <v>9</v>
      </c>
      <c r="B23" s="4" t="str">
        <f>HYPERLINK("https://doi.org/10.1186/s40634-023-00601-3","Runer (2023)")</f>
        <v>Runer (2023)</v>
      </c>
      <c r="C23" t="s">
        <v>3673</v>
      </c>
      <c r="D23" t="s">
        <v>3674</v>
      </c>
      <c r="E23" s="1" t="s">
        <v>4</v>
      </c>
    </row>
    <row r="24" spans="1:5" x14ac:dyDescent="0.35">
      <c r="A24" s="1">
        <v>10</v>
      </c>
      <c r="B24" s="4" t="str">
        <f>HYPERLINK("11374431")</f>
        <v>11374431</v>
      </c>
      <c r="C24" t="s">
        <v>44</v>
      </c>
      <c r="D24" t="s">
        <v>45</v>
      </c>
    </row>
    <row r="25" spans="1:5" x14ac:dyDescent="0.35">
      <c r="A25" s="1">
        <v>10</v>
      </c>
      <c r="B25" s="4" t="str">
        <f>HYPERLINK("https://www.embase.com/search/results?subaction=viewrecord&amp;id=LNCT03896464&amp;from=export")</f>
        <v>https://www.embase.com/search/results?subaction=viewrecord&amp;id=LNCT03896464&amp;from=export</v>
      </c>
      <c r="C25" t="s">
        <v>2050</v>
      </c>
      <c r="D25" t="s">
        <v>2051</v>
      </c>
    </row>
    <row r="26" spans="1:5" x14ac:dyDescent="0.35">
      <c r="A26" s="1">
        <v>10</v>
      </c>
      <c r="B26" s="4" t="str">
        <f>HYPERLINK("https://doi.org/10.1016/j.knee.2009.07.002","Mayr (2010)")</f>
        <v>Mayr (2010)</v>
      </c>
      <c r="C26" t="s">
        <v>3415</v>
      </c>
      <c r="D26" t="s">
        <v>3416</v>
      </c>
      <c r="E26" s="1" t="s">
        <v>7</v>
      </c>
    </row>
    <row r="27" spans="1:5" x14ac:dyDescent="0.35">
      <c r="A27" s="1">
        <v>11</v>
      </c>
      <c r="B27" s="4" t="str">
        <f>HYPERLINK("11401167")</f>
        <v>11401167</v>
      </c>
      <c r="C27" t="s">
        <v>52</v>
      </c>
      <c r="D27" t="s">
        <v>53</v>
      </c>
    </row>
    <row r="28" spans="1:5" x14ac:dyDescent="0.35">
      <c r="A28" s="1">
        <v>12</v>
      </c>
      <c r="B28" s="4" t="str">
        <f>HYPERLINK("https://www.embase.com/search/results?subaction=viewrecord&amp;id=LNCT03896464&amp;from=export")</f>
        <v>https://www.embase.com/search/results?subaction=viewrecord&amp;id=LNCT03896464&amp;from=export</v>
      </c>
      <c r="C28" t="s">
        <v>2056</v>
      </c>
      <c r="D28" t="s">
        <v>2057</v>
      </c>
    </row>
    <row r="29" spans="1:5" s="6" customFormat="1" x14ac:dyDescent="0.35">
      <c r="A29" s="8">
        <v>12</v>
      </c>
      <c r="B29" s="7" t="str">
        <f>HYPERLINK("https://doi.org/10.7507/1002-1892.202402054","Yu (2024)")</f>
        <v>Yu (2024)</v>
      </c>
      <c r="C29" t="s">
        <v>4023</v>
      </c>
      <c r="D29" t="s">
        <v>4024</v>
      </c>
      <c r="E29" s="8" t="s">
        <v>7</v>
      </c>
    </row>
    <row r="30" spans="1:5" x14ac:dyDescent="0.35">
      <c r="A30" s="1">
        <v>13</v>
      </c>
      <c r="B30" s="4" t="str">
        <f>HYPERLINK("https://www.embase.com/search/results?subaction=viewrecord&amp;id=LNCT04123834&amp;from=export")</f>
        <v>https://www.embase.com/search/results?subaction=viewrecord&amp;id=LNCT04123834&amp;from=export</v>
      </c>
      <c r="C30" t="s">
        <v>2064</v>
      </c>
      <c r="D30" t="s">
        <v>2065</v>
      </c>
    </row>
    <row r="31" spans="1:5" x14ac:dyDescent="0.35">
      <c r="A31" s="1">
        <v>14</v>
      </c>
      <c r="B31" s="4" t="str">
        <f>HYPERLINK("https://doi.org/10.1177/23259671211028168","Guglielmetti (2021)")</f>
        <v>Guglielmetti (2021)</v>
      </c>
      <c r="C31" t="s">
        <v>1368</v>
      </c>
      <c r="D31" t="s">
        <v>1369</v>
      </c>
      <c r="E31" s="1" t="s">
        <v>4</v>
      </c>
    </row>
    <row r="32" spans="1:5" x14ac:dyDescent="0.35">
      <c r="A32" s="1">
        <v>14</v>
      </c>
      <c r="B32" s="4" t="str">
        <f>HYPERLINK("https://www.embase.com/search/results?subaction=viewrecord&amp;id=LNCT04123834&amp;from=export")</f>
        <v>https://www.embase.com/search/results?subaction=viewrecord&amp;id=LNCT04123834&amp;from=export</v>
      </c>
      <c r="C32" t="s">
        <v>2071</v>
      </c>
      <c r="D32" t="s">
        <v>2072</v>
      </c>
    </row>
    <row r="33" spans="1:5" x14ac:dyDescent="0.35">
      <c r="A33" s="1">
        <v>15</v>
      </c>
      <c r="B33" s="4" t="str">
        <f>HYPERLINK("https://www.embase.com/search/results?subaction=viewrecord&amp;id=LNCT04129827&amp;from=export")</f>
        <v>https://www.embase.com/search/results?subaction=viewrecord&amp;id=LNCT04129827&amp;from=export</v>
      </c>
      <c r="C33" t="s">
        <v>2079</v>
      </c>
      <c r="D33" t="s">
        <v>2080</v>
      </c>
    </row>
    <row r="34" spans="1:5" x14ac:dyDescent="0.35">
      <c r="A34" s="1">
        <v>147</v>
      </c>
      <c r="B34" s="4" t="str">
        <f>HYPERLINK("https://doi.org/10.1302/0301-620x.86b4.14856","Adachi (2004)")</f>
        <v>Adachi (2004)</v>
      </c>
      <c r="C34" t="s">
        <v>275</v>
      </c>
      <c r="D34" t="s">
        <v>276</v>
      </c>
      <c r="E34" s="1" t="s">
        <v>4</v>
      </c>
    </row>
    <row r="35" spans="1:5" x14ac:dyDescent="0.35">
      <c r="A35" s="1">
        <v>16</v>
      </c>
      <c r="B35" s="4" t="str">
        <f>HYPERLINK("https://www.embase.com/search/results?subaction=viewrecord&amp;id=LNCT04137250&amp;from=export")</f>
        <v>https://www.embase.com/search/results?subaction=viewrecord&amp;id=LNCT04137250&amp;from=export</v>
      </c>
      <c r="C35" t="s">
        <v>2086</v>
      </c>
      <c r="D35" t="s">
        <v>2087</v>
      </c>
    </row>
    <row r="36" spans="1:5" x14ac:dyDescent="0.35">
      <c r="A36" s="1">
        <v>149</v>
      </c>
      <c r="B36" s="4" t="str">
        <f>HYPERLINK("https://doi.org/10.1177/0363546509347096","Aglietti (2010)")</f>
        <v>Aglietti (2010)</v>
      </c>
      <c r="C36" t="s">
        <v>288</v>
      </c>
      <c r="D36" t="s">
        <v>289</v>
      </c>
      <c r="E36" s="1" t="s">
        <v>4</v>
      </c>
    </row>
    <row r="37" spans="1:5" x14ac:dyDescent="0.35">
      <c r="A37" s="1">
        <v>152</v>
      </c>
      <c r="B37" s="4" t="str">
        <f>HYPERLINK("https://doi.org/10.1007/s00167-009-0846-5","Ahldén (2009)")</f>
        <v>Ahldén (2009)</v>
      </c>
      <c r="C37" t="s">
        <v>296</v>
      </c>
      <c r="D37" t="s">
        <v>297</v>
      </c>
      <c r="E37" s="1" t="s">
        <v>4</v>
      </c>
    </row>
    <row r="38" spans="1:5" x14ac:dyDescent="0.35">
      <c r="A38" s="1">
        <v>153</v>
      </c>
      <c r="B38" s="4" t="str">
        <f>HYPERLINK("https://doi.org/10.1177/0363546513497926","Ahldén (2013)")</f>
        <v>Ahldén (2013)</v>
      </c>
      <c r="C38" t="s">
        <v>303</v>
      </c>
      <c r="D38" t="s">
        <v>304</v>
      </c>
      <c r="E38" s="1" t="s">
        <v>4</v>
      </c>
    </row>
    <row r="39" spans="1:5" x14ac:dyDescent="0.35">
      <c r="A39" s="1">
        <v>154</v>
      </c>
      <c r="B39" s="4" t="str">
        <f>HYPERLINK("https://doi.org/10.1177/03635465010290031501","Ahmad (2001)")</f>
        <v>Ahmad (2001)</v>
      </c>
      <c r="C39" t="s">
        <v>310</v>
      </c>
      <c r="D39" t="s">
        <v>311</v>
      </c>
      <c r="E39" s="1" t="s">
        <v>7</v>
      </c>
    </row>
    <row r="40" spans="1:5" x14ac:dyDescent="0.35">
      <c r="A40" s="1">
        <v>11</v>
      </c>
      <c r="B40" s="4" t="str">
        <f>HYPERLINK("https://doi.org/10.1177/0363546516638387","Akelman (2016)")</f>
        <v>Akelman (2016)</v>
      </c>
      <c r="C40" t="s">
        <v>317</v>
      </c>
      <c r="D40" t="s">
        <v>318</v>
      </c>
      <c r="E40" s="1" t="s">
        <v>4</v>
      </c>
    </row>
    <row r="41" spans="1:5" x14ac:dyDescent="0.35">
      <c r="A41" s="1">
        <v>23</v>
      </c>
      <c r="B41" s="4" t="str">
        <f>HYPERLINK("https://doi.org/10.1007/s00264-010-1000-1","Alentorn-Geli (2010)")</f>
        <v>Alentorn-Geli (2010)</v>
      </c>
      <c r="C41" t="s">
        <v>325</v>
      </c>
      <c r="D41" t="s">
        <v>326</v>
      </c>
      <c r="E41" s="1" t="s">
        <v>4</v>
      </c>
    </row>
    <row r="42" spans="1:5" x14ac:dyDescent="0.35">
      <c r="A42" s="1">
        <v>26</v>
      </c>
      <c r="B42" s="4" t="str">
        <f>HYPERLINK("https://doi.org/10.1177/2309499019867580","Alentorn-Geli (2019)")</f>
        <v>Alentorn-Geli (2019)</v>
      </c>
      <c r="C42" t="s">
        <v>332</v>
      </c>
      <c r="D42" t="s">
        <v>333</v>
      </c>
      <c r="E42" s="1" t="s">
        <v>7</v>
      </c>
    </row>
    <row r="43" spans="1:5" x14ac:dyDescent="0.35">
      <c r="A43" s="1">
        <v>28</v>
      </c>
      <c r="B43" s="4" t="str">
        <f>HYPERLINK("https://doi.org/10.1007/s002640050141","al-Zarahini (1997)")</f>
        <v>al-Zarahini (1997)</v>
      </c>
      <c r="C43" t="s">
        <v>339</v>
      </c>
      <c r="D43" t="s">
        <v>340</v>
      </c>
      <c r="E43" s="1" t="s">
        <v>7</v>
      </c>
    </row>
    <row r="44" spans="1:5" x14ac:dyDescent="0.35">
      <c r="A44" s="1">
        <v>17</v>
      </c>
      <c r="B44" s="4" t="str">
        <f>HYPERLINK("https://doi.org/10.1016/j.jcot.2018.04.018","Gupta (2019)")</f>
        <v>Gupta (2019)</v>
      </c>
      <c r="C44" t="s">
        <v>1389</v>
      </c>
      <c r="D44" t="s">
        <v>1390</v>
      </c>
      <c r="E44" s="1" t="s">
        <v>4</v>
      </c>
    </row>
    <row r="45" spans="1:5" x14ac:dyDescent="0.35">
      <c r="A45" s="1">
        <v>33</v>
      </c>
      <c r="B45" s="4" t="str">
        <f>HYPERLINK("https://doi.org/10.1177/036354659402200509","Anderson (1994)")</f>
        <v>Anderson (1994)</v>
      </c>
      <c r="C45" t="s">
        <v>355</v>
      </c>
      <c r="D45" t="s">
        <v>356</v>
      </c>
      <c r="E45" s="1" t="s">
        <v>15</v>
      </c>
    </row>
    <row r="46" spans="1:5" x14ac:dyDescent="0.35">
      <c r="A46" s="1">
        <v>34</v>
      </c>
      <c r="B46" s="4" t="str">
        <f>HYPERLINK("https://doi.org/10.1177/03635465010290030201","Anderson (2001)")</f>
        <v>Anderson (2001)</v>
      </c>
      <c r="C46" t="s">
        <v>363</v>
      </c>
      <c r="D46" t="s">
        <v>364</v>
      </c>
      <c r="E46" s="1" t="s">
        <v>4</v>
      </c>
    </row>
    <row r="47" spans="1:5" x14ac:dyDescent="0.35">
      <c r="A47" s="1">
        <v>17</v>
      </c>
      <c r="B47" s="4" t="str">
        <f>HYPERLINK("https://doi.org/10.1177/2325967114S00274","Kaya (2014)")</f>
        <v>Kaya (2014)</v>
      </c>
      <c r="C47" t="s">
        <v>2901</v>
      </c>
      <c r="D47" t="s">
        <v>2902</v>
      </c>
      <c r="E47" s="1" t="s">
        <v>4</v>
      </c>
    </row>
    <row r="48" spans="1:5" x14ac:dyDescent="0.35">
      <c r="A48" s="1">
        <v>56</v>
      </c>
      <c r="B48" s="4" t="str">
        <f>HYPERLINK("https://doi.org/10.1177/0363546515588926","Arama (2015)")</f>
        <v>Arama (2015)</v>
      </c>
      <c r="C48" t="s">
        <v>376</v>
      </c>
      <c r="D48" t="s">
        <v>377</v>
      </c>
      <c r="E48" s="1" t="s">
        <v>7</v>
      </c>
    </row>
    <row r="49" spans="1:5" x14ac:dyDescent="0.35">
      <c r="A49" s="1">
        <v>17</v>
      </c>
      <c r="B49" s="4" t="str">
        <f>HYPERLINK("https://doi.org/10.4103/jrms.JRMS_939_16","Sadeghpour (2017)")</f>
        <v>Sadeghpour (2017)</v>
      </c>
      <c r="C49" t="s">
        <v>3515</v>
      </c>
      <c r="D49" t="s">
        <v>3516</v>
      </c>
      <c r="E49" s="1" t="s">
        <v>4</v>
      </c>
    </row>
    <row r="50" spans="1:5" x14ac:dyDescent="0.35">
      <c r="A50" s="1">
        <v>17</v>
      </c>
      <c r="B50" s="4" t="str">
        <f>HYPERLINK("WOS:000431090500003")</f>
        <v>WOS:000431090500003</v>
      </c>
      <c r="C50" t="s">
        <v>3965</v>
      </c>
      <c r="D50" t="s">
        <v>3966</v>
      </c>
    </row>
    <row r="51" spans="1:5" x14ac:dyDescent="0.35">
      <c r="A51" s="1">
        <v>18</v>
      </c>
      <c r="B51" s="4" t="str">
        <f>HYPERLINK("https://www.embase.com/search/results?subaction=viewrecord&amp;id=LNCT04137250&amp;from=export")</f>
        <v>https://www.embase.com/search/results?subaction=viewrecord&amp;id=LNCT04137250&amp;from=export</v>
      </c>
      <c r="C51" t="s">
        <v>2093</v>
      </c>
      <c r="D51" t="s">
        <v>2094</v>
      </c>
    </row>
    <row r="52" spans="1:5" x14ac:dyDescent="0.35">
      <c r="A52" s="1">
        <v>18</v>
      </c>
      <c r="B52" s="4" t="str">
        <f>HYPERLINK("https://doi.org/10.1177/23259671241271729","Lim (2024)")</f>
        <v>Lim (2024)</v>
      </c>
      <c r="C52" t="s">
        <v>3235</v>
      </c>
      <c r="D52" t="s">
        <v>3236</v>
      </c>
      <c r="E52" s="1" t="s">
        <v>4</v>
      </c>
    </row>
    <row r="53" spans="1:5" x14ac:dyDescent="0.35">
      <c r="A53" s="1">
        <v>113</v>
      </c>
      <c r="B53" s="4" t="str">
        <f>HYPERLINK("https://doi.org/10.1007/s00402-016-2497-6","Ateschrang (2016)")</f>
        <v>Ateschrang (2016)</v>
      </c>
      <c r="C53" t="s">
        <v>413</v>
      </c>
      <c r="D53" t="s">
        <v>414</v>
      </c>
      <c r="E53" s="1" t="s">
        <v>7</v>
      </c>
    </row>
    <row r="54" spans="1:5" x14ac:dyDescent="0.35">
      <c r="A54" s="1">
        <v>114</v>
      </c>
      <c r="B54" s="4" t="str">
        <f>HYPERLINK("https://doi.org/10.1177/03635465010290060901","Aune (2001)")</f>
        <v>Aune (2001)</v>
      </c>
      <c r="C54" t="s">
        <v>418</v>
      </c>
      <c r="D54" t="s">
        <v>419</v>
      </c>
      <c r="E54" s="1" t="s">
        <v>4</v>
      </c>
    </row>
    <row r="55" spans="1:5" x14ac:dyDescent="0.35">
      <c r="A55" s="1">
        <v>116</v>
      </c>
      <c r="B55" s="4" t="str">
        <f>HYPERLINK("https://doi.org/10.1136/bmjopen-2021-057465","Bade (2022)")</f>
        <v>Bade (2022)</v>
      </c>
      <c r="C55" t="s">
        <v>425</v>
      </c>
      <c r="D55" t="s">
        <v>426</v>
      </c>
      <c r="E55" s="1" t="s">
        <v>4</v>
      </c>
    </row>
    <row r="56" spans="1:5" x14ac:dyDescent="0.35">
      <c r="A56" s="1">
        <v>123</v>
      </c>
      <c r="B56" s="4" t="str">
        <f>HYPERLINK("https://doi.org/10.1016/j.arthro.2018.10.149","Bailey (2019)")</f>
        <v>Bailey (2019)</v>
      </c>
      <c r="C56" t="s">
        <v>433</v>
      </c>
      <c r="D56" t="s">
        <v>434</v>
      </c>
      <c r="E56" s="1" t="s">
        <v>4</v>
      </c>
    </row>
    <row r="57" spans="1:5" x14ac:dyDescent="0.35">
      <c r="A57" s="1">
        <v>19</v>
      </c>
      <c r="B57" s="4" t="str">
        <f>HYPERLINK("https://www.embase.com/search/results?subaction=viewrecord&amp;id=LNCT04295148&amp;from=export")</f>
        <v>https://www.embase.com/search/results?subaction=viewrecord&amp;id=LNCT04295148&amp;from=export</v>
      </c>
      <c r="C57" t="s">
        <v>2100</v>
      </c>
      <c r="D57" t="s">
        <v>2101</v>
      </c>
    </row>
    <row r="58" spans="1:5" x14ac:dyDescent="0.35">
      <c r="A58" s="1">
        <v>127</v>
      </c>
      <c r="B58" s="4" t="str">
        <f>HYPERLINK("https://doi.org/10.1016/j.aott.2016.03.005","Balki (2016)")</f>
        <v>Balki (2016)</v>
      </c>
      <c r="C58" t="s">
        <v>448</v>
      </c>
      <c r="D58" t="s">
        <v>449</v>
      </c>
      <c r="E58" s="1" t="s">
        <v>4</v>
      </c>
    </row>
    <row r="59" spans="1:5" x14ac:dyDescent="0.35">
      <c r="A59" s="1">
        <v>130</v>
      </c>
      <c r="B59" s="4" t="str">
        <f>HYPERLINK("https://doi.org/10.1016/0749-8063(95)90129-9","Barber (1995)")</f>
        <v>Barber (1995)</v>
      </c>
      <c r="C59" t="s">
        <v>456</v>
      </c>
      <c r="D59" t="s">
        <v>457</v>
      </c>
      <c r="E59" s="1" t="s">
        <v>4</v>
      </c>
    </row>
    <row r="60" spans="1:5" x14ac:dyDescent="0.35">
      <c r="A60" s="1">
        <v>133</v>
      </c>
      <c r="B60" s="4" t="str">
        <f>HYPERLINK("https://doi.org/10.1016/j.arthro.2006.12.026","Barber (2007)")</f>
        <v>Barber (2007)</v>
      </c>
      <c r="C60" t="s">
        <v>463</v>
      </c>
      <c r="D60" t="s">
        <v>464</v>
      </c>
      <c r="E60" s="1" t="s">
        <v>7</v>
      </c>
    </row>
    <row r="61" spans="1:5" x14ac:dyDescent="0.35">
      <c r="A61" s="1">
        <v>136</v>
      </c>
      <c r="B61" s="4" t="str">
        <f>HYPERLINK("https://doi.org/10.1016/j.arthro.2010.11.056","Barber (2011)")</f>
        <v>Barber (2011)</v>
      </c>
      <c r="C61" t="s">
        <v>470</v>
      </c>
      <c r="D61" t="s">
        <v>471</v>
      </c>
      <c r="E61" s="1" t="s">
        <v>7</v>
      </c>
    </row>
    <row r="62" spans="1:5" x14ac:dyDescent="0.35">
      <c r="A62" s="1">
        <v>137</v>
      </c>
      <c r="B62" s="4" t="str">
        <f>HYPERLINK("https://doi.org/10.1055/s-0033-1343614","Barber (2013)")</f>
        <v>Barber (2013)</v>
      </c>
      <c r="C62" t="s">
        <v>477</v>
      </c>
      <c r="D62" t="s">
        <v>478</v>
      </c>
      <c r="E62" s="1" t="s">
        <v>7</v>
      </c>
    </row>
    <row r="63" spans="1:5" x14ac:dyDescent="0.35">
      <c r="A63" s="1">
        <v>138</v>
      </c>
      <c r="B63" s="4" t="str">
        <f>HYPERLINK("https://doi.org/10.1177/0363546510369549","Barenius (2010)")</f>
        <v>Barenius (2010)</v>
      </c>
      <c r="C63" t="s">
        <v>484</v>
      </c>
      <c r="D63" t="s">
        <v>485</v>
      </c>
      <c r="E63" s="1" t="s">
        <v>4</v>
      </c>
    </row>
    <row r="64" spans="1:5" x14ac:dyDescent="0.35">
      <c r="A64" s="1">
        <v>141</v>
      </c>
      <c r="B64" s="4" t="str">
        <f>HYPERLINK("https://doi.org/10.1177/0363546514526139","Barenius (2014)")</f>
        <v>Barenius (2014)</v>
      </c>
      <c r="C64" t="s">
        <v>491</v>
      </c>
      <c r="D64" t="s">
        <v>492</v>
      </c>
      <c r="E64" s="1" t="s">
        <v>4</v>
      </c>
    </row>
    <row r="65" spans="1:5" x14ac:dyDescent="0.35">
      <c r="A65" s="1">
        <v>144</v>
      </c>
      <c r="B65" s="4" t="str">
        <f>HYPERLINK("https://doi.org/10.1007/s00402-020-03508-1","Barié (2020)")</f>
        <v>Barié (2020)</v>
      </c>
      <c r="C65" t="s">
        <v>499</v>
      </c>
      <c r="D65" t="s">
        <v>500</v>
      </c>
      <c r="E65" s="1" t="s">
        <v>4</v>
      </c>
    </row>
    <row r="66" spans="1:5" x14ac:dyDescent="0.35">
      <c r="A66" s="1">
        <v>145</v>
      </c>
      <c r="B66" s="4" t="str">
        <f>HYPERLINK("https://doi.org/10.1089/ten.tea.2020.0057","Barnett (2020)")</f>
        <v>Barnett (2020)</v>
      </c>
      <c r="C66" t="s">
        <v>506</v>
      </c>
      <c r="D66" t="s">
        <v>507</v>
      </c>
      <c r="E66" s="1" t="s">
        <v>7</v>
      </c>
    </row>
    <row r="67" spans="1:5" x14ac:dyDescent="0.35">
      <c r="A67" s="1">
        <v>146</v>
      </c>
      <c r="B67" s="4" t="str">
        <f>HYPERLINK("https://doi.org/10.1055/s-0029-1240737","Basad (2010)")</f>
        <v>Basad (2010)</v>
      </c>
      <c r="C67" t="s">
        <v>512</v>
      </c>
      <c r="D67" t="s">
        <v>513</v>
      </c>
      <c r="E67" s="1" t="s">
        <v>7</v>
      </c>
    </row>
    <row r="68" spans="1:5" x14ac:dyDescent="0.35">
      <c r="A68" s="1">
        <v>147</v>
      </c>
      <c r="B68" s="4" t="str">
        <f>HYPERLINK("https://doi.org/10.1016/s0968-0160(01)00062-x","Beard (2001)")</f>
        <v>Beard (2001)</v>
      </c>
      <c r="C68" t="s">
        <v>518</v>
      </c>
      <c r="D68" t="s">
        <v>519</v>
      </c>
      <c r="E68" s="1" t="s">
        <v>4</v>
      </c>
    </row>
    <row r="69" spans="1:5" x14ac:dyDescent="0.35">
      <c r="A69" s="1">
        <v>148</v>
      </c>
      <c r="B69" s="4" t="str">
        <f>HYPERLINK("https://doi.org/10.1016/S0968-0160(01)00062-X","Beard (2001)")</f>
        <v>Beard (2001)</v>
      </c>
      <c r="C69" t="s">
        <v>525</v>
      </c>
      <c r="D69" t="s">
        <v>526</v>
      </c>
      <c r="E69" s="1" t="s">
        <v>4</v>
      </c>
    </row>
    <row r="70" spans="1:5" x14ac:dyDescent="0.35">
      <c r="A70" s="1">
        <v>149</v>
      </c>
      <c r="B70" s="4" t="str">
        <f>HYPERLINK("https://doi.org/10.1007/s00167-022-06980-x","Beaudoin (2022)")</f>
        <v>Beaudoin (2022)</v>
      </c>
      <c r="C70" t="s">
        <v>533</v>
      </c>
      <c r="D70" t="s">
        <v>534</v>
      </c>
      <c r="E70" s="1" t="s">
        <v>4</v>
      </c>
    </row>
    <row r="71" spans="1:5" x14ac:dyDescent="0.35">
      <c r="A71" s="1">
        <v>157</v>
      </c>
      <c r="B71" s="4" t="str">
        <f>HYPERLINK("https://doi.org/10.1016/j.clinbiomech.2020.105231","Behnke (2021)")</f>
        <v>Behnke (2021)</v>
      </c>
      <c r="C71" t="s">
        <v>540</v>
      </c>
      <c r="D71" t="s">
        <v>541</v>
      </c>
      <c r="E71" s="1" t="s">
        <v>7</v>
      </c>
    </row>
    <row r="72" spans="1:5" x14ac:dyDescent="0.35">
      <c r="A72" s="1">
        <v>20</v>
      </c>
      <c r="B72" s="4" t="str">
        <f>HYPERLINK("https://www.embase.com/search/results?subaction=viewrecord&amp;id=LNCT04295148&amp;from=export")</f>
        <v>https://www.embase.com/search/results?subaction=viewrecord&amp;id=LNCT04295148&amp;from=export</v>
      </c>
      <c r="C72" t="s">
        <v>2107</v>
      </c>
      <c r="D72" t="s">
        <v>2108</v>
      </c>
    </row>
    <row r="73" spans="1:5" x14ac:dyDescent="0.35">
      <c r="A73" s="1">
        <v>162</v>
      </c>
      <c r="B73" s="4" t="str">
        <f>HYPERLINK("https://doi.org/10.1007/s00402-017-2774-z","Beyaz (2017)")</f>
        <v>Beyaz (2017)</v>
      </c>
      <c r="C73" t="s">
        <v>555</v>
      </c>
      <c r="D73" t="s">
        <v>556</v>
      </c>
      <c r="E73" s="1" t="s">
        <v>4</v>
      </c>
    </row>
    <row r="74" spans="1:5" x14ac:dyDescent="0.35">
      <c r="A74" s="1">
        <v>168</v>
      </c>
      <c r="B74" s="4" t="str">
        <f>HYPERLINK("https://doi.org/10.2106/00004623-200209000-00001","Beynnon (2002)")</f>
        <v>Beynnon (2002)</v>
      </c>
      <c r="C74" t="s">
        <v>562</v>
      </c>
      <c r="D74" t="s">
        <v>563</v>
      </c>
      <c r="E74" s="1" t="s">
        <v>4</v>
      </c>
    </row>
    <row r="75" spans="1:5" x14ac:dyDescent="0.35">
      <c r="A75" s="1">
        <v>171</v>
      </c>
      <c r="B75" s="4" t="str">
        <f>HYPERLINK("https://doi.org/10.1177/0363546504268406","Beynnon (2005)")</f>
        <v>Beynnon (2005)</v>
      </c>
      <c r="C75" t="s">
        <v>570</v>
      </c>
      <c r="D75" t="s">
        <v>571</v>
      </c>
      <c r="E75" s="1" t="s">
        <v>4</v>
      </c>
    </row>
    <row r="76" spans="1:5" x14ac:dyDescent="0.35">
      <c r="A76" s="1">
        <v>172</v>
      </c>
      <c r="B76" s="4" t="str">
        <f>HYPERLINK("https://doi.org/10.1055/s-0038-1627466","Bi (2018)")</f>
        <v>Bi (2018)</v>
      </c>
      <c r="C76" t="s">
        <v>577</v>
      </c>
      <c r="D76" t="s">
        <v>578</v>
      </c>
      <c r="E76" s="1" t="s">
        <v>4</v>
      </c>
    </row>
    <row r="77" spans="1:5" x14ac:dyDescent="0.35">
      <c r="A77" s="1">
        <v>202</v>
      </c>
      <c r="B77" s="4" t="str">
        <f>HYPERLINK("https://doi.org/10.3928/0147-7447-19970201-08","Billotti (1997)")</f>
        <v>Billotti (1997)</v>
      </c>
      <c r="C77" t="s">
        <v>585</v>
      </c>
      <c r="D77" t="s">
        <v>586</v>
      </c>
      <c r="E77" s="1" t="s">
        <v>15</v>
      </c>
    </row>
    <row r="78" spans="1:5" x14ac:dyDescent="0.35">
      <c r="A78" s="1">
        <v>20</v>
      </c>
      <c r="B78" s="4" t="str">
        <f>HYPERLINK("https://doi.org/10.2106/JBJS.OA.23.00051","Saeed (2023)")</f>
        <v>Saeed (2023)</v>
      </c>
      <c r="C78" t="s">
        <v>3677</v>
      </c>
      <c r="D78" t="s">
        <v>3678</v>
      </c>
      <c r="E78" s="1" t="s">
        <v>4</v>
      </c>
    </row>
    <row r="79" spans="1:5" x14ac:dyDescent="0.35">
      <c r="A79" s="1">
        <v>214</v>
      </c>
      <c r="B79" s="4" t="str">
        <f>HYPERLINK("https://doi.org/10.1007/s00590-016-1809-4","Biswal (2016)")</f>
        <v>Biswal (2016)</v>
      </c>
      <c r="C79" t="s">
        <v>599</v>
      </c>
      <c r="D79" t="s">
        <v>600</v>
      </c>
      <c r="E79" s="1" t="s">
        <v>15</v>
      </c>
    </row>
    <row r="80" spans="1:5" x14ac:dyDescent="0.35">
      <c r="A80" s="1">
        <v>216</v>
      </c>
      <c r="B80" s="4" t="str">
        <f>HYPERLINK("https://doi.org/10.1177/0363546516646378","Björnsson (2016)")</f>
        <v>Björnsson (2016)</v>
      </c>
      <c r="C80" t="s">
        <v>606</v>
      </c>
      <c r="D80" t="s">
        <v>607</v>
      </c>
      <c r="E80" s="1" t="s">
        <v>4</v>
      </c>
    </row>
    <row r="81" spans="1:5" x14ac:dyDescent="0.35">
      <c r="A81" s="1">
        <v>225</v>
      </c>
      <c r="B81" s="4" t="str">
        <f>HYPERLINK("https://doi.org/10.1186/s12891-018-2028-4","Boer (2018)")</f>
        <v>Boer (2018)</v>
      </c>
      <c r="C81" t="s">
        <v>613</v>
      </c>
      <c r="D81" t="s">
        <v>614</v>
      </c>
      <c r="E81" s="1" t="s">
        <v>4</v>
      </c>
    </row>
    <row r="82" spans="1:5" x14ac:dyDescent="0.35">
      <c r="A82" s="1">
        <v>227</v>
      </c>
      <c r="B82" s="4" t="str">
        <f>HYPERLINK("https://doi.org/10.1007/s00167-014-3156-5","Bohn (2015)")</f>
        <v>Bohn (2015)</v>
      </c>
      <c r="C82" t="s">
        <v>620</v>
      </c>
      <c r="D82" t="s">
        <v>621</v>
      </c>
      <c r="E82" s="1" t="s">
        <v>4</v>
      </c>
    </row>
    <row r="83" spans="1:5" s="6" customFormat="1" x14ac:dyDescent="0.35">
      <c r="A83" s="8">
        <v>21</v>
      </c>
      <c r="B83" s="7" t="str">
        <f>HYPERLINK("https://doi.org/10.1177/0363546506296040","Chouliaras (2007)")</f>
        <v>Chouliaras (2007)</v>
      </c>
      <c r="C83" t="s">
        <v>827</v>
      </c>
      <c r="D83" t="s">
        <v>828</v>
      </c>
      <c r="E83" s="8" t="s">
        <v>7</v>
      </c>
    </row>
    <row r="84" spans="1:5" x14ac:dyDescent="0.35">
      <c r="A84" s="1">
        <v>231</v>
      </c>
      <c r="B84" s="7" t="str">
        <f>HYPERLINK("https://doi.org/10.1016/j.arthro.2012.10.021","Bourke (2013)")</f>
        <v>Bourke (2013)</v>
      </c>
      <c r="C84" t="s">
        <v>633</v>
      </c>
      <c r="D84" t="s">
        <v>634</v>
      </c>
      <c r="E84" s="8" t="s">
        <v>7</v>
      </c>
    </row>
    <row r="85" spans="1:5" x14ac:dyDescent="0.35">
      <c r="A85" s="1">
        <v>21</v>
      </c>
      <c r="B85" s="4" t="str">
        <f>HYPERLINK("https://www.embase.com/search/results?subaction=viewrecord&amp;id=LNCT04360928&amp;from=export")</f>
        <v>https://www.embase.com/search/results?subaction=viewrecord&amp;id=LNCT04360928&amp;from=export</v>
      </c>
      <c r="C85" t="s">
        <v>2114</v>
      </c>
      <c r="D85" t="s">
        <v>2115</v>
      </c>
    </row>
    <row r="86" spans="1:5" x14ac:dyDescent="0.35">
      <c r="A86" s="1">
        <v>248</v>
      </c>
      <c r="B86" s="4" t="str">
        <f>HYPERLINK("https://doi.org/10.1016/s0035-1040(04)70756-4","Boyer (2004)")</f>
        <v>Boyer (2004)</v>
      </c>
      <c r="C86" t="s">
        <v>647</v>
      </c>
      <c r="D86" t="s">
        <v>648</v>
      </c>
      <c r="E86" s="1" t="s">
        <v>7</v>
      </c>
    </row>
    <row r="87" spans="1:5" x14ac:dyDescent="0.35">
      <c r="A87" s="1">
        <v>250</v>
      </c>
      <c r="B87" s="4" t="str">
        <f>HYPERLINK("https://doi.org/10.1007/s001670050077","Brandsson (1998)")</f>
        <v>Brandsson (1998)</v>
      </c>
      <c r="C87" t="s">
        <v>654</v>
      </c>
      <c r="D87" t="s">
        <v>655</v>
      </c>
      <c r="E87" s="1" t="s">
        <v>4</v>
      </c>
    </row>
    <row r="88" spans="1:5" x14ac:dyDescent="0.35">
      <c r="A88" s="1">
        <v>252</v>
      </c>
      <c r="B88" s="4" t="str">
        <f>HYPERLINK("https://doi.org/10.1034/j.1600-0838.2001.011002110.x","Brandsson (2001)")</f>
        <v>Brandsson (2001)</v>
      </c>
      <c r="C88" t="s">
        <v>661</v>
      </c>
      <c r="D88" t="s">
        <v>662</v>
      </c>
      <c r="E88" s="1" t="s">
        <v>7</v>
      </c>
    </row>
    <row r="89" spans="1:5" x14ac:dyDescent="0.35">
      <c r="A89" s="1">
        <v>22</v>
      </c>
      <c r="B89" s="4" t="str">
        <f>HYPERLINK("https://doi.org/10.1016/j.arthro.2018.07.009","Hamrin (2019)")</f>
        <v>Hamrin (2019)</v>
      </c>
      <c r="C89" t="s">
        <v>1425</v>
      </c>
      <c r="D89" t="s">
        <v>1426</v>
      </c>
      <c r="E89" s="1" t="s">
        <v>4</v>
      </c>
    </row>
    <row r="90" spans="1:5" x14ac:dyDescent="0.35">
      <c r="A90" s="1">
        <v>255</v>
      </c>
      <c r="B90" s="4" t="str">
        <f>HYPERLINK("https://doi.org/10.1016/j.otsr.2016.08.011","Bressy (2016)")</f>
        <v>Bressy (2016)</v>
      </c>
      <c r="C90" t="s">
        <v>675</v>
      </c>
      <c r="D90" t="s">
        <v>676</v>
      </c>
      <c r="E90" s="1" t="s">
        <v>7</v>
      </c>
    </row>
    <row r="91" spans="1:5" x14ac:dyDescent="0.35">
      <c r="A91" s="1">
        <v>257</v>
      </c>
      <c r="B91" s="4" t="str">
        <f>HYPERLINK("https://doi.org/10.1007/s00402-024-05639-1","Butt (2024)")</f>
        <v>Butt (2024)</v>
      </c>
      <c r="C91" t="s">
        <v>682</v>
      </c>
      <c r="D91" t="s">
        <v>683</v>
      </c>
      <c r="E91" s="1" t="s">
        <v>4</v>
      </c>
    </row>
    <row r="92" spans="1:5" x14ac:dyDescent="0.35">
      <c r="A92" s="1">
        <v>258</v>
      </c>
      <c r="B92" s="4" t="str">
        <f>HYPERLINK("https://doi.org/10.3389/fsurg.2023.1003022","Cai (2023)")</f>
        <v>Cai (2023)</v>
      </c>
      <c r="C92" t="s">
        <v>689</v>
      </c>
      <c r="D92" t="s">
        <v>690</v>
      </c>
      <c r="E92" s="1" t="s">
        <v>4</v>
      </c>
    </row>
    <row r="93" spans="1:5" x14ac:dyDescent="0.35">
      <c r="A93" s="1">
        <v>263</v>
      </c>
      <c r="B93" s="4" t="str">
        <f>HYPERLINK("https://doi.org/10.1002/ksa.12583","Calvert (2025)")</f>
        <v>Calvert (2025)</v>
      </c>
      <c r="C93" t="s">
        <v>696</v>
      </c>
      <c r="D93" t="s">
        <v>697</v>
      </c>
      <c r="E93" s="1" t="s">
        <v>4</v>
      </c>
    </row>
    <row r="94" spans="1:5" x14ac:dyDescent="0.35">
      <c r="A94" s="1">
        <v>265</v>
      </c>
      <c r="B94" s="4" t="str">
        <f>HYPERLINK("https://doi.org/10.3928/0147-7447-19950301-06","Cameron (1995)")</f>
        <v>Cameron (1995)</v>
      </c>
      <c r="C94" t="s">
        <v>703</v>
      </c>
      <c r="D94" t="s">
        <v>704</v>
      </c>
      <c r="E94" s="1" t="s">
        <v>4</v>
      </c>
    </row>
    <row r="95" spans="1:5" x14ac:dyDescent="0.35">
      <c r="A95" s="1">
        <v>22</v>
      </c>
      <c r="B95" s="4" t="str">
        <f>HYPERLINK("https://www.embase.com/search/results?subaction=viewrecord&amp;id=LNCT04360928&amp;from=export")</f>
        <v>https://www.embase.com/search/results?subaction=viewrecord&amp;id=LNCT04360928&amp;from=export</v>
      </c>
      <c r="C95" t="s">
        <v>2122</v>
      </c>
      <c r="D95" t="s">
        <v>2123</v>
      </c>
    </row>
    <row r="96" spans="1:5" x14ac:dyDescent="0.35">
      <c r="A96" s="1">
        <v>267</v>
      </c>
      <c r="B96" s="4" t="str">
        <f>HYPERLINK("https://doi.org/10.1123/jsr.2024-0160","Cao (2025)")</f>
        <v>Cao (2025)</v>
      </c>
      <c r="C96" t="s">
        <v>717</v>
      </c>
      <c r="D96" t="s">
        <v>718</v>
      </c>
      <c r="E96" s="1" t="s">
        <v>7</v>
      </c>
    </row>
    <row r="97" spans="1:5" x14ac:dyDescent="0.35">
      <c r="A97" s="1">
        <v>24</v>
      </c>
      <c r="B97" s="4" t="str">
        <f>HYPERLINK("https://doi.org/10.1016/j.arthro.2004.09.013","Harilainen (2005)")</f>
        <v>Harilainen (2005)</v>
      </c>
      <c r="C97" t="s">
        <v>1439</v>
      </c>
      <c r="D97" t="s">
        <v>1440</v>
      </c>
      <c r="E97" s="1" t="s">
        <v>4</v>
      </c>
    </row>
    <row r="98" spans="1:5" x14ac:dyDescent="0.35">
      <c r="A98" s="1">
        <v>32</v>
      </c>
      <c r="B98" s="4" t="str">
        <f>HYPERLINK("https://doi.org/10.1007/s00167-016-4135-9","Carulli (2017)")</f>
        <v>Carulli (2017)</v>
      </c>
      <c r="C98" t="s">
        <v>732</v>
      </c>
      <c r="D98" t="s">
        <v>733</v>
      </c>
      <c r="E98" s="1" t="s">
        <v>15</v>
      </c>
    </row>
    <row r="99" spans="1:5" x14ac:dyDescent="0.35">
      <c r="A99" s="1">
        <v>24</v>
      </c>
      <c r="B99" s="4" t="str">
        <f>HYPERLINK("https://www.embase.com/search/results?subaction=viewrecord&amp;id=LNCT04360928&amp;from=export")</f>
        <v>https://www.embase.com/search/results?subaction=viewrecord&amp;id=LNCT04360928&amp;from=export</v>
      </c>
      <c r="C99" t="s">
        <v>2129</v>
      </c>
      <c r="D99" t="s">
        <v>2130</v>
      </c>
    </row>
    <row r="100" spans="1:5" x14ac:dyDescent="0.35">
      <c r="A100" s="1">
        <v>42</v>
      </c>
      <c r="B100" s="4" t="str">
        <f>HYPERLINK("https://doi.org/10.1177/0363546520914936","Castoldi (2020)")</f>
        <v>Castoldi (2020)</v>
      </c>
      <c r="C100" t="s">
        <v>746</v>
      </c>
      <c r="D100" t="s">
        <v>747</v>
      </c>
      <c r="E100" s="1" t="s">
        <v>4</v>
      </c>
    </row>
    <row r="101" spans="1:5" x14ac:dyDescent="0.35">
      <c r="A101" s="1">
        <v>53</v>
      </c>
      <c r="B101" s="4" t="str">
        <f>HYPERLINK("https://doi.org/10.1007/s00167-015-3718-1","Çelik (2017)")</f>
        <v>Çelik (2017)</v>
      </c>
      <c r="C101" t="s">
        <v>753</v>
      </c>
      <c r="D101" t="s">
        <v>754</v>
      </c>
      <c r="E101" s="1" t="s">
        <v>7</v>
      </c>
    </row>
    <row r="102" spans="1:5" x14ac:dyDescent="0.35">
      <c r="A102" s="1">
        <v>60</v>
      </c>
      <c r="B102" s="4" t="str">
        <f>HYPERLINK("https://doi.org/10.1016/j.arthro.2021.12.018","Chahal (2022)")</f>
        <v>Chahal (2022)</v>
      </c>
      <c r="C102" t="s">
        <v>761</v>
      </c>
      <c r="D102" t="s">
        <v>762</v>
      </c>
      <c r="E102" s="1" t="s">
        <v>4</v>
      </c>
    </row>
    <row r="103" spans="1:5" x14ac:dyDescent="0.35">
      <c r="A103" s="1">
        <v>65</v>
      </c>
      <c r="B103" s="4" t="str">
        <f>HYPERLINK("https://doi.org/10.12998/wjcc.v10.i24.8463","Chalidis (2022)")</f>
        <v>Chalidis (2022)</v>
      </c>
      <c r="C103" t="s">
        <v>768</v>
      </c>
      <c r="D103" t="s">
        <v>769</v>
      </c>
      <c r="E103" s="1" t="s">
        <v>7</v>
      </c>
    </row>
    <row r="104" spans="1:5" x14ac:dyDescent="0.35">
      <c r="A104" s="1">
        <v>71</v>
      </c>
      <c r="B104" s="4" t="str">
        <f>HYPERLINK("https://doi.org/10.1177/03635465030310040701","Charlton (2003)")</f>
        <v>Charlton (2003)</v>
      </c>
      <c r="C104" t="s">
        <v>775</v>
      </c>
      <c r="D104" t="s">
        <v>776</v>
      </c>
      <c r="E104" s="1" t="s">
        <v>7</v>
      </c>
    </row>
    <row r="105" spans="1:5" x14ac:dyDescent="0.35">
      <c r="A105" s="1">
        <v>1</v>
      </c>
      <c r="B105" s="4" t="str">
        <f>HYPERLINK("https://doi.org/10.1007/s00167-004-0498-4","Chen (2004)")</f>
        <v>Chen (2004)</v>
      </c>
      <c r="C105" t="s">
        <v>782</v>
      </c>
      <c r="D105" t="s">
        <v>783</v>
      </c>
      <c r="E105" s="1" t="s">
        <v>7</v>
      </c>
    </row>
    <row r="106" spans="1:5" x14ac:dyDescent="0.35">
      <c r="A106" s="1">
        <v>54</v>
      </c>
      <c r="B106" s="4" t="str">
        <f>HYPERLINK("https://doi.org/10.1007/s00402-014-2108-3","Chen (2015)")</f>
        <v>Chen (2015)</v>
      </c>
      <c r="C106" t="s">
        <v>788</v>
      </c>
      <c r="D106" t="s">
        <v>789</v>
      </c>
      <c r="E106" s="1" t="s">
        <v>4</v>
      </c>
    </row>
    <row r="107" spans="1:5" x14ac:dyDescent="0.35">
      <c r="A107" s="1">
        <v>117</v>
      </c>
      <c r="B107" s="4" t="str">
        <f>HYPERLINK("https://doi.org/10.1371/journal.pone.0183095","Chen (2017)")</f>
        <v>Chen (2017)</v>
      </c>
      <c r="C107" t="s">
        <v>796</v>
      </c>
      <c r="D107" t="s">
        <v>797</v>
      </c>
      <c r="E107" s="1" t="s">
        <v>7</v>
      </c>
    </row>
    <row r="108" spans="1:5" x14ac:dyDescent="0.35">
      <c r="A108" s="1">
        <v>24</v>
      </c>
      <c r="B108" s="4" t="str">
        <f>HYPERLINK("https://doi.org/10.1007/s00167-008-0593-z","Moisala (2008)")</f>
        <v>Moisala (2008)</v>
      </c>
      <c r="C108" t="s">
        <v>3511</v>
      </c>
      <c r="D108" t="s">
        <v>3512</v>
      </c>
      <c r="E108" s="1" t="s">
        <v>4</v>
      </c>
    </row>
    <row r="109" spans="1:5" x14ac:dyDescent="0.35">
      <c r="A109" s="1">
        <v>137</v>
      </c>
      <c r="B109" s="4" t="str">
        <f>HYPERLINK("https://doi.org/10.1038/s41598-023-45817-6","Chen (2023)")</f>
        <v>Chen (2023)</v>
      </c>
      <c r="C109" t="s">
        <v>811</v>
      </c>
      <c r="D109" t="s">
        <v>812</v>
      </c>
      <c r="E109" s="1" t="s">
        <v>4</v>
      </c>
    </row>
    <row r="110" spans="1:5" x14ac:dyDescent="0.35">
      <c r="A110" s="1">
        <v>25</v>
      </c>
      <c r="B110" s="4" t="str">
        <f>HYPERLINK("https://www.embase.com/search/results?subaction=viewrecord&amp;id=LNCT04390035&amp;from=export")</f>
        <v>https://www.embase.com/search/results?subaction=viewrecord&amp;id=LNCT04390035&amp;from=export</v>
      </c>
      <c r="C110" t="s">
        <v>2136</v>
      </c>
      <c r="D110" t="s">
        <v>2137</v>
      </c>
    </row>
    <row r="111" spans="1:5" x14ac:dyDescent="0.35">
      <c r="A111" s="1">
        <v>25</v>
      </c>
      <c r="B111" s="4" t="str">
        <f>HYPERLINK("https://doi.org/10.1302/0301-620x.85b4.13743","Meighan (2003)")</f>
        <v>Meighan (2003)</v>
      </c>
      <c r="C111" t="s">
        <v>3447</v>
      </c>
      <c r="D111" t="s">
        <v>3448</v>
      </c>
      <c r="E111" s="1" t="s">
        <v>4</v>
      </c>
    </row>
    <row r="112" spans="1:5" x14ac:dyDescent="0.35">
      <c r="A112" s="1">
        <v>49</v>
      </c>
      <c r="B112" s="4" t="str">
        <f>HYPERLINK("https://doi.org/10.1123/jsr.22.3.191","Christensen (2013)")</f>
        <v>Christensen (2013)</v>
      </c>
      <c r="C112" t="s">
        <v>835</v>
      </c>
      <c r="D112" t="s">
        <v>836</v>
      </c>
      <c r="E112" s="1" t="s">
        <v>4</v>
      </c>
    </row>
    <row r="113" spans="1:5" x14ac:dyDescent="0.35">
      <c r="A113" s="1">
        <v>26</v>
      </c>
      <c r="B113" s="4" t="str">
        <f>HYPERLINK("https://doi.org/10.1302/0301-620X.85B4.13743","Meighan (2003)")</f>
        <v>Meighan (2003)</v>
      </c>
      <c r="C113" t="s">
        <v>3451</v>
      </c>
      <c r="D113" t="s">
        <v>3452</v>
      </c>
      <c r="E113" s="1" t="s">
        <v>7</v>
      </c>
    </row>
    <row r="114" spans="1:5" x14ac:dyDescent="0.35">
      <c r="A114" s="1">
        <v>52</v>
      </c>
      <c r="B114" s="4" t="str">
        <f>HYPERLINK("https://doi.org/10.1007/s001670050138","Clatworthy (1999)")</f>
        <v>Clatworthy (1999)</v>
      </c>
      <c r="C114" t="s">
        <v>851</v>
      </c>
      <c r="D114" t="s">
        <v>852</v>
      </c>
      <c r="E114" s="1" t="s">
        <v>7</v>
      </c>
    </row>
    <row r="115" spans="1:5" x14ac:dyDescent="0.35">
      <c r="A115" s="1">
        <v>27</v>
      </c>
      <c r="B115" s="4" t="str">
        <f>HYPERLINK("https://www.embase.com/search/results?subaction=viewrecord&amp;id=LNCT04484961&amp;from=export")</f>
        <v>https://www.embase.com/search/results?subaction=viewrecord&amp;id=LNCT04484961&amp;from=export</v>
      </c>
      <c r="C115" t="s">
        <v>2143</v>
      </c>
      <c r="D115" t="s">
        <v>2144</v>
      </c>
    </row>
    <row r="116" spans="1:5" x14ac:dyDescent="0.35">
      <c r="A116" s="1">
        <v>27</v>
      </c>
      <c r="B116" s="4" t="str">
        <f>HYPERLINK("https://doi.org/10.1007/s00264-025-06468-6","Khalil (2025)")</f>
        <v>Khalil (2025)</v>
      </c>
      <c r="C116" t="s">
        <v>2914</v>
      </c>
      <c r="D116" t="s">
        <v>2915</v>
      </c>
      <c r="E116" s="1" t="s">
        <v>4</v>
      </c>
    </row>
    <row r="117" spans="1:5" x14ac:dyDescent="0.35">
      <c r="A117" s="1">
        <v>72</v>
      </c>
      <c r="B117" s="4" t="str">
        <f>HYPERLINK("https://doi.org/10.1016/j.jisako.2022.04.002","Cruz (2022)")</f>
        <v>Cruz (2022)</v>
      </c>
      <c r="C117" t="s">
        <v>875</v>
      </c>
      <c r="D117" t="s">
        <v>876</v>
      </c>
      <c r="E117" s="1" t="s">
        <v>4</v>
      </c>
    </row>
    <row r="118" spans="1:5" x14ac:dyDescent="0.35">
      <c r="A118" s="1">
        <v>29</v>
      </c>
      <c r="B118" s="4" t="str">
        <f>HYPERLINK("https://doi.org/10.4085/1062-6050-49.3.53","Harris (2015)")</f>
        <v>Harris (2015)</v>
      </c>
      <c r="C118" t="s">
        <v>1466</v>
      </c>
      <c r="D118" t="s">
        <v>1467</v>
      </c>
      <c r="E118" s="1" t="s">
        <v>4</v>
      </c>
    </row>
    <row r="119" spans="1:5" x14ac:dyDescent="0.35">
      <c r="A119" s="1">
        <v>86</v>
      </c>
      <c r="B119" s="4" t="str">
        <f>HYPERLINK("https://doi.org/10.1177/0363546511406234","De (2011)")</f>
        <v>De (2011)</v>
      </c>
      <c r="C119" t="s">
        <v>891</v>
      </c>
      <c r="D119" t="s">
        <v>892</v>
      </c>
      <c r="E119" s="1" t="s">
        <v>4</v>
      </c>
    </row>
    <row r="120" spans="1:5" x14ac:dyDescent="0.35">
      <c r="A120" s="1">
        <v>92</v>
      </c>
      <c r="B120" s="4" t="str">
        <f>HYPERLINK("https://doi.org/10.1016/j.knee.2022.03.015","de (2022)")</f>
        <v>de (2022)</v>
      </c>
      <c r="C120" t="s">
        <v>899</v>
      </c>
      <c r="D120" t="s">
        <v>900</v>
      </c>
      <c r="E120" s="1" t="s">
        <v>4</v>
      </c>
    </row>
    <row r="121" spans="1:5" x14ac:dyDescent="0.35">
      <c r="A121" s="1">
        <v>30</v>
      </c>
      <c r="B121" s="4" t="str">
        <f>HYPERLINK("https://www.embase.com/search/results?subaction=viewrecord&amp;id=LNCT04484961&amp;from=export")</f>
        <v>https://www.embase.com/search/results?subaction=viewrecord&amp;id=LNCT04484961&amp;from=export</v>
      </c>
      <c r="C121" t="s">
        <v>2151</v>
      </c>
      <c r="D121" t="s">
        <v>2152</v>
      </c>
    </row>
    <row r="122" spans="1:5" x14ac:dyDescent="0.35">
      <c r="A122" s="1">
        <v>30</v>
      </c>
      <c r="B122" s="4" t="str">
        <f>HYPERLINK("https://doi.org/10.1177/0363546508317123","Kondo (2008)")</f>
        <v>Kondo (2008)</v>
      </c>
      <c r="C122" t="s">
        <v>3016</v>
      </c>
      <c r="D122" t="s">
        <v>3017</v>
      </c>
      <c r="E122" s="1" t="s">
        <v>4</v>
      </c>
    </row>
    <row r="123" spans="1:5" s="6" customFormat="1" x14ac:dyDescent="0.35">
      <c r="A123" s="8">
        <v>31</v>
      </c>
      <c r="B123" s="7" t="str">
        <f>HYPERLINK("https://doi.org/10.47750/pnr.2022.13.S09.975","Amr (2022)")</f>
        <v>Amr (2022)</v>
      </c>
      <c r="C123" t="s">
        <v>347</v>
      </c>
      <c r="D123" t="s">
        <v>348</v>
      </c>
      <c r="E123" s="8" t="s">
        <v>7</v>
      </c>
    </row>
    <row r="124" spans="1:5" x14ac:dyDescent="0.35">
      <c r="A124" s="1">
        <v>126</v>
      </c>
      <c r="B124" s="4" t="str">
        <f>HYPERLINK("https://doi.org/10.1177/03635465020300061601","Drogset (2002)")</f>
        <v>Drogset (2002)</v>
      </c>
      <c r="C124" t="s">
        <v>930</v>
      </c>
      <c r="D124" t="s">
        <v>931</v>
      </c>
      <c r="E124" s="1" t="s">
        <v>15</v>
      </c>
    </row>
    <row r="125" spans="1:5" x14ac:dyDescent="0.35">
      <c r="A125" s="1">
        <v>130</v>
      </c>
      <c r="B125" s="4" t="str">
        <f>HYPERLINK("https://doi.org/10.1177/0363546504272264","Drogset (2005)")</f>
        <v>Drogset (2005)</v>
      </c>
      <c r="C125" t="s">
        <v>937</v>
      </c>
      <c r="D125" t="s">
        <v>938</v>
      </c>
      <c r="E125" s="1" t="s">
        <v>4</v>
      </c>
    </row>
    <row r="126" spans="1:5" x14ac:dyDescent="0.35">
      <c r="A126" s="1">
        <v>141</v>
      </c>
      <c r="B126" s="4" t="str">
        <f>HYPERLINK("https://doi.org/10.1007/s00167-009-0996-5","Drogset (2010)")</f>
        <v>Drogset (2010)</v>
      </c>
      <c r="C126" t="s">
        <v>945</v>
      </c>
      <c r="D126" t="s">
        <v>946</v>
      </c>
      <c r="E126" s="1" t="s">
        <v>4</v>
      </c>
    </row>
    <row r="127" spans="1:5" x14ac:dyDescent="0.35">
      <c r="A127" s="1">
        <v>152</v>
      </c>
      <c r="B127" s="4" t="str">
        <f>HYPERLINK("https://doi.org/10.1007/s00167-010-1353-4","Drogset (2011)")</f>
        <v>Drogset (2011)</v>
      </c>
      <c r="C127" t="s">
        <v>953</v>
      </c>
      <c r="D127" t="s">
        <v>954</v>
      </c>
      <c r="E127" s="1" t="s">
        <v>4</v>
      </c>
    </row>
    <row r="128" spans="1:5" x14ac:dyDescent="0.35">
      <c r="A128" s="1">
        <v>157</v>
      </c>
      <c r="B128" s="4" t="str">
        <f>HYPERLINK("https://doi.org/10.1016/j.jcot.2024.102865","Duraiswamy (2025)")</f>
        <v>Duraiswamy (2025)</v>
      </c>
      <c r="C128" t="s">
        <v>961</v>
      </c>
      <c r="D128" t="s">
        <v>962</v>
      </c>
      <c r="E128" s="1" t="s">
        <v>4</v>
      </c>
    </row>
    <row r="129" spans="1:5" x14ac:dyDescent="0.35">
      <c r="A129" s="1">
        <v>159</v>
      </c>
      <c r="B129" s="4" t="str">
        <f>HYPERLINK("https://doi.org/10.1177/03635465231222279","Ebert (2024)")</f>
        <v>Ebert (2024)</v>
      </c>
      <c r="C129" t="s">
        <v>969</v>
      </c>
      <c r="D129" t="s">
        <v>970</v>
      </c>
      <c r="E129" s="1" t="s">
        <v>4</v>
      </c>
    </row>
    <row r="130" spans="1:5" x14ac:dyDescent="0.35">
      <c r="A130" s="1">
        <v>180</v>
      </c>
      <c r="B130" s="4" t="str">
        <f>HYPERLINK("https://doi.org/10.1007/s001670000179","Ejerhed (2001)")</f>
        <v>Ejerhed (2001)</v>
      </c>
      <c r="C130" t="s">
        <v>976</v>
      </c>
      <c r="D130" t="s">
        <v>977</v>
      </c>
      <c r="E130" s="1" t="s">
        <v>4</v>
      </c>
    </row>
    <row r="131" spans="1:5" x14ac:dyDescent="0.35">
      <c r="A131" s="1">
        <v>185</v>
      </c>
      <c r="B131" s="4" t="str">
        <f>HYPERLINK("https://doi.org/10.1177/03635465030310011401","Ejerhed (2003)")</f>
        <v>Ejerhed (2003)</v>
      </c>
      <c r="C131" t="s">
        <v>982</v>
      </c>
      <c r="D131" t="s">
        <v>983</v>
      </c>
      <c r="E131" s="1" t="s">
        <v>4</v>
      </c>
    </row>
    <row r="132" spans="1:5" x14ac:dyDescent="0.35">
      <c r="A132" s="1">
        <v>192</v>
      </c>
      <c r="B132" s="4" t="str">
        <f>HYPERLINK("https://doi.org/10.1016/j.injury.2023.01.033","El-Azab (2023)")</f>
        <v>El-Azab (2023)</v>
      </c>
      <c r="C132" t="s">
        <v>990</v>
      </c>
      <c r="D132" t="s">
        <v>991</v>
      </c>
      <c r="E132" s="1" t="s">
        <v>4</v>
      </c>
    </row>
    <row r="133" spans="1:5" x14ac:dyDescent="0.35">
      <c r="A133" s="1">
        <v>31</v>
      </c>
      <c r="B133" s="4" t="str">
        <f>HYPERLINK("https://doi.org/10.1016/j.arthro.2007.04.010","Muneta (2007)")</f>
        <v>Muneta (2007)</v>
      </c>
      <c r="C133" t="s">
        <v>3519</v>
      </c>
      <c r="D133" t="s">
        <v>3520</v>
      </c>
      <c r="E133" s="1" t="s">
        <v>4</v>
      </c>
    </row>
    <row r="134" spans="1:5" x14ac:dyDescent="0.35">
      <c r="A134" s="1">
        <v>31</v>
      </c>
      <c r="B134" s="4" t="str">
        <f>HYPERLINK("https://doi.org/10.1177/23259671211070542","Sanborn (2022)")</f>
        <v>Sanborn (2022)</v>
      </c>
      <c r="C134" t="s">
        <v>3539</v>
      </c>
      <c r="D134" t="s">
        <v>3540</v>
      </c>
      <c r="E134" s="1" t="s">
        <v>4</v>
      </c>
    </row>
    <row r="135" spans="1:5" x14ac:dyDescent="0.35">
      <c r="A135" s="1">
        <v>200</v>
      </c>
      <c r="B135" s="4" t="str">
        <f>HYPERLINK("https://doi.org/10.1016/j.arthro.2009.05.016","Endele (2009)")</f>
        <v>Endele (2009)</v>
      </c>
      <c r="C135" t="s">
        <v>1014</v>
      </c>
      <c r="D135" t="s">
        <v>1015</v>
      </c>
      <c r="E135" s="1" t="s">
        <v>4</v>
      </c>
    </row>
    <row r="136" spans="1:5" x14ac:dyDescent="0.35">
      <c r="A136" s="1">
        <v>217</v>
      </c>
      <c r="B136" s="4" t="str">
        <f>HYPERLINK("https://doi.org/10.1177/036354659001800605","Engebretsen (1990)")</f>
        <v>Engebretsen (1990)</v>
      </c>
      <c r="C136" t="s">
        <v>1022</v>
      </c>
      <c r="D136" t="s">
        <v>434</v>
      </c>
      <c r="E136" s="1" t="s">
        <v>7</v>
      </c>
    </row>
    <row r="137" spans="1:5" x14ac:dyDescent="0.35">
      <c r="A137" s="1">
        <v>225</v>
      </c>
      <c r="B137" s="4" t="str">
        <f>HYPERLINK("https://doi.org/10.5606/ehc.2020.78201","Erden (2021)")</f>
        <v>Erden (2021)</v>
      </c>
      <c r="C137" t="s">
        <v>1025</v>
      </c>
      <c r="D137" t="s">
        <v>1026</v>
      </c>
      <c r="E137" s="1" t="s">
        <v>7</v>
      </c>
    </row>
    <row r="138" spans="1:5" x14ac:dyDescent="0.35">
      <c r="A138" s="1">
        <v>230</v>
      </c>
      <c r="B138" s="4" t="str">
        <f>HYPERLINK("https://doi.org/10.1302/0301-620x.83b3.11685","Eriksson (2001)")</f>
        <v>Eriksson (2001)</v>
      </c>
      <c r="C138" t="s">
        <v>1033</v>
      </c>
      <c r="D138" t="s">
        <v>1034</v>
      </c>
      <c r="E138" s="1" t="s">
        <v>4</v>
      </c>
    </row>
    <row r="139" spans="1:5" x14ac:dyDescent="0.35">
      <c r="A139" s="1">
        <v>32</v>
      </c>
      <c r="B139" s="4" t="str">
        <f>HYPERLINK("https://www.embase.com/search/results?subaction=viewrecord&amp;id=LNCT04531826&amp;from=export")</f>
        <v>https://www.embase.com/search/results?subaction=viewrecord&amp;id=LNCT04531826&amp;from=export</v>
      </c>
      <c r="C139" t="s">
        <v>2158</v>
      </c>
      <c r="D139" t="s">
        <v>2159</v>
      </c>
    </row>
    <row r="140" spans="1:5" x14ac:dyDescent="0.35">
      <c r="A140" s="1">
        <v>259</v>
      </c>
      <c r="B140" s="4" t="str">
        <f>HYPERLINK("https://doi.org/10.1007/s00590-022-03406-9","Fares (2023)")</f>
        <v>Fares (2023)</v>
      </c>
      <c r="C140" t="s">
        <v>1048</v>
      </c>
      <c r="D140" t="s">
        <v>1049</v>
      </c>
      <c r="E140" s="1" t="s">
        <v>7</v>
      </c>
    </row>
    <row r="141" spans="1:5" x14ac:dyDescent="0.35">
      <c r="A141" s="1">
        <v>32</v>
      </c>
      <c r="B141" s="4" t="str">
        <f>HYPERLINK("https://doi.org/10.1177/0363546516650876","Liu (2016)")</f>
        <v>Liu (2016)</v>
      </c>
      <c r="C141" t="s">
        <v>3257</v>
      </c>
      <c r="D141" t="s">
        <v>3258</v>
      </c>
      <c r="E141" s="1" t="s">
        <v>4</v>
      </c>
    </row>
    <row r="142" spans="1:5" x14ac:dyDescent="0.35">
      <c r="A142" s="1">
        <v>34</v>
      </c>
      <c r="B142" s="4" t="str">
        <f>HYPERLINK("https://doi.org/10.1177/0363546506288014","Laxdal (2006)")</f>
        <v>Laxdal (2006)</v>
      </c>
      <c r="C142" t="s">
        <v>3135</v>
      </c>
      <c r="D142" t="s">
        <v>3136</v>
      </c>
      <c r="E142" s="1" t="s">
        <v>4</v>
      </c>
    </row>
    <row r="143" spans="1:5" x14ac:dyDescent="0.35">
      <c r="A143" s="1">
        <v>12</v>
      </c>
      <c r="B143" s="4" t="str">
        <f>HYPERLINK("https://doi.org/10.1007/s001670050016","Feller (1997)")</f>
        <v>Feller (1997)</v>
      </c>
      <c r="C143" t="s">
        <v>1069</v>
      </c>
      <c r="D143" t="s">
        <v>1070</v>
      </c>
      <c r="E143" s="1" t="s">
        <v>4</v>
      </c>
    </row>
    <row r="144" spans="1:5" x14ac:dyDescent="0.35">
      <c r="A144" s="1">
        <v>14</v>
      </c>
      <c r="B144" s="4" t="str">
        <f>HYPERLINK("https://doi.org/10.1007/s001670100216","Feller (2001)")</f>
        <v>Feller (2001)</v>
      </c>
      <c r="C144" t="s">
        <v>1077</v>
      </c>
      <c r="D144" t="s">
        <v>1078</v>
      </c>
      <c r="E144" s="1" t="s">
        <v>4</v>
      </c>
    </row>
    <row r="145" spans="1:5" x14ac:dyDescent="0.35">
      <c r="A145" s="1">
        <v>16</v>
      </c>
      <c r="B145" s="4" t="str">
        <f>HYPERLINK("https://doi.org/10.1177/03635465030310041501","Feller (2003)")</f>
        <v>Feller (2003)</v>
      </c>
      <c r="C145" t="s">
        <v>1085</v>
      </c>
      <c r="D145" t="s">
        <v>1086</v>
      </c>
      <c r="E145" s="1" t="s">
        <v>4</v>
      </c>
    </row>
    <row r="146" spans="1:5" x14ac:dyDescent="0.35">
      <c r="A146" s="1">
        <v>19</v>
      </c>
      <c r="B146" s="4" t="str">
        <f>HYPERLINK("https://doi.org/10.1007/s00167-011-1585-y","Fernandes (2012)")</f>
        <v>Fernandes (2012)</v>
      </c>
      <c r="C146" t="s">
        <v>1093</v>
      </c>
      <c r="D146" t="s">
        <v>1094</v>
      </c>
      <c r="E146" s="1" t="s">
        <v>7</v>
      </c>
    </row>
    <row r="147" spans="1:5" x14ac:dyDescent="0.35">
      <c r="A147" s="1">
        <v>23</v>
      </c>
      <c r="B147" s="4" t="str">
        <f>HYPERLINK("https://doi.org/10.1016/j.arthro.2008.02.010","Ferretti (2008)")</f>
        <v>Ferretti (2008)</v>
      </c>
      <c r="C147" t="s">
        <v>1101</v>
      </c>
      <c r="D147" t="s">
        <v>1102</v>
      </c>
      <c r="E147" s="1" t="s">
        <v>4</v>
      </c>
    </row>
    <row r="148" spans="1:5" x14ac:dyDescent="0.35">
      <c r="A148" s="1">
        <v>71</v>
      </c>
      <c r="B148" s="4" t="str">
        <f>HYPERLINK("https://doi.org/10.1053/jars.2000.4633","Fink (2000)")</f>
        <v>Fink (2000)</v>
      </c>
      <c r="C148" t="s">
        <v>1108</v>
      </c>
      <c r="D148" t="s">
        <v>1109</v>
      </c>
      <c r="E148" s="1" t="s">
        <v>4</v>
      </c>
    </row>
    <row r="149" spans="1:5" x14ac:dyDescent="0.35">
      <c r="A149" s="1">
        <v>35</v>
      </c>
      <c r="B149" s="4" t="str">
        <f>HYPERLINK("https://www.embase.com/search/results?subaction=viewrecord&amp;id=LNCT04536246&amp;from=export")</f>
        <v>https://www.embase.com/search/results?subaction=viewrecord&amp;id=LNCT04536246&amp;from=export</v>
      </c>
      <c r="C149" t="s">
        <v>2165</v>
      </c>
      <c r="D149" t="s">
        <v>2166</v>
      </c>
    </row>
    <row r="150" spans="1:5" x14ac:dyDescent="0.35">
      <c r="A150" s="1">
        <v>100</v>
      </c>
      <c r="B150" s="4" t="str">
        <f>HYPERLINK("https://doi.org/10.1177/03635465211061150","Firth (2022)")</f>
        <v>Firth (2022)</v>
      </c>
      <c r="C150" t="s">
        <v>1123</v>
      </c>
      <c r="D150" t="s">
        <v>1124</v>
      </c>
      <c r="E150" s="1" t="s">
        <v>4</v>
      </c>
    </row>
    <row r="151" spans="1:5" x14ac:dyDescent="0.35">
      <c r="A151" s="1">
        <v>107</v>
      </c>
      <c r="B151" s="4" t="str">
        <f>HYPERLINK("https://doi.org/10.1177/0363546504269590","Fithian (2005)")</f>
        <v>Fithian (2005)</v>
      </c>
      <c r="C151" t="s">
        <v>1131</v>
      </c>
      <c r="D151" t="s">
        <v>1132</v>
      </c>
      <c r="E151" s="1" t="s">
        <v>7</v>
      </c>
    </row>
    <row r="152" spans="1:5" x14ac:dyDescent="0.35">
      <c r="A152" s="1">
        <v>35</v>
      </c>
      <c r="B152" s="4" t="str">
        <f>HYPERLINK("https://doi.org/10.3760/cma.j.issn.0529-5815.2017.03.001","Liu (2017)")</f>
        <v>Liu (2017)</v>
      </c>
      <c r="C152" t="s">
        <v>3263</v>
      </c>
      <c r="D152" t="s">
        <v>3264</v>
      </c>
      <c r="E152" s="1" t="s">
        <v>7</v>
      </c>
    </row>
    <row r="153" spans="1:5" x14ac:dyDescent="0.35">
      <c r="A153" s="1">
        <v>9</v>
      </c>
      <c r="B153" s="4" t="str">
        <f>HYPERLINK("https://doi.org/10.1002/jor.24794","Fleming (2021)")</f>
        <v>Fleming (2021)</v>
      </c>
      <c r="C153" t="s">
        <v>1147</v>
      </c>
      <c r="D153" t="s">
        <v>1148</v>
      </c>
      <c r="E153" s="1" t="s">
        <v>4</v>
      </c>
    </row>
    <row r="154" spans="1:5" x14ac:dyDescent="0.35">
      <c r="A154" s="1">
        <v>2</v>
      </c>
      <c r="B154" s="4" t="str">
        <f>HYPERLINK("https://doi.org/10.1007/s001130050634","Fremerey (2000)")</f>
        <v>Fremerey (2000)</v>
      </c>
      <c r="C154" t="s">
        <v>1155</v>
      </c>
      <c r="D154" t="s">
        <v>1156</v>
      </c>
      <c r="E154" s="1" t="s">
        <v>7</v>
      </c>
    </row>
    <row r="155" spans="1:5" x14ac:dyDescent="0.35">
      <c r="A155" s="1">
        <v>36</v>
      </c>
      <c r="B155" s="4" t="str">
        <f>HYPERLINK("https://doi.org/10.1007/s00167-009-0844-7","Sastre (2010)")</f>
        <v>Sastre (2010)</v>
      </c>
      <c r="C155" t="s">
        <v>3681</v>
      </c>
      <c r="D155" t="s">
        <v>3682</v>
      </c>
      <c r="E155" s="1" t="s">
        <v>4</v>
      </c>
    </row>
    <row r="156" spans="1:5" x14ac:dyDescent="0.35">
      <c r="A156" s="1">
        <v>64</v>
      </c>
      <c r="B156" s="7" t="str">
        <f>HYPERLINK("https://doi.org/10.1177/0363546513476473","Fu (2013)")</f>
        <v>Fu (2013)</v>
      </c>
      <c r="C156" t="s">
        <v>1171</v>
      </c>
      <c r="D156" t="s">
        <v>1172</v>
      </c>
      <c r="E156" s="8" t="s">
        <v>7</v>
      </c>
    </row>
    <row r="157" spans="1:5" x14ac:dyDescent="0.35">
      <c r="A157" s="1">
        <v>68</v>
      </c>
      <c r="B157" s="4" t="str">
        <f>HYPERLINK("https://doi.org/10.1002/ksa.70170","Fu (2025)")</f>
        <v>Fu (2025)</v>
      </c>
      <c r="C157" t="s">
        <v>1179</v>
      </c>
      <c r="D157" t="s">
        <v>1180</v>
      </c>
      <c r="E157" s="1" t="s">
        <v>4</v>
      </c>
    </row>
    <row r="158" spans="1:5" x14ac:dyDescent="0.35">
      <c r="A158" s="1">
        <v>17</v>
      </c>
      <c r="B158" s="4" t="str">
        <f>HYPERLINK("https://doi.org/10.1016/j.arthro.2011.02.015","Fujita (2011)")</f>
        <v>Fujita (2011)</v>
      </c>
      <c r="C158" t="s">
        <v>1186</v>
      </c>
      <c r="D158" t="s">
        <v>1187</v>
      </c>
      <c r="E158" s="1" t="s">
        <v>4</v>
      </c>
    </row>
    <row r="159" spans="1:5" x14ac:dyDescent="0.35">
      <c r="A159" s="1">
        <v>20</v>
      </c>
      <c r="B159" s="7" t="str">
        <f>HYPERLINK("https://doi.org/10.1177/0363546513476482","Fukuda (2013)")</f>
        <v>Fukuda (2013)</v>
      </c>
      <c r="C159" t="s">
        <v>1194</v>
      </c>
      <c r="D159" t="s">
        <v>1195</v>
      </c>
      <c r="E159" s="8" t="s">
        <v>7</v>
      </c>
    </row>
    <row r="160" spans="1:5" x14ac:dyDescent="0.35">
      <c r="A160" s="1">
        <v>25</v>
      </c>
      <c r="B160" s="4" t="str">
        <f>HYPERLINK("https://doi.org/10.1007/s001670050142","Gebhard (1999)")</f>
        <v>Gebhard (1999)</v>
      </c>
      <c r="C160" t="s">
        <v>1202</v>
      </c>
      <c r="D160" t="s">
        <v>1203</v>
      </c>
      <c r="E160" s="1" t="s">
        <v>7</v>
      </c>
    </row>
    <row r="161" spans="1:5" x14ac:dyDescent="0.35">
      <c r="A161" s="1">
        <v>71</v>
      </c>
      <c r="B161" s="4" t="str">
        <f>HYPERLINK("https://doi.org/10.1007/s001670050052","Gerich (1997)")</f>
        <v>Gerich (1997)</v>
      </c>
      <c r="C161" t="s">
        <v>1208</v>
      </c>
      <c r="D161" t="s">
        <v>1209</v>
      </c>
      <c r="E161" s="1" t="s">
        <v>4</v>
      </c>
    </row>
    <row r="162" spans="1:5" x14ac:dyDescent="0.35">
      <c r="A162" s="1">
        <v>73</v>
      </c>
      <c r="B162" s="4" t="str">
        <f>HYPERLINK("https://doi.org/10.1007/s001130050308","Gerich (1998)")</f>
        <v>Gerich (1998)</v>
      </c>
      <c r="C162" t="s">
        <v>1216</v>
      </c>
      <c r="D162" t="s">
        <v>1217</v>
      </c>
      <c r="E162" s="1" t="s">
        <v>4</v>
      </c>
    </row>
    <row r="163" spans="1:5" x14ac:dyDescent="0.35">
      <c r="A163" s="1">
        <v>86</v>
      </c>
      <c r="B163" s="4" t="str">
        <f>HYPERLINK("https://doi.org/10.1186/s12891-019-2589-x","Getgood (2019)")</f>
        <v>Getgood (2019)</v>
      </c>
      <c r="C163" t="s">
        <v>1224</v>
      </c>
      <c r="D163" t="s">
        <v>1225</v>
      </c>
      <c r="E163" s="1" t="s">
        <v>4</v>
      </c>
    </row>
    <row r="164" spans="1:5" x14ac:dyDescent="0.35">
      <c r="A164" s="1">
        <v>88</v>
      </c>
      <c r="B164" s="4" t="str">
        <f>HYPERLINK("https://doi.org/10.1177/0363546519896333","Getgood (2020)")</f>
        <v>Getgood (2020)</v>
      </c>
      <c r="C164" t="s">
        <v>1232</v>
      </c>
      <c r="D164" t="s">
        <v>1233</v>
      </c>
      <c r="E164" s="1" t="s">
        <v>4</v>
      </c>
    </row>
    <row r="165" spans="1:5" x14ac:dyDescent="0.35">
      <c r="A165" s="1">
        <v>101</v>
      </c>
      <c r="B165" s="4" t="str">
        <f>HYPERLINK("https://doi.org/10.1016/j.csm.2023.08.005","Getgood (2024)")</f>
        <v>Getgood (2024)</v>
      </c>
      <c r="C165" t="s">
        <v>1240</v>
      </c>
      <c r="D165" t="s">
        <v>1241</v>
      </c>
      <c r="E165" s="1" t="s">
        <v>7</v>
      </c>
    </row>
    <row r="166" spans="1:5" x14ac:dyDescent="0.35">
      <c r="A166" s="1">
        <v>37</v>
      </c>
      <c r="B166" s="4" t="str">
        <f>HYPERLINK("https://www.embase.com/search/results?subaction=viewrecord&amp;id=LNCT04536246&amp;from=export")</f>
        <v>https://www.embase.com/search/results?subaction=viewrecord&amp;id=LNCT04536246&amp;from=export</v>
      </c>
      <c r="C166" t="s">
        <v>2172</v>
      </c>
      <c r="D166" t="s">
        <v>2173</v>
      </c>
    </row>
    <row r="167" spans="1:5" x14ac:dyDescent="0.35">
      <c r="A167" s="1">
        <v>1</v>
      </c>
      <c r="B167" s="4" t="str">
        <f>HYPERLINK("https://doi.org/10.1016/j.knee.2009.09.008","Ghalayini (2010)")</f>
        <v>Ghalayini (2010)</v>
      </c>
      <c r="C167" t="s">
        <v>1255</v>
      </c>
      <c r="D167" t="s">
        <v>1256</v>
      </c>
      <c r="E167" s="1" t="s">
        <v>4</v>
      </c>
    </row>
    <row r="168" spans="1:5" x14ac:dyDescent="0.35">
      <c r="A168" s="1">
        <v>15</v>
      </c>
      <c r="B168" s="4" t="str">
        <f>HYPERLINK("https://doi.org/10.1007/s00167-012-1947-0","Gifstad (2013)")</f>
        <v>Gifstad (2013)</v>
      </c>
      <c r="C168" t="s">
        <v>1262</v>
      </c>
      <c r="D168" t="s">
        <v>1263</v>
      </c>
      <c r="E168" s="1" t="s">
        <v>4</v>
      </c>
    </row>
    <row r="169" spans="1:5" x14ac:dyDescent="0.35">
      <c r="A169" s="1">
        <v>24</v>
      </c>
      <c r="B169" s="4" t="str">
        <f>HYPERLINK("https://doi.org/10.1007/s00167-013-2652-3","Gifstad (2014)")</f>
        <v>Gifstad (2014)</v>
      </c>
      <c r="C169" t="s">
        <v>1269</v>
      </c>
      <c r="D169" t="s">
        <v>1270</v>
      </c>
      <c r="E169" s="1" t="s">
        <v>4</v>
      </c>
    </row>
    <row r="170" spans="1:5" x14ac:dyDescent="0.35">
      <c r="A170" s="1">
        <v>31</v>
      </c>
      <c r="B170" s="4" t="str">
        <f>HYPERLINK("https://doi.org/10.1016/s0749-8063(88)80003-3","Gillquist (1988)")</f>
        <v>Gillquist (1988)</v>
      </c>
      <c r="C170" t="s">
        <v>1276</v>
      </c>
      <c r="D170" t="s">
        <v>1277</v>
      </c>
      <c r="E170" s="1" t="s">
        <v>7</v>
      </c>
    </row>
    <row r="171" spans="1:5" x14ac:dyDescent="0.35">
      <c r="A171" s="1">
        <v>0</v>
      </c>
      <c r="B171" s="4" t="str">
        <f>HYPERLINK("https://doi.org/10.1016/s0035-1040(06)75947-5","Giraud (2006)")</f>
        <v>Giraud (2006)</v>
      </c>
      <c r="C171" t="s">
        <v>1284</v>
      </c>
      <c r="D171" t="s">
        <v>1285</v>
      </c>
      <c r="E171" s="1" t="s">
        <v>7</v>
      </c>
    </row>
    <row r="172" spans="1:5" x14ac:dyDescent="0.35">
      <c r="A172" s="1">
        <v>1</v>
      </c>
      <c r="B172" s="4" t="str">
        <f>HYPERLINK("https://doi.org/10.1007/s00167-004-0553-1","Giron (2005)")</f>
        <v>Giron (2005)</v>
      </c>
      <c r="C172" t="s">
        <v>1291</v>
      </c>
      <c r="D172" t="s">
        <v>1292</v>
      </c>
      <c r="E172" s="1" t="s">
        <v>15</v>
      </c>
    </row>
    <row r="173" spans="1:5" x14ac:dyDescent="0.35">
      <c r="A173" s="1">
        <v>2</v>
      </c>
      <c r="B173" s="4" t="str">
        <f>HYPERLINK("https://doi.org/10.1177/03635465221117777","Glasbrenner (2022)")</f>
        <v>Glasbrenner (2022)</v>
      </c>
      <c r="C173" t="s">
        <v>1299</v>
      </c>
      <c r="D173" t="s">
        <v>1300</v>
      </c>
      <c r="E173" s="1" t="s">
        <v>4</v>
      </c>
    </row>
    <row r="174" spans="1:5" x14ac:dyDescent="0.35">
      <c r="A174" s="1">
        <v>37</v>
      </c>
      <c r="B174" s="4" t="str">
        <f>HYPERLINK("https://doi.org/10.1016/j.arthro.2007.01.022","Zhao (2007)")</f>
        <v>Zhao (2007)</v>
      </c>
      <c r="C174" t="s">
        <v>4092</v>
      </c>
      <c r="D174" t="s">
        <v>4093</v>
      </c>
      <c r="E174" s="1" t="s">
        <v>4</v>
      </c>
    </row>
    <row r="175" spans="1:5" x14ac:dyDescent="0.35">
      <c r="A175" s="1">
        <v>4</v>
      </c>
      <c r="B175" s="4" t="str">
        <f>HYPERLINK("https://doi.org/10.1007/s00167-006-0050-9","Gobbi (2006)")</f>
        <v>Gobbi (2006)</v>
      </c>
      <c r="C175" t="s">
        <v>1313</v>
      </c>
      <c r="D175" t="s">
        <v>1314</v>
      </c>
      <c r="E175" s="1" t="s">
        <v>4</v>
      </c>
    </row>
    <row r="176" spans="1:5" x14ac:dyDescent="0.35">
      <c r="A176" s="1">
        <v>5</v>
      </c>
      <c r="B176" s="4" t="str">
        <f>HYPERLINK("https://doi.org/10.1007/s11999-011-1940-9","Gobbi (2012)")</f>
        <v>Gobbi (2012)</v>
      </c>
      <c r="C176" t="s">
        <v>1320</v>
      </c>
      <c r="D176" t="s">
        <v>1321</v>
      </c>
      <c r="E176" s="1" t="s">
        <v>7</v>
      </c>
    </row>
    <row r="177" spans="1:5" x14ac:dyDescent="0.35">
      <c r="A177" s="1">
        <v>38</v>
      </c>
      <c r="B177" s="4" t="str">
        <f>HYPERLINK("https://www.embase.com/search/results?subaction=viewrecord&amp;id=LNCT04626999&amp;from=export")</f>
        <v>https://www.embase.com/search/results?subaction=viewrecord&amp;id=LNCT04626999&amp;from=export</v>
      </c>
      <c r="C177" t="s">
        <v>2179</v>
      </c>
      <c r="D177" t="s">
        <v>2180</v>
      </c>
    </row>
    <row r="178" spans="1:5" x14ac:dyDescent="0.35">
      <c r="A178" s="1">
        <v>7</v>
      </c>
      <c r="B178" s="4" t="str">
        <f>HYPERLINK("https://doi.org/10.1007/s00113-001-0405-0","Gorschewsky (2002)")</f>
        <v>Gorschewsky (2002)</v>
      </c>
      <c r="C178" t="s">
        <v>1334</v>
      </c>
      <c r="D178" t="s">
        <v>1335</v>
      </c>
      <c r="E178" s="1" t="s">
        <v>15</v>
      </c>
    </row>
    <row r="179" spans="1:5" x14ac:dyDescent="0.35">
      <c r="A179" s="1">
        <v>8</v>
      </c>
      <c r="B179" s="4" t="str">
        <f>HYPERLINK("https://doi.org/10.1177/23259671231174478","Götschi (2023)")</f>
        <v>Götschi (2023)</v>
      </c>
      <c r="C179" t="s">
        <v>1341</v>
      </c>
      <c r="D179" t="s">
        <v>1342</v>
      </c>
      <c r="E179" s="1" t="s">
        <v>4</v>
      </c>
    </row>
    <row r="180" spans="1:5" x14ac:dyDescent="0.35">
      <c r="A180" s="1">
        <v>9</v>
      </c>
      <c r="B180" s="4" t="str">
        <f>HYPERLINK("https://doi.org/10.1016/j.jisako.2022.04.006","Grassi (2022)")</f>
        <v>Grassi (2022)</v>
      </c>
      <c r="C180" t="s">
        <v>1347</v>
      </c>
      <c r="D180" t="s">
        <v>1348</v>
      </c>
      <c r="E180" s="1" t="s">
        <v>4</v>
      </c>
    </row>
    <row r="181" spans="1:5" x14ac:dyDescent="0.35">
      <c r="A181" s="1">
        <v>12</v>
      </c>
      <c r="B181" s="4" t="str">
        <f>HYPERLINK("https://doi.org/10.1111/j.1600-0838.1995.tb00059.x","Grøntvedt (1995)")</f>
        <v>Grøntvedt (1995)</v>
      </c>
      <c r="C181" t="s">
        <v>1354</v>
      </c>
      <c r="D181" t="s">
        <v>1355</v>
      </c>
      <c r="E181" s="1" t="s">
        <v>7</v>
      </c>
    </row>
    <row r="182" spans="1:5" x14ac:dyDescent="0.35">
      <c r="A182" s="1">
        <v>13</v>
      </c>
      <c r="B182" s="4" t="str">
        <f>HYPERLINK("https://doi.org/10.1177/0363546516634021","Grunau (2016)")</f>
        <v>Grunau (2016)</v>
      </c>
      <c r="C182" t="s">
        <v>1361</v>
      </c>
      <c r="D182" t="s">
        <v>1362</v>
      </c>
      <c r="E182" s="1" t="s">
        <v>4</v>
      </c>
    </row>
    <row r="183" spans="1:5" x14ac:dyDescent="0.35">
      <c r="A183" s="1">
        <v>38</v>
      </c>
      <c r="B183" s="4" t="str">
        <f>HYPERLINK("https://doi.org/10.1007/s001670000143","Mikkelsen (2000)")</f>
        <v>Mikkelsen (2000)</v>
      </c>
      <c r="C183" t="s">
        <v>3463</v>
      </c>
      <c r="D183" t="s">
        <v>3464</v>
      </c>
      <c r="E183" s="1" t="s">
        <v>4</v>
      </c>
    </row>
    <row r="184" spans="1:5" x14ac:dyDescent="0.35">
      <c r="A184" s="1">
        <v>15</v>
      </c>
      <c r="B184" s="4" t="str">
        <f>HYPERLINK("https://doi.org/10.1016/j.jajs.2017.08.003","Gupta (2017)")</f>
        <v>Gupta (2017)</v>
      </c>
      <c r="C184" t="s">
        <v>1375</v>
      </c>
      <c r="D184" t="s">
        <v>1376</v>
      </c>
      <c r="E184" s="1" t="s">
        <v>4</v>
      </c>
    </row>
    <row r="185" spans="1:5" x14ac:dyDescent="0.35">
      <c r="A185" s="1">
        <v>16</v>
      </c>
      <c r="B185" s="4" t="str">
        <f>HYPERLINK("https://doi.org/10.1016/j.arthro.2017.06.040","Gupta (2017)")</f>
        <v>Gupta (2017)</v>
      </c>
      <c r="C185" t="s">
        <v>1382</v>
      </c>
      <c r="D185" t="s">
        <v>1383</v>
      </c>
      <c r="E185" s="1" t="s">
        <v>4</v>
      </c>
    </row>
    <row r="186" spans="1:5" x14ac:dyDescent="0.35">
      <c r="A186" s="1">
        <v>39</v>
      </c>
      <c r="B186" s="4" t="str">
        <f>HYPERLINK("11973544")</f>
        <v>11973544</v>
      </c>
      <c r="C186" t="s">
        <v>60</v>
      </c>
      <c r="D186" t="s">
        <v>61</v>
      </c>
    </row>
    <row r="187" spans="1:5" x14ac:dyDescent="0.35">
      <c r="A187" s="1">
        <v>18</v>
      </c>
      <c r="B187" s="4" t="str">
        <f>HYPERLINK("https://doi.org/10.4103/jajs.jajs_66_24","Gupta (2025)")</f>
        <v>Gupta (2025)</v>
      </c>
      <c r="C187" t="s">
        <v>1396</v>
      </c>
      <c r="D187" t="s">
        <v>1397</v>
      </c>
      <c r="E187" s="1" t="s">
        <v>4</v>
      </c>
    </row>
    <row r="188" spans="1:5" x14ac:dyDescent="0.35">
      <c r="A188" s="1">
        <v>19</v>
      </c>
      <c r="B188" s="4" t="str">
        <f>HYPERLINK("https://doi.org/10.1007/s001130050567","Hackl (2000)")</f>
        <v>Hackl (2000)</v>
      </c>
      <c r="C188" t="s">
        <v>1404</v>
      </c>
      <c r="D188" t="s">
        <v>1405</v>
      </c>
      <c r="E188" s="1" t="s">
        <v>7</v>
      </c>
    </row>
    <row r="189" spans="1:5" x14ac:dyDescent="0.35">
      <c r="A189" s="1">
        <v>20</v>
      </c>
      <c r="B189" s="4" t="str">
        <f>HYPERLINK("https://doi.org/10.1177/0363546505284889","Halinen (2006)")</f>
        <v>Halinen (2006)</v>
      </c>
      <c r="C189" t="s">
        <v>1411</v>
      </c>
      <c r="D189" t="s">
        <v>1412</v>
      </c>
      <c r="E189" s="1" t="s">
        <v>4</v>
      </c>
    </row>
    <row r="190" spans="1:5" x14ac:dyDescent="0.35">
      <c r="A190" s="1">
        <v>21</v>
      </c>
      <c r="B190" s="4" t="str">
        <f>HYPERLINK("https://doi.org/10.1016/s0749-8063(01)90002-7","Hamada (2001)")</f>
        <v>Hamada (2001)</v>
      </c>
      <c r="C190" t="s">
        <v>1418</v>
      </c>
      <c r="D190" t="s">
        <v>1419</v>
      </c>
      <c r="E190" s="1" t="s">
        <v>7</v>
      </c>
    </row>
    <row r="191" spans="1:5" x14ac:dyDescent="0.35">
      <c r="A191" s="1">
        <v>39</v>
      </c>
      <c r="B191" s="4" t="str">
        <f>HYPERLINK("https://doi.org/10.1186/s12891-025-09183-w","Castellanos (2025)")</f>
        <v>Castellanos (2025)</v>
      </c>
      <c r="C191" t="s">
        <v>739</v>
      </c>
      <c r="D191" t="s">
        <v>740</v>
      </c>
      <c r="E191" s="1" t="s">
        <v>4</v>
      </c>
    </row>
    <row r="192" spans="1:5" x14ac:dyDescent="0.35">
      <c r="A192" s="1">
        <v>23</v>
      </c>
      <c r="B192" s="4" t="str">
        <f>HYPERLINK("https://doi.org/10.1007/s11999-007-0015-4","Han (2008)")</f>
        <v>Han (2008)</v>
      </c>
      <c r="C192" t="s">
        <v>1432</v>
      </c>
      <c r="D192" t="s">
        <v>1433</v>
      </c>
      <c r="E192" s="1" t="s">
        <v>4</v>
      </c>
    </row>
    <row r="193" spans="1:5" x14ac:dyDescent="0.35">
      <c r="A193" s="1">
        <v>39</v>
      </c>
      <c r="B193" s="4" t="str">
        <f>HYPERLINK("https://www.embase.com/search/results?subaction=viewrecord&amp;id=LNCT04650568&amp;from=export")</f>
        <v>https://www.embase.com/search/results?subaction=viewrecord&amp;id=LNCT04650568&amp;from=export</v>
      </c>
      <c r="C193" t="s">
        <v>2186</v>
      </c>
      <c r="D193" t="s">
        <v>2187</v>
      </c>
    </row>
    <row r="194" spans="1:5" x14ac:dyDescent="0.35">
      <c r="A194" s="1">
        <v>25</v>
      </c>
      <c r="B194" s="4" t="str">
        <f>HYPERLINK("https://doi.org/10.1007/s00167-006-0059-0","Harilainen (2006)")</f>
        <v>Harilainen (2006)</v>
      </c>
      <c r="C194" t="s">
        <v>1446</v>
      </c>
      <c r="D194" t="s">
        <v>1447</v>
      </c>
      <c r="E194" s="1" t="s">
        <v>4</v>
      </c>
    </row>
    <row r="195" spans="1:5" x14ac:dyDescent="0.35">
      <c r="A195" s="1">
        <v>27</v>
      </c>
      <c r="B195" s="4" t="str">
        <f>HYPERLINK("https://doi.org/10.1111/j.1600-0838.2004.00435.x","Harilainen (2006)")</f>
        <v>Harilainen (2006)</v>
      </c>
      <c r="C195" t="s">
        <v>1453</v>
      </c>
      <c r="D195" t="s">
        <v>1454</v>
      </c>
      <c r="E195" s="1" t="s">
        <v>4</v>
      </c>
    </row>
    <row r="196" spans="1:5" x14ac:dyDescent="0.35">
      <c r="A196" s="1">
        <v>28</v>
      </c>
      <c r="B196" s="4" t="str">
        <f>HYPERLINK("https://doi.org/10.1007/s00167-018-5040-1","Harput (2019)")</f>
        <v>Harput (2019)</v>
      </c>
      <c r="C196" t="s">
        <v>1459</v>
      </c>
      <c r="D196" t="s">
        <v>1460</v>
      </c>
      <c r="E196" s="1" t="s">
        <v>4</v>
      </c>
    </row>
    <row r="197" spans="1:5" x14ac:dyDescent="0.35">
      <c r="A197" s="1">
        <v>40</v>
      </c>
      <c r="B197" s="4" t="str">
        <f>HYPERLINK("https://www.embase.com/search/results?subaction=viewrecord&amp;id=LNCT04677218&amp;from=export")</f>
        <v>https://www.embase.com/search/results?subaction=viewrecord&amp;id=LNCT04677218&amp;from=export</v>
      </c>
      <c r="C197" t="s">
        <v>2194</v>
      </c>
      <c r="D197" t="s">
        <v>2195</v>
      </c>
    </row>
    <row r="198" spans="1:5" x14ac:dyDescent="0.35">
      <c r="A198" s="1">
        <v>30</v>
      </c>
      <c r="B198" s="4" t="str">
        <f>HYPERLINK("https://doi.org/10.1016/j.jisako.2022.12.001","Heard (2023)")</f>
        <v>Heard (2023)</v>
      </c>
      <c r="C198" t="s">
        <v>1473</v>
      </c>
      <c r="D198" t="s">
        <v>1474</v>
      </c>
      <c r="E198" s="1" t="s">
        <v>4</v>
      </c>
    </row>
    <row r="199" spans="1:5" x14ac:dyDescent="0.35">
      <c r="A199" s="1">
        <v>31</v>
      </c>
      <c r="B199" s="4" t="str">
        <f>HYPERLINK("https://doi.org/10.7860/JCDR/2014/8834.4237","Hegde (2014)")</f>
        <v>Hegde (2014)</v>
      </c>
      <c r="C199" t="s">
        <v>1480</v>
      </c>
      <c r="D199" t="s">
        <v>1481</v>
      </c>
      <c r="E199" s="1" t="s">
        <v>4</v>
      </c>
    </row>
    <row r="200" spans="1:5" x14ac:dyDescent="0.35">
      <c r="A200" s="1">
        <v>32</v>
      </c>
      <c r="B200" s="4" t="str">
        <f>HYPERLINK("https://doi.org/10.1007/s00167-006-0246-z","Heijne (2007)")</f>
        <v>Heijne (2007)</v>
      </c>
      <c r="C200" t="s">
        <v>1488</v>
      </c>
      <c r="D200" t="s">
        <v>1489</v>
      </c>
      <c r="E200" s="1" t="s">
        <v>4</v>
      </c>
    </row>
    <row r="201" spans="1:5" x14ac:dyDescent="0.35">
      <c r="A201" s="1">
        <v>33</v>
      </c>
      <c r="B201" s="4" t="str">
        <f>HYPERLINK("https://doi.org/10.1007/s00064-013-0263-2","Heitmann (2014)")</f>
        <v>Heitmann (2014)</v>
      </c>
      <c r="C201" t="s">
        <v>1495</v>
      </c>
      <c r="D201" t="s">
        <v>1496</v>
      </c>
      <c r="E201" s="1" t="s">
        <v>7</v>
      </c>
    </row>
    <row r="202" spans="1:5" x14ac:dyDescent="0.35">
      <c r="A202" s="1">
        <v>34</v>
      </c>
      <c r="B202" s="4" t="str">
        <f>HYPERLINK("https://doi.org/10.1007/s00402-024-05356-9","Helal (2024)")</f>
        <v>Helal (2024)</v>
      </c>
      <c r="C202" t="s">
        <v>1502</v>
      </c>
      <c r="D202" t="s">
        <v>1503</v>
      </c>
      <c r="E202" s="1" t="s">
        <v>15</v>
      </c>
    </row>
    <row r="203" spans="1:5" x14ac:dyDescent="0.35">
      <c r="A203" s="1">
        <v>35</v>
      </c>
      <c r="B203" s="4" t="str">
        <f>HYPERLINK("https://doi.org/10.1016/j.arthro.2023.01.101","Helito (2023)")</f>
        <v>Helito (2023)</v>
      </c>
      <c r="C203" t="s">
        <v>1509</v>
      </c>
      <c r="D203" t="s">
        <v>1510</v>
      </c>
      <c r="E203" s="1" t="s">
        <v>7</v>
      </c>
    </row>
    <row r="204" spans="1:5" x14ac:dyDescent="0.35">
      <c r="A204" s="1">
        <v>36</v>
      </c>
      <c r="B204" s="4" t="str">
        <f>HYPERLINK("https://doi.org/10.1034/j.1600-0838.2002.120203.x","Henriksson (2002)")</f>
        <v>Henriksson (2002)</v>
      </c>
      <c r="C204" t="s">
        <v>1516</v>
      </c>
      <c r="D204" t="s">
        <v>1517</v>
      </c>
      <c r="E204" s="1" t="s">
        <v>4</v>
      </c>
    </row>
    <row r="205" spans="1:5" x14ac:dyDescent="0.35">
      <c r="A205" s="1">
        <v>37</v>
      </c>
      <c r="B205" s="4" t="str">
        <f>HYPERLINK("https://doi.org/10.1177/03635465020300011801","Hess (2002)")</f>
        <v>Hess (2002)</v>
      </c>
      <c r="C205" t="s">
        <v>1523</v>
      </c>
      <c r="D205" t="s">
        <v>1524</v>
      </c>
      <c r="E205" s="1" t="s">
        <v>4</v>
      </c>
    </row>
    <row r="206" spans="1:5" x14ac:dyDescent="0.35">
      <c r="A206" s="1">
        <v>38</v>
      </c>
      <c r="B206" s="4" t="str">
        <f>HYPERLINK("https://doi.org/10.1177/0363546504268036","Hill (2005)")</f>
        <v>Hill (2005)</v>
      </c>
      <c r="C206" t="s">
        <v>1530</v>
      </c>
      <c r="D206" t="s">
        <v>1531</v>
      </c>
      <c r="E206" s="1" t="s">
        <v>4</v>
      </c>
    </row>
    <row r="207" spans="1:5" x14ac:dyDescent="0.35">
      <c r="A207" s="1">
        <v>40</v>
      </c>
      <c r="B207" s="4" t="str">
        <f>HYPERLINK("https://doi.org/10.1007/s00068-001-1089-4","Hofmann (2001)")</f>
        <v>Hofmann (2001)</v>
      </c>
      <c r="C207" t="s">
        <v>1536</v>
      </c>
      <c r="D207" t="s">
        <v>1537</v>
      </c>
      <c r="E207" s="1" t="s">
        <v>4</v>
      </c>
    </row>
    <row r="208" spans="1:5" x14ac:dyDescent="0.35">
      <c r="A208" s="1">
        <v>41</v>
      </c>
      <c r="B208" s="4" t="str">
        <f>HYPERLINK("https://doi.org/10.1177/0363546509350301","Holm (2010)")</f>
        <v>Holm (2010)</v>
      </c>
      <c r="C208" t="s">
        <v>1543</v>
      </c>
      <c r="D208" t="s">
        <v>1544</v>
      </c>
      <c r="E208" s="1" t="s">
        <v>4</v>
      </c>
    </row>
    <row r="209" spans="1:5" x14ac:dyDescent="0.35">
      <c r="A209" s="1">
        <v>42</v>
      </c>
      <c r="B209" s="4" t="str">
        <f>HYPERLINK("https://doi.org/10.1177/0363546519825878","Hoogeslag (2019)")</f>
        <v>Hoogeslag (2019)</v>
      </c>
      <c r="C209" t="s">
        <v>1550</v>
      </c>
      <c r="D209" t="s">
        <v>1551</v>
      </c>
      <c r="E209" s="1" t="s">
        <v>4</v>
      </c>
    </row>
    <row r="210" spans="1:5" x14ac:dyDescent="0.35">
      <c r="A210" s="1">
        <v>41</v>
      </c>
      <c r="B210" s="4" t="str">
        <f>HYPERLINK("https://www.embase.com/search/results?subaction=viewrecord&amp;id=LNCT04677218&amp;from=export")</f>
        <v>https://www.embase.com/search/results?subaction=viewrecord&amp;id=LNCT04677218&amp;from=export</v>
      </c>
      <c r="C210" t="s">
        <v>2200</v>
      </c>
      <c r="D210" t="s">
        <v>2201</v>
      </c>
    </row>
    <row r="211" spans="1:5" x14ac:dyDescent="0.35">
      <c r="A211" s="1">
        <v>44</v>
      </c>
      <c r="B211" s="4" t="str">
        <f>HYPERLINK("https://doi.org/10.1007/s00402-021-03862-8","Horstmann (2022)")</f>
        <v>Horstmann (2022)</v>
      </c>
      <c r="C211" t="s">
        <v>1564</v>
      </c>
      <c r="D211" t="s">
        <v>1565</v>
      </c>
      <c r="E211" s="1" t="s">
        <v>4</v>
      </c>
    </row>
    <row r="212" spans="1:5" x14ac:dyDescent="0.35">
      <c r="A212" s="1">
        <v>41</v>
      </c>
      <c r="B212" s="4" t="str">
        <f>HYPERLINK("https://doi.org/10.1177/0363546507299238","Kostogiannis (2007)")</f>
        <v>Kostogiannis (2007)</v>
      </c>
      <c r="C212" t="s">
        <v>3030</v>
      </c>
      <c r="D212" t="s">
        <v>3031</v>
      </c>
      <c r="E212" s="1" t="s">
        <v>7</v>
      </c>
    </row>
    <row r="213" spans="1:5" x14ac:dyDescent="0.35">
      <c r="A213" s="1">
        <v>42</v>
      </c>
      <c r="B213" s="4" t="str">
        <f>HYPERLINK("https://www.embase.com/search/results?subaction=viewrecord&amp;id=LNCT04753424&amp;from=export")</f>
        <v>https://www.embase.com/search/results?subaction=viewrecord&amp;id=LNCT04753424&amp;from=export</v>
      </c>
      <c r="C213" t="s">
        <v>2207</v>
      </c>
      <c r="D213" t="s">
        <v>2208</v>
      </c>
    </row>
    <row r="214" spans="1:5" x14ac:dyDescent="0.35">
      <c r="A214" s="1">
        <v>42</v>
      </c>
      <c r="B214" s="4" t="str">
        <f>HYPERLINK("https://doi.org/10.1177/23259671221116340","Zhang (2022)")</f>
        <v>Zhang (2022)</v>
      </c>
      <c r="C214" t="s">
        <v>4077</v>
      </c>
      <c r="D214" t="s">
        <v>4078</v>
      </c>
      <c r="E214" s="1" t="s">
        <v>4</v>
      </c>
    </row>
    <row r="215" spans="1:5" x14ac:dyDescent="0.35">
      <c r="A215" s="1">
        <v>43</v>
      </c>
      <c r="B215" s="5" t="str">
        <f>HYPERLINK("https://doi.org/10.1177/03635465221090527","Hoogeslag (2022)")</f>
        <v>Hoogeslag (2022)</v>
      </c>
      <c r="C215" t="s">
        <v>1557</v>
      </c>
      <c r="D215" t="s">
        <v>1558</v>
      </c>
      <c r="E215" s="1" t="s">
        <v>7</v>
      </c>
    </row>
    <row r="216" spans="1:5" x14ac:dyDescent="0.35">
      <c r="A216" s="1">
        <v>43</v>
      </c>
      <c r="B216" s="4" t="str">
        <f>HYPERLINK("https://www.embase.com/search/results?subaction=viewrecord&amp;id=LNCT04901559&amp;from=export")</f>
        <v>https://www.embase.com/search/results?subaction=viewrecord&amp;id=LNCT04901559&amp;from=export</v>
      </c>
      <c r="C216" t="s">
        <v>2214</v>
      </c>
      <c r="D216" t="s">
        <v>2215</v>
      </c>
    </row>
    <row r="217" spans="1:5" x14ac:dyDescent="0.35">
      <c r="A217" s="1">
        <v>45</v>
      </c>
      <c r="B217" s="4" t="str">
        <f>HYPERLINK("12148189")</f>
        <v>12148189</v>
      </c>
      <c r="C217" t="s">
        <v>68</v>
      </c>
      <c r="D217" t="s">
        <v>69</v>
      </c>
    </row>
    <row r="218" spans="1:5" x14ac:dyDescent="0.35">
      <c r="A218" s="1">
        <v>45</v>
      </c>
      <c r="B218" s="4" t="str">
        <f>HYPERLINK("https://www.embase.com/search/results?subaction=viewrecord&amp;id=LNCT04901559&amp;from=export")</f>
        <v>https://www.embase.com/search/results?subaction=viewrecord&amp;id=LNCT04901559&amp;from=export</v>
      </c>
      <c r="C218" t="s">
        <v>2222</v>
      </c>
      <c r="D218" t="s">
        <v>2223</v>
      </c>
    </row>
    <row r="219" spans="1:5" x14ac:dyDescent="0.35">
      <c r="A219" s="1">
        <v>46</v>
      </c>
      <c r="B219" s="4" t="str">
        <f>HYPERLINK("https://www.embase.com/search/results?subaction=viewrecord&amp;id=L126274565&amp;from=export")</f>
        <v>https://www.embase.com/search/results?subaction=viewrecord&amp;id=L126274565&amp;from=export</v>
      </c>
      <c r="C219" t="s">
        <v>1570</v>
      </c>
      <c r="D219" t="s">
        <v>1571</v>
      </c>
    </row>
    <row r="220" spans="1:5" x14ac:dyDescent="0.35">
      <c r="A220" s="1">
        <v>46</v>
      </c>
      <c r="B220" s="4" t="str">
        <f>HYPERLINK("https://doi.org/10.1177/0363546518795137","Lecoq (2018)")</f>
        <v>Lecoq (2018)</v>
      </c>
      <c r="C220" t="s">
        <v>3151</v>
      </c>
      <c r="D220" t="s">
        <v>3152</v>
      </c>
      <c r="E220" s="1" t="s">
        <v>7</v>
      </c>
    </row>
    <row r="221" spans="1:5" x14ac:dyDescent="0.35">
      <c r="A221" s="1">
        <v>47</v>
      </c>
      <c r="B221" s="4" t="str">
        <f>HYPERLINK("https://www.embase.com/search/results?subaction=viewrecord&amp;id=L127191273&amp;from=export")</f>
        <v>https://www.embase.com/search/results?subaction=viewrecord&amp;id=L127191273&amp;from=export</v>
      </c>
      <c r="C221" t="s">
        <v>1577</v>
      </c>
      <c r="D221" t="s">
        <v>1578</v>
      </c>
    </row>
    <row r="222" spans="1:5" x14ac:dyDescent="0.35">
      <c r="A222" s="1">
        <v>47</v>
      </c>
      <c r="B222" s="4" t="str">
        <f>HYPERLINK("https://www.embase.com/search/results?subaction=viewrecord&amp;id=LNCT04901559&amp;from=export")</f>
        <v>https://www.embase.com/search/results?subaction=viewrecord&amp;id=LNCT04901559&amp;from=export</v>
      </c>
      <c r="C222" t="s">
        <v>2229</v>
      </c>
      <c r="D222" t="s">
        <v>2230</v>
      </c>
    </row>
    <row r="223" spans="1:5" x14ac:dyDescent="0.35">
      <c r="A223" s="1">
        <v>48</v>
      </c>
      <c r="B223" s="4" t="str">
        <f>HYPERLINK("13679741")</f>
        <v>13679741</v>
      </c>
      <c r="C223" t="s">
        <v>76</v>
      </c>
      <c r="D223" t="s">
        <v>77</v>
      </c>
    </row>
    <row r="224" spans="1:5" x14ac:dyDescent="0.35">
      <c r="A224" s="1">
        <v>48</v>
      </c>
      <c r="B224" s="4" t="str">
        <f>HYPERLINK("https://www.embase.com/search/results?subaction=viewrecord&amp;id=LNCT04906538&amp;from=export")</f>
        <v>https://www.embase.com/search/results?subaction=viewrecord&amp;id=LNCT04906538&amp;from=export</v>
      </c>
      <c r="C224" t="s">
        <v>2236</v>
      </c>
      <c r="D224" t="s">
        <v>2237</v>
      </c>
    </row>
    <row r="225" spans="1:5" x14ac:dyDescent="0.35">
      <c r="A225" s="1">
        <v>48</v>
      </c>
      <c r="B225" s="4" t="str">
        <f>HYPERLINK("https://doi.org/10.1007/s00421-021-04812-3","Minshull (2021)")</f>
        <v>Minshull (2021)</v>
      </c>
      <c r="C225" t="s">
        <v>3471</v>
      </c>
      <c r="D225" t="s">
        <v>3472</v>
      </c>
      <c r="E225" s="1" t="s">
        <v>7</v>
      </c>
    </row>
    <row r="226" spans="1:5" x14ac:dyDescent="0.35">
      <c r="A226" s="1">
        <v>49</v>
      </c>
      <c r="B226" s="4" t="str">
        <f>HYPERLINK("15174545")</f>
        <v>15174545</v>
      </c>
      <c r="C226" t="s">
        <v>83</v>
      </c>
      <c r="D226" t="s">
        <v>84</v>
      </c>
    </row>
    <row r="227" spans="1:5" x14ac:dyDescent="0.35">
      <c r="A227" s="1">
        <v>50</v>
      </c>
      <c r="B227" s="4" t="str">
        <f>HYPERLINK("https://doi.org/10.4085/1062-6050-49.3.95","Christensen (2015)")</f>
        <v>Christensen (2015)</v>
      </c>
      <c r="C227" t="s">
        <v>843</v>
      </c>
      <c r="D227" t="s">
        <v>844</v>
      </c>
      <c r="E227" s="1" t="s">
        <v>7</v>
      </c>
    </row>
    <row r="228" spans="1:5" x14ac:dyDescent="0.35">
      <c r="A228" s="1">
        <v>50</v>
      </c>
      <c r="B228" s="4" t="str">
        <f>HYPERLINK("https://www.embase.com/search/results?subaction=viewrecord&amp;id=L127257411&amp;from=export")</f>
        <v>https://www.embase.com/search/results?subaction=viewrecord&amp;id=L127257411&amp;from=export</v>
      </c>
      <c r="C228" t="s">
        <v>1584</v>
      </c>
      <c r="D228" t="s">
        <v>1585</v>
      </c>
    </row>
    <row r="229" spans="1:5" x14ac:dyDescent="0.35">
      <c r="A229" s="1">
        <v>50</v>
      </c>
      <c r="B229" s="4" t="str">
        <f>HYPERLINK("https://www.embase.com/search/results?subaction=viewrecord&amp;id=LNCT04940169&amp;from=export")</f>
        <v>https://www.embase.com/search/results?subaction=viewrecord&amp;id=LNCT04940169&amp;from=export</v>
      </c>
      <c r="C229" t="s">
        <v>2244</v>
      </c>
      <c r="D229" t="s">
        <v>2245</v>
      </c>
    </row>
    <row r="230" spans="1:5" x14ac:dyDescent="0.35">
      <c r="A230" s="1">
        <v>51</v>
      </c>
      <c r="B230" s="4" t="str">
        <f>HYPERLINK("15466722")</f>
        <v>15466722</v>
      </c>
      <c r="C230" t="s">
        <v>91</v>
      </c>
      <c r="D230" t="s">
        <v>92</v>
      </c>
    </row>
    <row r="231" spans="1:5" x14ac:dyDescent="0.35">
      <c r="A231" s="1">
        <v>51</v>
      </c>
      <c r="B231" s="4" t="str">
        <f>HYPERLINK("https://doi.org/10.1177/23259671231210035","Anz (2023)")</f>
        <v>Anz (2023)</v>
      </c>
      <c r="C231" t="s">
        <v>370</v>
      </c>
      <c r="D231" t="s">
        <v>371</v>
      </c>
      <c r="E231" s="1" t="s">
        <v>7</v>
      </c>
    </row>
    <row r="232" spans="1:5" x14ac:dyDescent="0.35">
      <c r="A232" s="1">
        <v>52</v>
      </c>
      <c r="B232" s="4" t="str">
        <f>HYPERLINK("https://www.embase.com/search/results?subaction=viewrecord&amp;id=L128212690&amp;from=export")</f>
        <v>https://www.embase.com/search/results?subaction=viewrecord&amp;id=L128212690&amp;from=export</v>
      </c>
      <c r="C232" t="s">
        <v>1591</v>
      </c>
      <c r="D232" t="s">
        <v>1592</v>
      </c>
    </row>
    <row r="233" spans="1:5" x14ac:dyDescent="0.35">
      <c r="A233" s="1">
        <v>52</v>
      </c>
      <c r="B233" s="4" t="str">
        <f>HYPERLINK("https://www.embase.com/search/results?subaction=viewrecord&amp;id=LNCT04940169&amp;from=export")</f>
        <v>https://www.embase.com/search/results?subaction=viewrecord&amp;id=LNCT04940169&amp;from=export</v>
      </c>
      <c r="C233" t="s">
        <v>2252</v>
      </c>
      <c r="D233" t="s">
        <v>2253</v>
      </c>
    </row>
    <row r="234" spans="1:5" x14ac:dyDescent="0.35">
      <c r="A234" s="1">
        <v>53</v>
      </c>
      <c r="B234" s="4" t="str">
        <f>HYPERLINK("https://www.embase.com/search/results?subaction=viewrecord&amp;id=L128262800&amp;from=export")</f>
        <v>https://www.embase.com/search/results?subaction=viewrecord&amp;id=L128262800&amp;from=export</v>
      </c>
      <c r="C234" t="s">
        <v>1598</v>
      </c>
      <c r="D234" t="s">
        <v>1599</v>
      </c>
    </row>
    <row r="235" spans="1:5" x14ac:dyDescent="0.35">
      <c r="A235" s="1">
        <v>53</v>
      </c>
      <c r="B235" s="4" t="str">
        <f>HYPERLINK("https://www.embase.com/search/results?subaction=viewrecord&amp;id=LNCT04951531&amp;from=export")</f>
        <v>https://www.embase.com/search/results?subaction=viewrecord&amp;id=LNCT04951531&amp;from=export</v>
      </c>
      <c r="C235" t="s">
        <v>2260</v>
      </c>
      <c r="D235" t="s">
        <v>2261</v>
      </c>
    </row>
    <row r="236" spans="1:5" x14ac:dyDescent="0.35">
      <c r="A236" s="1">
        <v>53</v>
      </c>
      <c r="B236" s="4" t="str">
        <f>HYPERLINK("https://doi.org/10.1177/2325967119827237","López-Vidriero (2019)")</f>
        <v>López-Vidriero (2019)</v>
      </c>
      <c r="C236" t="s">
        <v>3299</v>
      </c>
      <c r="D236" t="s">
        <v>3300</v>
      </c>
      <c r="E236" s="1" t="s">
        <v>7</v>
      </c>
    </row>
    <row r="237" spans="1:5" x14ac:dyDescent="0.35">
      <c r="A237" s="1">
        <v>54</v>
      </c>
      <c r="B237" s="4" t="str">
        <f>HYPERLINK("https://www.embase.com/search/results?subaction=viewrecord&amp;id=L129474280&amp;from=export")</f>
        <v>https://www.embase.com/search/results?subaction=viewrecord&amp;id=L129474280&amp;from=export</v>
      </c>
      <c r="C237" t="s">
        <v>1604</v>
      </c>
      <c r="D237" t="s">
        <v>1605</v>
      </c>
    </row>
    <row r="238" spans="1:5" x14ac:dyDescent="0.35">
      <c r="A238" s="1">
        <v>54</v>
      </c>
      <c r="B238" s="4" t="str">
        <f>HYPERLINK("https://www.embase.com/search/results?subaction=viewrecord&amp;id=LNCT04953676&amp;from=export")</f>
        <v>https://www.embase.com/search/results?subaction=viewrecord&amp;id=LNCT04953676&amp;from=export</v>
      </c>
      <c r="C238" t="s">
        <v>2267</v>
      </c>
      <c r="D238" t="s">
        <v>2268</v>
      </c>
    </row>
    <row r="239" spans="1:5" x14ac:dyDescent="0.35">
      <c r="A239" s="1">
        <v>55</v>
      </c>
      <c r="B239" s="4" t="str">
        <f>HYPERLINK("https://www.embase.com/search/results?subaction=viewrecord&amp;id=L2008563345&amp;from=export")</f>
        <v>https://www.embase.com/search/results?subaction=viewrecord&amp;id=L2008563345&amp;from=export</v>
      </c>
      <c r="C239" t="s">
        <v>1610</v>
      </c>
      <c r="D239" t="s">
        <v>1611</v>
      </c>
    </row>
    <row r="240" spans="1:5" x14ac:dyDescent="0.35">
      <c r="A240" s="1">
        <v>55</v>
      </c>
      <c r="B240" s="4" t="str">
        <f>HYPERLINK("https://doi.org/10.1016/j.arthro.2008.02.011","Myers (2008)")</f>
        <v>Myers (2008)</v>
      </c>
      <c r="C240" t="s">
        <v>3535</v>
      </c>
      <c r="D240" t="s">
        <v>3536</v>
      </c>
      <c r="E240" s="1" t="s">
        <v>4</v>
      </c>
    </row>
    <row r="241" spans="1:5" x14ac:dyDescent="0.35">
      <c r="A241" s="1">
        <v>56</v>
      </c>
      <c r="B241" s="4" t="str">
        <f>HYPERLINK("https://doi.org/10.1053/jars.2002.30637","Colombet (2002)")</f>
        <v>Colombet (2002)</v>
      </c>
      <c r="C241" t="s">
        <v>859</v>
      </c>
      <c r="D241" t="s">
        <v>860</v>
      </c>
      <c r="E241" s="1" t="s">
        <v>7</v>
      </c>
    </row>
    <row r="242" spans="1:5" x14ac:dyDescent="0.35">
      <c r="A242" s="1">
        <v>56</v>
      </c>
      <c r="B242" s="4" t="str">
        <f>HYPERLINK("https://www.embase.com/search/results?subaction=viewrecord&amp;id=L2017379457&amp;from=export")</f>
        <v>https://www.embase.com/search/results?subaction=viewrecord&amp;id=L2017379457&amp;from=export</v>
      </c>
      <c r="C242" t="s">
        <v>1617</v>
      </c>
      <c r="D242" t="s">
        <v>1618</v>
      </c>
    </row>
    <row r="243" spans="1:5" x14ac:dyDescent="0.35">
      <c r="A243" s="1">
        <v>57</v>
      </c>
      <c r="B243" s="4" t="str">
        <f>HYPERLINK("https://www.embase.com/search/results?subaction=viewrecord&amp;id=L2023822448&amp;from=export")</f>
        <v>https://www.embase.com/search/results?subaction=viewrecord&amp;id=L2023822448&amp;from=export</v>
      </c>
      <c r="C243" t="s">
        <v>1624</v>
      </c>
      <c r="D243" t="s">
        <v>1625</v>
      </c>
    </row>
    <row r="244" spans="1:5" x14ac:dyDescent="0.35">
      <c r="A244" s="1">
        <v>57</v>
      </c>
      <c r="B244" s="4" t="str">
        <f>HYPERLINK("https://www.embase.com/search/results?subaction=viewrecord&amp;id=LNCT05088278&amp;from=export")</f>
        <v>https://www.embase.com/search/results?subaction=viewrecord&amp;id=LNCT05088278&amp;from=export</v>
      </c>
      <c r="C244" t="s">
        <v>2274</v>
      </c>
      <c r="D244" t="s">
        <v>2275</v>
      </c>
    </row>
    <row r="245" spans="1:5" x14ac:dyDescent="0.35">
      <c r="A245" s="1">
        <v>57</v>
      </c>
      <c r="B245" s="4" t="str">
        <f>HYPERLINK("https://doi.org/10.1177/23259671241302348","Lucidi (2025)")</f>
        <v>Lucidi (2025)</v>
      </c>
      <c r="C245" t="s">
        <v>3307</v>
      </c>
      <c r="D245" t="s">
        <v>3308</v>
      </c>
      <c r="E245" s="1" t="s">
        <v>7</v>
      </c>
    </row>
    <row r="246" spans="1:5" x14ac:dyDescent="0.35">
      <c r="A246" s="1">
        <v>58</v>
      </c>
      <c r="B246" s="5" t="str">
        <f>HYPERLINK("https://www.embase.com/search/results?subaction=viewrecord&amp;id=L2039490534&amp;from=export")</f>
        <v>https://www.embase.com/search/results?subaction=viewrecord&amp;id=L2039490534&amp;from=export</v>
      </c>
      <c r="C246" t="s">
        <v>1630</v>
      </c>
      <c r="D246" t="s">
        <v>1631</v>
      </c>
    </row>
    <row r="247" spans="1:5" x14ac:dyDescent="0.35">
      <c r="A247" s="1">
        <v>58</v>
      </c>
      <c r="B247" s="4" t="str">
        <f>HYPERLINK("https://www.embase.com/search/results?subaction=viewrecord&amp;id=LNCT05180123&amp;from=export")</f>
        <v>https://www.embase.com/search/results?subaction=viewrecord&amp;id=LNCT05180123&amp;from=export</v>
      </c>
      <c r="C247" t="s">
        <v>2281</v>
      </c>
      <c r="D247" t="s">
        <v>2282</v>
      </c>
    </row>
    <row r="248" spans="1:5" x14ac:dyDescent="0.35">
      <c r="A248" s="1">
        <v>59</v>
      </c>
      <c r="B248" s="4" t="str">
        <f>HYPERLINK("https://www.embase.com/search/results?subaction=viewrecord&amp;id=L2039492805&amp;from=export")</f>
        <v>https://www.embase.com/search/results?subaction=viewrecord&amp;id=L2039492805&amp;from=export</v>
      </c>
      <c r="C248" t="s">
        <v>1637</v>
      </c>
      <c r="D248" t="s">
        <v>1638</v>
      </c>
    </row>
    <row r="249" spans="1:5" x14ac:dyDescent="0.35">
      <c r="A249" s="1">
        <v>59</v>
      </c>
      <c r="B249" s="4" t="str">
        <f>HYPERLINK("https://www.embase.com/search/results?subaction=viewrecord&amp;id=LNCT05184023&amp;from=export")</f>
        <v>https://www.embase.com/search/results?subaction=viewrecord&amp;id=LNCT05184023&amp;from=export</v>
      </c>
      <c r="C249" t="s">
        <v>2289</v>
      </c>
      <c r="D249" t="s">
        <v>2290</v>
      </c>
    </row>
    <row r="250" spans="1:5" x14ac:dyDescent="0.35">
      <c r="A250" s="1">
        <v>60</v>
      </c>
      <c r="B250" s="4" t="str">
        <f>HYPERLINK("https://www.embase.com/search/results?subaction=viewrecord&amp;id=L24092602&amp;from=export")</f>
        <v>https://www.embase.com/search/results?subaction=viewrecord&amp;id=L24092602&amp;from=export</v>
      </c>
      <c r="C250" t="s">
        <v>1644</v>
      </c>
      <c r="D250" t="s">
        <v>1645</v>
      </c>
    </row>
    <row r="251" spans="1:5" x14ac:dyDescent="0.35">
      <c r="A251" s="1">
        <v>60</v>
      </c>
      <c r="B251" s="4" t="str">
        <f>HYPERLINK("https://www.embase.com/search/results?subaction=viewrecord&amp;id=LNCT05270551&amp;from=export")</f>
        <v>https://www.embase.com/search/results?subaction=viewrecord&amp;id=LNCT05270551&amp;from=export</v>
      </c>
      <c r="C251" t="s">
        <v>2296</v>
      </c>
      <c r="D251" t="s">
        <v>2297</v>
      </c>
    </row>
    <row r="252" spans="1:5" x14ac:dyDescent="0.35">
      <c r="A252" s="1">
        <v>61</v>
      </c>
      <c r="B252" s="4" t="str">
        <f>HYPERLINK("https://doi.org/10.1177/036354659602400610","Arciero (1996)")</f>
        <v>Arciero (1996)</v>
      </c>
      <c r="C252" t="s">
        <v>384</v>
      </c>
      <c r="D252" t="s">
        <v>385</v>
      </c>
      <c r="E252" s="1" t="s">
        <v>7</v>
      </c>
    </row>
    <row r="253" spans="1:5" x14ac:dyDescent="0.35">
      <c r="A253" s="1">
        <v>61</v>
      </c>
      <c r="B253" s="4" t="str">
        <f>HYPERLINK("https://www.embase.com/search/results?subaction=viewrecord&amp;id=L25093144&amp;from=export")</f>
        <v>https://www.embase.com/search/results?subaction=viewrecord&amp;id=L25093144&amp;from=export</v>
      </c>
      <c r="C253" t="s">
        <v>1651</v>
      </c>
      <c r="D253" t="s">
        <v>1652</v>
      </c>
    </row>
    <row r="254" spans="1:5" x14ac:dyDescent="0.35">
      <c r="A254" s="1">
        <v>61</v>
      </c>
      <c r="B254" s="4" t="str">
        <f>HYPERLINK("https://doi.org/10.1177/23259671221138103","Shelbourne (2022)")</f>
        <v>Shelbourne (2022)</v>
      </c>
      <c r="C254" t="s">
        <v>3463</v>
      </c>
      <c r="D254" t="s">
        <v>3464</v>
      </c>
      <c r="E254" s="1" t="s">
        <v>4</v>
      </c>
    </row>
    <row r="255" spans="1:5" x14ac:dyDescent="0.35">
      <c r="A255" s="1">
        <v>61</v>
      </c>
      <c r="B255" s="4" t="str">
        <f>HYPERLINK("https://doi.org/10.3969/j.issn.2095-4344.2016.15.009","Tu (2016)")</f>
        <v>Tu (2016)</v>
      </c>
      <c r="C255" t="s">
        <v>3841</v>
      </c>
      <c r="D255" t="s">
        <v>3842</v>
      </c>
      <c r="E255" s="1" t="s">
        <v>4</v>
      </c>
    </row>
    <row r="256" spans="1:5" x14ac:dyDescent="0.35">
      <c r="A256" s="1">
        <v>62</v>
      </c>
      <c r="B256" s="4" t="str">
        <f>HYPERLINK("https://www.embase.com/search/results?subaction=viewrecord&amp;id=LNCT05270551&amp;from=export")</f>
        <v>https://www.embase.com/search/results?subaction=viewrecord&amp;id=LNCT05270551&amp;from=export</v>
      </c>
      <c r="C256" t="s">
        <v>2303</v>
      </c>
      <c r="D256" t="s">
        <v>2304</v>
      </c>
    </row>
    <row r="257" spans="1:5" x14ac:dyDescent="0.35">
      <c r="A257" s="1">
        <v>62</v>
      </c>
      <c r="B257" s="4" t="str">
        <f>HYPERLINK("https://doi.org/10.1302/0301-620X.84B3.12400","Nau (2002)")</f>
        <v>Nau (2002)</v>
      </c>
      <c r="C257" t="s">
        <v>3539</v>
      </c>
      <c r="D257" t="s">
        <v>3540</v>
      </c>
      <c r="E257" s="1" t="s">
        <v>4</v>
      </c>
    </row>
    <row r="258" spans="1:5" x14ac:dyDescent="0.35">
      <c r="A258" s="1">
        <v>62</v>
      </c>
      <c r="B258" s="4" t="str">
        <f>HYPERLINK("https://doi.org/10.3969/j.issn.2095-4344.2015.29.010","Wang (2015)")</f>
        <v>Wang (2015)</v>
      </c>
      <c r="C258" t="s">
        <v>3925</v>
      </c>
      <c r="D258" t="s">
        <v>3926</v>
      </c>
      <c r="E258" s="1" t="s">
        <v>4</v>
      </c>
    </row>
    <row r="259" spans="1:5" x14ac:dyDescent="0.35">
      <c r="A259" s="1">
        <v>63</v>
      </c>
      <c r="B259" s="4" t="str">
        <f>HYPERLINK("https://www.embase.com/search/results?subaction=viewrecord&amp;id=L25159707&amp;from=export")</f>
        <v>https://www.embase.com/search/results?subaction=viewrecord&amp;id=L25159707&amp;from=export</v>
      </c>
      <c r="C259" t="s">
        <v>1657</v>
      </c>
      <c r="D259" t="s">
        <v>1658</v>
      </c>
    </row>
    <row r="260" spans="1:5" x14ac:dyDescent="0.35">
      <c r="A260" s="1">
        <v>64</v>
      </c>
      <c r="B260" s="4" t="str">
        <f>HYPERLINK("https://www.embase.com/search/results?subaction=viewrecord&amp;id=L33421621&amp;from=export")</f>
        <v>https://www.embase.com/search/results?subaction=viewrecord&amp;id=L33421621&amp;from=export</v>
      </c>
      <c r="C260" t="s">
        <v>1664</v>
      </c>
      <c r="D260" t="s">
        <v>1665</v>
      </c>
    </row>
    <row r="261" spans="1:5" x14ac:dyDescent="0.35">
      <c r="A261" s="1">
        <v>64</v>
      </c>
      <c r="B261" s="4" t="str">
        <f>HYPERLINK("https://www.embase.com/search/results?subaction=viewrecord&amp;id=LNCT05342441&amp;from=export")</f>
        <v>https://www.embase.com/search/results?subaction=viewrecord&amp;id=LNCT05342441&amp;from=export</v>
      </c>
      <c r="C261" t="s">
        <v>2310</v>
      </c>
      <c r="D261" t="s">
        <v>2311</v>
      </c>
    </row>
    <row r="262" spans="1:5" x14ac:dyDescent="0.35">
      <c r="A262" s="1">
        <v>65</v>
      </c>
      <c r="B262" s="4" t="str">
        <f>HYPERLINK("https://www.embase.com/search/results?subaction=viewrecord&amp;id=L33452408&amp;from=export")</f>
        <v>https://www.embase.com/search/results?subaction=viewrecord&amp;id=L33452408&amp;from=export</v>
      </c>
      <c r="C262" t="s">
        <v>1672</v>
      </c>
      <c r="D262" t="s">
        <v>1673</v>
      </c>
    </row>
    <row r="263" spans="1:5" x14ac:dyDescent="0.35">
      <c r="A263" s="1">
        <v>65</v>
      </c>
      <c r="B263" s="4" t="str">
        <f>HYPERLINK("https://www.embase.com/search/results?subaction=viewrecord&amp;id=LNCT05342441&amp;from=export")</f>
        <v>https://www.embase.com/search/results?subaction=viewrecord&amp;id=LNCT05342441&amp;from=export</v>
      </c>
      <c r="C263" t="s">
        <v>2316</v>
      </c>
      <c r="D263" t="s">
        <v>2317</v>
      </c>
    </row>
    <row r="264" spans="1:5" x14ac:dyDescent="0.35">
      <c r="A264" s="1">
        <v>66</v>
      </c>
      <c r="B264" s="4" t="str">
        <f>HYPERLINK("https://www.embase.com/search/results?subaction=viewrecord&amp;id=L33458262&amp;from=export")</f>
        <v>https://www.embase.com/search/results?subaction=viewrecord&amp;id=L33458262&amp;from=export</v>
      </c>
      <c r="C264" t="s">
        <v>1679</v>
      </c>
      <c r="D264" t="s">
        <v>1680</v>
      </c>
    </row>
    <row r="265" spans="1:5" x14ac:dyDescent="0.35">
      <c r="A265" s="1">
        <v>66</v>
      </c>
      <c r="B265" s="4" t="str">
        <f>HYPERLINK("https://www.embase.com/search/results?subaction=viewrecord&amp;id=LNCT05342441&amp;from=export")</f>
        <v>https://www.embase.com/search/results?subaction=viewrecord&amp;id=LNCT05342441&amp;from=export</v>
      </c>
      <c r="C265" t="s">
        <v>2323</v>
      </c>
      <c r="D265" t="s">
        <v>2324</v>
      </c>
    </row>
    <row r="266" spans="1:5" x14ac:dyDescent="0.35">
      <c r="A266" s="1">
        <v>66</v>
      </c>
      <c r="B266" s="4" t="str">
        <f>HYPERLINK("https://doi.org/10.59218/makrjms.2024.3.254.259","Siddique (2024)")</f>
        <v>Siddique (2024)</v>
      </c>
      <c r="C266" t="s">
        <v>3593</v>
      </c>
      <c r="D266" t="s">
        <v>3594</v>
      </c>
      <c r="E266" s="1" t="s">
        <v>4</v>
      </c>
    </row>
    <row r="267" spans="1:5" x14ac:dyDescent="0.35">
      <c r="A267" s="1">
        <v>66</v>
      </c>
      <c r="B267" s="4" t="str">
        <f>HYPERLINK("https://doi.org/10.1111/j.1600-0838.2007.00697.x","Zaffagnini (2008)")</f>
        <v>Zaffagnini (2008)</v>
      </c>
      <c r="C267" t="s">
        <v>4037</v>
      </c>
      <c r="D267" t="s">
        <v>4038</v>
      </c>
      <c r="E267" s="1" t="s">
        <v>4</v>
      </c>
    </row>
    <row r="268" spans="1:5" x14ac:dyDescent="0.35">
      <c r="A268" s="1">
        <v>67</v>
      </c>
      <c r="B268" s="4" t="str">
        <f>HYPERLINK("15516013")</f>
        <v>15516013</v>
      </c>
      <c r="C268" t="s">
        <v>99</v>
      </c>
      <c r="D268" t="s">
        <v>100</v>
      </c>
    </row>
    <row r="269" spans="1:5" x14ac:dyDescent="0.35">
      <c r="A269" s="1">
        <v>67</v>
      </c>
      <c r="B269" s="4" t="str">
        <f>HYPERLINK("https://www.embase.com/search/results?subaction=viewrecord&amp;id=LNCT05426954&amp;from=export")</f>
        <v>https://www.embase.com/search/results?subaction=viewrecord&amp;id=LNCT05426954&amp;from=export</v>
      </c>
      <c r="C269" t="s">
        <v>2329</v>
      </c>
      <c r="D269" t="s">
        <v>2330</v>
      </c>
    </row>
    <row r="270" spans="1:5" x14ac:dyDescent="0.35">
      <c r="A270" s="1">
        <v>68</v>
      </c>
      <c r="B270" s="4" t="str">
        <f>HYPERLINK("https://www.embase.com/search/results?subaction=viewrecord&amp;id=L33540224&amp;from=export")</f>
        <v>https://www.embase.com/search/results?subaction=viewrecord&amp;id=L33540224&amp;from=export</v>
      </c>
      <c r="C270" t="s">
        <v>1686</v>
      </c>
      <c r="D270" t="s">
        <v>1687</v>
      </c>
    </row>
    <row r="271" spans="1:5" x14ac:dyDescent="0.35">
      <c r="A271" s="1">
        <v>68</v>
      </c>
      <c r="B271" s="4" t="str">
        <f>HYPERLINK("https://www.embase.com/search/results?subaction=viewrecord&amp;id=LNCT05461326&amp;from=export")</f>
        <v>https://www.embase.com/search/results?subaction=viewrecord&amp;id=LNCT05461326&amp;from=export</v>
      </c>
      <c r="C271" t="s">
        <v>2336</v>
      </c>
      <c r="D271" t="s">
        <v>2337</v>
      </c>
    </row>
    <row r="272" spans="1:5" x14ac:dyDescent="0.35">
      <c r="A272" s="1">
        <v>69</v>
      </c>
      <c r="B272" s="4" t="str">
        <f>HYPERLINK("https://www.embase.com/search/results?subaction=viewrecord&amp;id=L35615671&amp;from=export")</f>
        <v>https://www.embase.com/search/results?subaction=viewrecord&amp;id=L35615671&amp;from=export</v>
      </c>
      <c r="C272" t="s">
        <v>1692</v>
      </c>
      <c r="D272" t="s">
        <v>1693</v>
      </c>
    </row>
    <row r="273" spans="1:5" x14ac:dyDescent="0.35">
      <c r="A273" s="1">
        <v>69</v>
      </c>
      <c r="B273" s="4" t="str">
        <f>HYPERLINK("https://www.embase.com/search/results?subaction=viewrecord&amp;id=LNCT05461326&amp;from=export")</f>
        <v>https://www.embase.com/search/results?subaction=viewrecord&amp;id=LNCT05461326&amp;from=export</v>
      </c>
      <c r="C273" t="s">
        <v>2342</v>
      </c>
      <c r="D273" t="s">
        <v>2343</v>
      </c>
    </row>
    <row r="274" spans="1:5" x14ac:dyDescent="0.35">
      <c r="A274" s="1">
        <v>70</v>
      </c>
      <c r="B274" s="4" t="str">
        <f>HYPERLINK("https://www.embase.com/search/results?subaction=viewrecord&amp;id=L358986090&amp;from=export")</f>
        <v>https://www.embase.com/search/results?subaction=viewrecord&amp;id=L358986090&amp;from=export</v>
      </c>
      <c r="C274" t="s">
        <v>1699</v>
      </c>
      <c r="D274" t="s">
        <v>1700</v>
      </c>
    </row>
    <row r="275" spans="1:5" x14ac:dyDescent="0.35">
      <c r="A275" s="1">
        <v>70</v>
      </c>
      <c r="B275" s="4" t="str">
        <f>HYPERLINK("https://www.embase.com/search/results?subaction=viewrecord&amp;id=LNCT05481918&amp;from=export")</f>
        <v>https://www.embase.com/search/results?subaction=viewrecord&amp;id=LNCT05481918&amp;from=export</v>
      </c>
      <c r="C275" t="s">
        <v>2349</v>
      </c>
      <c r="D275" t="s">
        <v>2350</v>
      </c>
    </row>
    <row r="276" spans="1:5" x14ac:dyDescent="0.35">
      <c r="A276" s="1">
        <v>70</v>
      </c>
      <c r="B276" s="4" t="str">
        <f>HYPERLINK("https://doi.org/10.1016/j.arthro.2007.11.013","Siebold (2008)")</f>
        <v>Siebold (2008)</v>
      </c>
      <c r="C276" t="s">
        <v>3701</v>
      </c>
      <c r="D276" t="s">
        <v>3702</v>
      </c>
      <c r="E276" s="1" t="s">
        <v>15</v>
      </c>
    </row>
    <row r="277" spans="1:5" x14ac:dyDescent="0.35">
      <c r="A277" s="1">
        <v>71</v>
      </c>
      <c r="B277" s="4" t="str">
        <f>HYPERLINK("https://doi.org/10.1177/03635465221124917","Costa (2022)")</f>
        <v>Costa (2022)</v>
      </c>
      <c r="C277" t="s">
        <v>867</v>
      </c>
      <c r="D277" t="s">
        <v>868</v>
      </c>
      <c r="E277" s="1" t="s">
        <v>4</v>
      </c>
    </row>
    <row r="278" spans="1:5" x14ac:dyDescent="0.35">
      <c r="A278" s="1">
        <v>71</v>
      </c>
      <c r="B278" s="4" t="str">
        <f>HYPERLINK("https://www.embase.com/search/results?subaction=viewrecord&amp;id=L358986098&amp;from=export")</f>
        <v>https://www.embase.com/search/results?subaction=viewrecord&amp;id=L358986098&amp;from=export</v>
      </c>
      <c r="C278" t="s">
        <v>1706</v>
      </c>
      <c r="D278" t="s">
        <v>1707</v>
      </c>
    </row>
    <row r="279" spans="1:5" x14ac:dyDescent="0.35">
      <c r="A279" s="1">
        <v>71</v>
      </c>
      <c r="B279" s="4" t="str">
        <f>HYPERLINK("https://www.embase.com/search/results?subaction=viewrecord&amp;id=LNCT05489627&amp;from=export")</f>
        <v>https://www.embase.com/search/results?subaction=viewrecord&amp;id=LNCT05489627&amp;from=export</v>
      </c>
      <c r="C279" t="s">
        <v>2355</v>
      </c>
      <c r="D279" t="s">
        <v>2356</v>
      </c>
    </row>
    <row r="280" spans="1:5" x14ac:dyDescent="0.35">
      <c r="A280" s="1">
        <v>72</v>
      </c>
      <c r="B280" s="4" t="str">
        <f>HYPERLINK("https://www.embase.com/search/results?subaction=viewrecord&amp;id=L358986106&amp;from=export")</f>
        <v>https://www.embase.com/search/results?subaction=viewrecord&amp;id=L358986106&amp;from=export</v>
      </c>
      <c r="C280" t="s">
        <v>1713</v>
      </c>
      <c r="D280" t="s">
        <v>1714</v>
      </c>
    </row>
    <row r="281" spans="1:5" x14ac:dyDescent="0.35">
      <c r="A281" s="1">
        <v>72</v>
      </c>
      <c r="B281" s="4" t="str">
        <f>HYPERLINK("https://www.embase.com/search/results?subaction=viewrecord&amp;id=LNCT05489627&amp;from=export")</f>
        <v>https://www.embase.com/search/results?subaction=viewrecord&amp;id=LNCT05489627&amp;from=export</v>
      </c>
      <c r="C281" t="s">
        <v>2362</v>
      </c>
      <c r="D281" t="s">
        <v>2363</v>
      </c>
    </row>
    <row r="282" spans="1:5" x14ac:dyDescent="0.35">
      <c r="A282" s="1">
        <v>72</v>
      </c>
      <c r="B282" s="4" t="str">
        <f>HYPERLINK("https://doi.org/10.1016/j.arthro.2005.12.017","Yasuda (2006)")</f>
        <v>Yasuda (2006)</v>
      </c>
      <c r="C282" t="s">
        <v>4011</v>
      </c>
      <c r="D282" t="s">
        <v>4012</v>
      </c>
      <c r="E282" s="1" t="s">
        <v>7</v>
      </c>
    </row>
    <row r="283" spans="1:5" x14ac:dyDescent="0.35">
      <c r="A283" s="1">
        <v>73</v>
      </c>
      <c r="B283" s="4" t="str">
        <f>HYPERLINK("https://www.embase.com/search/results?subaction=viewrecord&amp;id=L360248818&amp;from=export")</f>
        <v>https://www.embase.com/search/results?subaction=viewrecord&amp;id=L360248818&amp;from=export</v>
      </c>
      <c r="C283" t="s">
        <v>1720</v>
      </c>
      <c r="D283" t="s">
        <v>1721</v>
      </c>
    </row>
    <row r="284" spans="1:5" x14ac:dyDescent="0.35">
      <c r="A284" s="1">
        <v>73</v>
      </c>
      <c r="B284" s="4" t="str">
        <f>HYPERLINK("https://www.embase.com/search/results?subaction=viewrecord&amp;id=LNCT05532189&amp;from=export")</f>
        <v>https://www.embase.com/search/results?subaction=viewrecord&amp;id=LNCT05532189&amp;from=export</v>
      </c>
      <c r="C284" t="s">
        <v>2369</v>
      </c>
      <c r="D284" t="s">
        <v>2370</v>
      </c>
    </row>
    <row r="285" spans="1:5" x14ac:dyDescent="0.35">
      <c r="A285" s="1">
        <v>74</v>
      </c>
      <c r="B285" s="4" t="str">
        <f>HYPERLINK("https://doi.org/10.1002/jeo2.70460","Firoozabadi (2025)")</f>
        <v>Firoozabadi (2025)</v>
      </c>
      <c r="C285" t="s">
        <v>1116</v>
      </c>
      <c r="D285" t="s">
        <v>1117</v>
      </c>
      <c r="E285" s="1" t="s">
        <v>4</v>
      </c>
    </row>
    <row r="286" spans="1:5" x14ac:dyDescent="0.35">
      <c r="A286" s="1">
        <v>74</v>
      </c>
      <c r="B286" s="4" t="str">
        <f>HYPERLINK("https://www.embase.com/search/results?subaction=viewrecord&amp;id=L360300164&amp;from=export")</f>
        <v>https://www.embase.com/search/results?subaction=viewrecord&amp;id=L360300164&amp;from=export</v>
      </c>
      <c r="C286" t="s">
        <v>1727</v>
      </c>
      <c r="D286" t="s">
        <v>1728</v>
      </c>
    </row>
    <row r="287" spans="1:5" x14ac:dyDescent="0.35">
      <c r="A287" s="1">
        <v>75</v>
      </c>
      <c r="B287" s="4" t="str">
        <f>HYPERLINK("https://www.embase.com/search/results?subaction=viewrecord&amp;id=L360300182&amp;from=export")</f>
        <v>https://www.embase.com/search/results?subaction=viewrecord&amp;id=L360300182&amp;from=export</v>
      </c>
      <c r="C287" t="s">
        <v>1734</v>
      </c>
      <c r="D287" t="s">
        <v>1735</v>
      </c>
    </row>
    <row r="288" spans="1:5" x14ac:dyDescent="0.35">
      <c r="A288" s="1">
        <v>75</v>
      </c>
      <c r="B288" s="4" t="str">
        <f>HYPERLINK("https://www.embase.com/search/results?subaction=viewrecord&amp;id=LNCT05574946&amp;from=export")</f>
        <v>https://www.embase.com/search/results?subaction=viewrecord&amp;id=LNCT05574946&amp;from=export</v>
      </c>
      <c r="C288" t="s">
        <v>2376</v>
      </c>
      <c r="D288" t="s">
        <v>2377</v>
      </c>
    </row>
    <row r="289" spans="1:5" x14ac:dyDescent="0.35">
      <c r="A289" s="1">
        <v>76</v>
      </c>
      <c r="B289" s="4" t="str">
        <f>HYPERLINK("18630561")</f>
        <v>18630561</v>
      </c>
      <c r="C289" t="s">
        <v>105</v>
      </c>
      <c r="D289" t="s">
        <v>106</v>
      </c>
    </row>
    <row r="290" spans="1:5" x14ac:dyDescent="0.35">
      <c r="A290" s="1">
        <v>76</v>
      </c>
      <c r="B290" s="4" t="str">
        <f>HYPERLINK("https://doi.org/10.1177/0095399703258675","Arneja (2004)")</f>
        <v>Arneja (2004)</v>
      </c>
      <c r="C290" t="s">
        <v>391</v>
      </c>
      <c r="D290" t="s">
        <v>392</v>
      </c>
      <c r="E290" s="1" t="s">
        <v>7</v>
      </c>
    </row>
    <row r="291" spans="1:5" x14ac:dyDescent="0.35">
      <c r="A291" s="1">
        <v>77</v>
      </c>
      <c r="B291" s="4" t="str">
        <f>HYPERLINK("https://www.embase.com/search/results?subaction=viewrecord&amp;id=L365234555&amp;from=export")</f>
        <v>https://www.embase.com/search/results?subaction=viewrecord&amp;id=L365234555&amp;from=export</v>
      </c>
      <c r="C291" t="s">
        <v>1741</v>
      </c>
      <c r="D291" t="s">
        <v>1742</v>
      </c>
    </row>
    <row r="292" spans="1:5" x14ac:dyDescent="0.35">
      <c r="A292" s="1">
        <v>77</v>
      </c>
      <c r="B292" s="4" t="str">
        <f>HYPERLINK("https://www.embase.com/search/results?subaction=viewrecord&amp;id=LNCT05580133&amp;from=export")</f>
        <v>https://www.embase.com/search/results?subaction=viewrecord&amp;id=LNCT05580133&amp;from=export</v>
      </c>
      <c r="C292" t="s">
        <v>2383</v>
      </c>
      <c r="D292" t="s">
        <v>2384</v>
      </c>
    </row>
    <row r="293" spans="1:5" x14ac:dyDescent="0.35">
      <c r="A293" s="1">
        <v>78</v>
      </c>
      <c r="B293" s="4" t="str">
        <f>HYPERLINK("https://www.embase.com/search/results?subaction=viewrecord&amp;id=L366005418&amp;from=export")</f>
        <v>https://www.embase.com/search/results?subaction=viewrecord&amp;id=L366005418&amp;from=export</v>
      </c>
      <c r="C293" t="s">
        <v>1747</v>
      </c>
      <c r="D293" t="s">
        <v>1748</v>
      </c>
    </row>
    <row r="294" spans="1:5" x14ac:dyDescent="0.35">
      <c r="A294" s="1">
        <v>79</v>
      </c>
      <c r="B294" s="4" t="str">
        <f>HYPERLINK("https://www.embase.com/search/results?subaction=viewrecord&amp;id=L366357224&amp;from=export")</f>
        <v>https://www.embase.com/search/results?subaction=viewrecord&amp;id=L366357224&amp;from=export</v>
      </c>
      <c r="C294" t="s">
        <v>1754</v>
      </c>
      <c r="D294" t="s">
        <v>1755</v>
      </c>
    </row>
    <row r="295" spans="1:5" x14ac:dyDescent="0.35">
      <c r="A295" s="1">
        <v>79</v>
      </c>
      <c r="B295" s="4" t="str">
        <f>HYPERLINK("https://www.embase.com/search/results?subaction=viewrecord&amp;id=LNCT05580133&amp;from=export")</f>
        <v>https://www.embase.com/search/results?subaction=viewrecord&amp;id=LNCT05580133&amp;from=export</v>
      </c>
      <c r="C295" t="s">
        <v>2390</v>
      </c>
      <c r="D295" t="s">
        <v>2391</v>
      </c>
    </row>
    <row r="296" spans="1:5" x14ac:dyDescent="0.35">
      <c r="A296" s="1">
        <v>80</v>
      </c>
      <c r="B296" s="4" t="str">
        <f>HYPERLINK("https://doi.org/10.1007/s00167-011-1458-4","Darabos (2011)")</f>
        <v>Darabos (2011)</v>
      </c>
      <c r="C296" t="s">
        <v>883</v>
      </c>
      <c r="D296" t="s">
        <v>884</v>
      </c>
      <c r="E296" s="1" t="s">
        <v>4</v>
      </c>
    </row>
    <row r="297" spans="1:5" x14ac:dyDescent="0.35">
      <c r="A297" s="1">
        <v>80</v>
      </c>
      <c r="B297" s="4" t="str">
        <f>HYPERLINK("https://www.embase.com/search/results?subaction=viewrecord&amp;id=L373981905&amp;from=export")</f>
        <v>https://www.embase.com/search/results?subaction=viewrecord&amp;id=L373981905&amp;from=export</v>
      </c>
      <c r="C297" t="s">
        <v>1760</v>
      </c>
      <c r="D297" t="s">
        <v>1761</v>
      </c>
    </row>
    <row r="298" spans="1:5" x14ac:dyDescent="0.35">
      <c r="A298" s="1">
        <v>81</v>
      </c>
      <c r="B298" s="4" t="str">
        <f>HYPERLINK("https://www.embase.com/search/results?subaction=viewrecord&amp;id=L39074351&amp;from=export")</f>
        <v>https://www.embase.com/search/results?subaction=viewrecord&amp;id=L39074351&amp;from=export</v>
      </c>
      <c r="C298" t="s">
        <v>1767</v>
      </c>
      <c r="D298" t="s">
        <v>1768</v>
      </c>
    </row>
    <row r="299" spans="1:5" x14ac:dyDescent="0.35">
      <c r="A299" s="1">
        <v>82</v>
      </c>
      <c r="B299" s="4" t="str">
        <f>HYPERLINK("https://www.embase.com/search/results?subaction=viewrecord&amp;id=L44249535&amp;from=export")</f>
        <v>https://www.embase.com/search/results?subaction=viewrecord&amp;id=L44249535&amp;from=export</v>
      </c>
      <c r="C299" t="s">
        <v>1773</v>
      </c>
      <c r="D299" t="s">
        <v>1774</v>
      </c>
    </row>
    <row r="300" spans="1:5" x14ac:dyDescent="0.35">
      <c r="A300" s="1">
        <v>82</v>
      </c>
      <c r="B300" s="4" t="str">
        <f>HYPERLINK("https://www.embase.com/search/results?subaction=viewrecord&amp;id=LNCT05580133&amp;from=export")</f>
        <v>https://www.embase.com/search/results?subaction=viewrecord&amp;id=LNCT05580133&amp;from=export</v>
      </c>
      <c r="C300" t="s">
        <v>2396</v>
      </c>
      <c r="D300" t="s">
        <v>2397</v>
      </c>
    </row>
    <row r="301" spans="1:5" x14ac:dyDescent="0.35">
      <c r="A301" s="1">
        <v>83</v>
      </c>
      <c r="B301" s="4" t="str">
        <f>HYPERLINK("https://www.embase.com/search/results?subaction=viewrecord&amp;id=L560020602&amp;from=export")</f>
        <v>https://www.embase.com/search/results?subaction=viewrecord&amp;id=L560020602&amp;from=export</v>
      </c>
      <c r="C301" t="s">
        <v>1780</v>
      </c>
      <c r="D301" t="s">
        <v>1781</v>
      </c>
    </row>
    <row r="302" spans="1:5" x14ac:dyDescent="0.35">
      <c r="A302" s="1">
        <v>83</v>
      </c>
      <c r="B302" s="4" t="str">
        <f>HYPERLINK("https://www.embase.com/search/results?subaction=viewrecord&amp;id=LNCT05580133&amp;from=export")</f>
        <v>https://www.embase.com/search/results?subaction=viewrecord&amp;id=LNCT05580133&amp;from=export</v>
      </c>
      <c r="C302" t="s">
        <v>2403</v>
      </c>
      <c r="D302" t="s">
        <v>2404</v>
      </c>
    </row>
    <row r="303" spans="1:5" x14ac:dyDescent="0.35">
      <c r="A303" s="1">
        <v>84</v>
      </c>
      <c r="B303" s="4" t="str">
        <f>HYPERLINK("https://www.embase.com/search/results?subaction=viewrecord&amp;id=L560029995&amp;from=export")</f>
        <v>https://www.embase.com/search/results?subaction=viewrecord&amp;id=L560029995&amp;from=export</v>
      </c>
      <c r="C303" t="s">
        <v>1787</v>
      </c>
      <c r="D303" t="s">
        <v>1788</v>
      </c>
    </row>
    <row r="304" spans="1:5" x14ac:dyDescent="0.35">
      <c r="A304" s="1">
        <v>84</v>
      </c>
      <c r="B304" s="4" t="str">
        <f>HYPERLINK("https://www.embase.com/search/results?subaction=viewrecord&amp;id=LNCT05582226&amp;from=export")</f>
        <v>https://www.embase.com/search/results?subaction=viewrecord&amp;id=LNCT05582226&amp;from=export</v>
      </c>
      <c r="C304" t="s">
        <v>2410</v>
      </c>
      <c r="D304" t="s">
        <v>2411</v>
      </c>
    </row>
    <row r="305" spans="1:5" x14ac:dyDescent="0.35">
      <c r="A305" s="1">
        <v>85</v>
      </c>
      <c r="B305" s="4" t="str">
        <f>HYPERLINK("19102185")</f>
        <v>19102185</v>
      </c>
      <c r="C305" t="s">
        <v>112</v>
      </c>
      <c r="D305" t="s">
        <v>113</v>
      </c>
    </row>
    <row r="306" spans="1:5" x14ac:dyDescent="0.35">
      <c r="A306" s="1">
        <v>86</v>
      </c>
      <c r="B306" s="4" t="str">
        <f>HYPERLINK("https://www.embase.com/search/results?subaction=viewrecord&amp;id=L560045113&amp;from=export")</f>
        <v>https://www.embase.com/search/results?subaction=viewrecord&amp;id=L560045113&amp;from=export</v>
      </c>
      <c r="C306" t="s">
        <v>1793</v>
      </c>
      <c r="D306" t="s">
        <v>1794</v>
      </c>
    </row>
    <row r="307" spans="1:5" x14ac:dyDescent="0.35">
      <c r="A307" s="1">
        <v>87</v>
      </c>
      <c r="B307" s="4" t="str">
        <f>HYPERLINK("https://www.embase.com/search/results?subaction=viewrecord&amp;id=L563021956&amp;from=export")</f>
        <v>https://www.embase.com/search/results?subaction=viewrecord&amp;id=L563021956&amp;from=export</v>
      </c>
      <c r="C307" t="s">
        <v>1799</v>
      </c>
      <c r="D307" t="s">
        <v>1800</v>
      </c>
    </row>
    <row r="308" spans="1:5" x14ac:dyDescent="0.35">
      <c r="A308" s="1">
        <v>87</v>
      </c>
      <c r="B308" s="4" t="str">
        <f>HYPERLINK("https://doi.org/10.1186/s12891-021-04862-w","Ogrodzka-Ciechanowicz (2021)")</f>
        <v>Ogrodzka-Ciechanowicz (2021)</v>
      </c>
      <c r="C308" t="s">
        <v>3554</v>
      </c>
      <c r="D308" t="s">
        <v>3555</v>
      </c>
      <c r="E308" s="1" t="s">
        <v>4</v>
      </c>
    </row>
    <row r="309" spans="1:5" x14ac:dyDescent="0.35">
      <c r="A309" s="1">
        <v>87</v>
      </c>
      <c r="B309" s="5" t="str">
        <f>HYPERLINK("https://doi.org/10.3969/j.issn.2095-4344.2012.53.019","Xu (2012)")</f>
        <v>Xu (2012)</v>
      </c>
      <c r="C309" t="s">
        <v>3978</v>
      </c>
      <c r="D309" t="s">
        <v>3979</v>
      </c>
      <c r="E309" s="1" t="s">
        <v>7</v>
      </c>
    </row>
    <row r="310" spans="1:5" x14ac:dyDescent="0.35">
      <c r="A310" s="1">
        <v>88</v>
      </c>
      <c r="B310" s="4" t="str">
        <f>HYPERLINK("https://www.embase.com/search/results?subaction=viewrecord&amp;id=L563021961&amp;from=export")</f>
        <v>https://www.embase.com/search/results?subaction=viewrecord&amp;id=L563021961&amp;from=export</v>
      </c>
      <c r="C310" t="s">
        <v>1806</v>
      </c>
      <c r="D310" t="s">
        <v>1807</v>
      </c>
    </row>
    <row r="311" spans="1:5" x14ac:dyDescent="0.35">
      <c r="A311" s="1">
        <v>88</v>
      </c>
      <c r="B311" s="4" t="str">
        <f>HYPERLINK("https://doi.org/10.1177/23259671221088830","Oliveira (2022)")</f>
        <v>Oliveira (2022)</v>
      </c>
      <c r="C311" t="s">
        <v>3557</v>
      </c>
      <c r="D311" t="s">
        <v>3558</v>
      </c>
      <c r="E311" s="1" t="s">
        <v>4</v>
      </c>
    </row>
    <row r="312" spans="1:5" x14ac:dyDescent="0.35">
      <c r="A312" s="1">
        <v>89</v>
      </c>
      <c r="B312" s="4" t="str">
        <f>HYPERLINK("https://www.embase.com/search/results?subaction=viewrecord&amp;id=L563069648&amp;from=export")</f>
        <v>https://www.embase.com/search/results?subaction=viewrecord&amp;id=L563069648&amp;from=export</v>
      </c>
      <c r="C312" t="s">
        <v>1813</v>
      </c>
      <c r="D312" t="s">
        <v>1814</v>
      </c>
    </row>
    <row r="313" spans="1:5" x14ac:dyDescent="0.35">
      <c r="A313" s="1">
        <v>89</v>
      </c>
      <c r="B313" s="4" t="str">
        <f>HYPERLINK("https://www.embase.com/search/results?subaction=viewrecord&amp;id=LNCT05673356&amp;from=export")</f>
        <v>https://www.embase.com/search/results?subaction=viewrecord&amp;id=LNCT05673356&amp;from=export</v>
      </c>
      <c r="C313" t="s">
        <v>2416</v>
      </c>
      <c r="D313" t="s">
        <v>2417</v>
      </c>
    </row>
    <row r="314" spans="1:5" x14ac:dyDescent="0.35">
      <c r="A314" s="1">
        <v>90</v>
      </c>
      <c r="B314" s="4" t="str">
        <f>HYPERLINK("https://www.embase.com/search/results?subaction=viewrecord&amp;id=L563069668&amp;from=export")</f>
        <v>https://www.embase.com/search/results?subaction=viewrecord&amp;id=L563069668&amp;from=export</v>
      </c>
      <c r="C314" t="s">
        <v>1820</v>
      </c>
      <c r="D314" t="s">
        <v>1821</v>
      </c>
    </row>
    <row r="315" spans="1:5" x14ac:dyDescent="0.35">
      <c r="A315" s="1">
        <v>90</v>
      </c>
      <c r="B315" s="4" t="str">
        <f>HYPERLINK("https://www.embase.com/search/results?subaction=viewrecord&amp;id=LNCT05673356&amp;from=export")</f>
        <v>https://www.embase.com/search/results?subaction=viewrecord&amp;id=LNCT05673356&amp;from=export</v>
      </c>
      <c r="C315" t="s">
        <v>2422</v>
      </c>
      <c r="D315" t="s">
        <v>2423</v>
      </c>
    </row>
    <row r="316" spans="1:5" x14ac:dyDescent="0.35">
      <c r="A316" s="1">
        <v>90</v>
      </c>
      <c r="B316" s="4" t="str">
        <f>HYPERLINK("https://doi.org/10.2106/00004623-200109000-00006","O'Neill (2001)")</f>
        <v>O'Neill (2001)</v>
      </c>
      <c r="C316" t="s">
        <v>3561</v>
      </c>
      <c r="D316" t="s">
        <v>3562</v>
      </c>
      <c r="E316" s="1" t="s">
        <v>7</v>
      </c>
    </row>
    <row r="317" spans="1:5" x14ac:dyDescent="0.35">
      <c r="A317" s="1">
        <v>91</v>
      </c>
      <c r="B317" s="4" t="str">
        <f>HYPERLINK("https://www.embase.com/search/results?subaction=viewrecord&amp;id=L624866580&amp;from=export")</f>
        <v>https://www.embase.com/search/results?subaction=viewrecord&amp;id=L624866580&amp;from=export</v>
      </c>
      <c r="C317" t="s">
        <v>1827</v>
      </c>
      <c r="D317" t="s">
        <v>1828</v>
      </c>
    </row>
    <row r="318" spans="1:5" x14ac:dyDescent="0.35">
      <c r="A318" s="1">
        <v>91</v>
      </c>
      <c r="B318" s="4" t="str">
        <f>HYPERLINK("https://doi.org/10.1186/s13063-022-06674-2","Ong (2022)")</f>
        <v>Ong (2022)</v>
      </c>
      <c r="C318" t="s">
        <v>3455</v>
      </c>
      <c r="D318" t="s">
        <v>3456</v>
      </c>
      <c r="E318" s="1" t="s">
        <v>4</v>
      </c>
    </row>
    <row r="319" spans="1:5" x14ac:dyDescent="0.35">
      <c r="A319" s="1">
        <v>91</v>
      </c>
      <c r="B319" s="4" t="str">
        <f>HYPERLINK("https://doi.org/10.47750/pnr.2022.13.S09.1056","Sohu (2022)")</f>
        <v>Sohu (2022)</v>
      </c>
      <c r="C319" t="s">
        <v>3665</v>
      </c>
      <c r="D319" t="s">
        <v>3666</v>
      </c>
      <c r="E319" s="1" t="s">
        <v>7</v>
      </c>
    </row>
    <row r="320" spans="1:5" x14ac:dyDescent="0.35">
      <c r="A320" s="1">
        <v>92</v>
      </c>
      <c r="B320" s="4" t="str">
        <f>HYPERLINK("https://www.embase.com/search/results?subaction=viewrecord&amp;id=LNCT00198042&amp;from=export")</f>
        <v>https://www.embase.com/search/results?subaction=viewrecord&amp;id=LNCT00198042&amp;from=export</v>
      </c>
      <c r="C320" t="s">
        <v>1834</v>
      </c>
      <c r="D320" t="s">
        <v>1835</v>
      </c>
    </row>
    <row r="321" spans="1:5" x14ac:dyDescent="0.35">
      <c r="A321" s="1">
        <v>92</v>
      </c>
      <c r="B321" s="4" t="str">
        <f>HYPERLINK("https://www.embase.com/search/results?subaction=viewrecord&amp;id=LNCT05673356&amp;from=export")</f>
        <v>https://www.embase.com/search/results?subaction=viewrecord&amp;id=LNCT05673356&amp;from=export</v>
      </c>
      <c r="C321" t="s">
        <v>2429</v>
      </c>
      <c r="D321" t="s">
        <v>2430</v>
      </c>
    </row>
    <row r="322" spans="1:5" x14ac:dyDescent="0.35">
      <c r="A322" s="1">
        <v>93</v>
      </c>
      <c r="B322" s="4" t="str">
        <f>HYPERLINK("https://www.embase.com/search/results?subaction=viewrecord&amp;id=LNCT05738200&amp;from=export")</f>
        <v>https://www.embase.com/search/results?subaction=viewrecord&amp;id=LNCT05738200&amp;from=export</v>
      </c>
      <c r="C322" t="s">
        <v>2436</v>
      </c>
      <c r="D322" t="s">
        <v>2437</v>
      </c>
    </row>
    <row r="323" spans="1:5" x14ac:dyDescent="0.35">
      <c r="A323" s="1">
        <v>93</v>
      </c>
      <c r="B323" s="4" t="str">
        <f>HYPERLINK("https://doi.org/10.1097/CM9.0000000000003267","Wang (2025)")</f>
        <v>Wang (2025)</v>
      </c>
      <c r="C323" t="s">
        <v>3932</v>
      </c>
      <c r="D323" t="s">
        <v>3933</v>
      </c>
      <c r="E323" s="1" t="s">
        <v>4</v>
      </c>
    </row>
    <row r="324" spans="1:5" x14ac:dyDescent="0.35">
      <c r="A324" s="1">
        <v>94</v>
      </c>
      <c r="B324" s="4" t="str">
        <f>HYPERLINK("https://doi.org/10.1007/s11999-017-5280-2","Arundale (2017)")</f>
        <v>Arundale (2017)</v>
      </c>
      <c r="C324" t="s">
        <v>398</v>
      </c>
      <c r="D324" t="s">
        <v>399</v>
      </c>
    </row>
    <row r="325" spans="1:5" x14ac:dyDescent="0.35">
      <c r="A325" s="1">
        <v>95</v>
      </c>
      <c r="B325" s="4" t="str">
        <f>HYPERLINK("https://doi.org/10.1302/2633-1462.111.BJO-2020.0012.R1","Ashraf (2020)")</f>
        <v>Ashraf (2020)</v>
      </c>
      <c r="C325" t="s">
        <v>405</v>
      </c>
      <c r="D325" t="s">
        <v>406</v>
      </c>
    </row>
    <row r="326" spans="1:5" x14ac:dyDescent="0.35">
      <c r="A326" s="1">
        <v>95</v>
      </c>
      <c r="B326" s="4" t="str">
        <f>HYPERLINK("https://doi.org/10.1007/s00264-012-1718-z","Dejour (2013)")</f>
        <v>Dejour (2013)</v>
      </c>
      <c r="C326" t="s">
        <v>907</v>
      </c>
      <c r="D326" t="s">
        <v>908</v>
      </c>
    </row>
    <row r="327" spans="1:5" x14ac:dyDescent="0.35">
      <c r="A327" s="1">
        <v>96</v>
      </c>
      <c r="B327" s="4" t="str">
        <f>HYPERLINK("https://www.embase.com/search/results?subaction=viewrecord&amp;id=LNCT00198042&amp;from=export")</f>
        <v>https://www.embase.com/search/results?subaction=viewrecord&amp;id=LNCT00198042&amp;from=export</v>
      </c>
      <c r="C327" t="s">
        <v>1841</v>
      </c>
      <c r="D327" t="s">
        <v>1842</v>
      </c>
    </row>
    <row r="328" spans="1:5" x14ac:dyDescent="0.35">
      <c r="A328" s="1">
        <v>96</v>
      </c>
      <c r="B328" s="4" t="str">
        <f>HYPERLINK("https://www.embase.com/search/results?subaction=viewrecord&amp;id=LNCT05738200&amp;from=export")</f>
        <v>https://www.embase.com/search/results?subaction=viewrecord&amp;id=LNCT05738200&amp;from=export</v>
      </c>
      <c r="C328" t="s">
        <v>2443</v>
      </c>
      <c r="D328" t="s">
        <v>2444</v>
      </c>
    </row>
    <row r="329" spans="1:5" x14ac:dyDescent="0.35">
      <c r="A329" s="1">
        <v>97</v>
      </c>
      <c r="B329" s="4" t="str">
        <f>HYPERLINK("19323939")</f>
        <v>19323939</v>
      </c>
      <c r="C329" t="s">
        <v>120</v>
      </c>
      <c r="D329" t="s">
        <v>121</v>
      </c>
    </row>
    <row r="330" spans="1:5" x14ac:dyDescent="0.35">
      <c r="A330" s="1">
        <v>97</v>
      </c>
      <c r="B330" s="5" t="str">
        <f>HYPERLINK("https://doi.org/10.2298/VSP200128026D","Djordjević (2021)")</f>
        <v>Djordjević (2021)</v>
      </c>
      <c r="C330" t="s">
        <v>915</v>
      </c>
      <c r="D330" t="s">
        <v>916</v>
      </c>
      <c r="E330" s="1" t="s">
        <v>7</v>
      </c>
    </row>
    <row r="331" spans="1:5" x14ac:dyDescent="0.35">
      <c r="A331" s="1">
        <v>97</v>
      </c>
      <c r="B331" s="4" t="str">
        <f>HYPERLINK("https://www.embase.com/search/results?subaction=viewrecord&amp;id=LNCT05814445&amp;from=export")</f>
        <v>https://www.embase.com/search/results?subaction=viewrecord&amp;id=LNCT05814445&amp;from=export</v>
      </c>
      <c r="C331" t="s">
        <v>2450</v>
      </c>
      <c r="D331" t="s">
        <v>2451</v>
      </c>
    </row>
    <row r="332" spans="1:5" x14ac:dyDescent="0.35">
      <c r="A332" s="1">
        <v>98</v>
      </c>
      <c r="B332" s="4" t="str">
        <f>HYPERLINK("https://www.embase.com/search/results?subaction=viewrecord&amp;id=LNCT00198042&amp;from=export")</f>
        <v>https://www.embase.com/search/results?subaction=viewrecord&amp;id=LNCT00198042&amp;from=export</v>
      </c>
      <c r="C332" t="s">
        <v>1848</v>
      </c>
      <c r="D332" t="s">
        <v>1849</v>
      </c>
    </row>
    <row r="333" spans="1:5" x14ac:dyDescent="0.35">
      <c r="A333" s="1">
        <v>99</v>
      </c>
      <c r="B333" s="4" t="str">
        <f>HYPERLINK("https://www.embase.com/search/results?subaction=viewrecord&amp;id=LNCT00529958&amp;from=export")</f>
        <v>https://www.embase.com/search/results?subaction=viewrecord&amp;id=LNCT00529958&amp;from=export</v>
      </c>
      <c r="C333" t="s">
        <v>1855</v>
      </c>
      <c r="D333" t="s">
        <v>1856</v>
      </c>
    </row>
    <row r="334" spans="1:5" x14ac:dyDescent="0.35">
      <c r="A334" s="1">
        <v>99</v>
      </c>
      <c r="B334" s="4" t="str">
        <f>HYPERLINK("https://www.embase.com/search/results?subaction=viewrecord&amp;id=LNCT05876013&amp;from=export")</f>
        <v>https://www.embase.com/search/results?subaction=viewrecord&amp;id=LNCT05876013&amp;from=export</v>
      </c>
      <c r="C334" t="s">
        <v>2457</v>
      </c>
      <c r="D334" t="s">
        <v>2458</v>
      </c>
    </row>
    <row r="335" spans="1:5" x14ac:dyDescent="0.35">
      <c r="A335" s="1">
        <v>100</v>
      </c>
      <c r="B335" s="4" t="str">
        <f>HYPERLINK("19374299")</f>
        <v>19374299</v>
      </c>
      <c r="C335" t="s">
        <v>127</v>
      </c>
      <c r="D335" t="s">
        <v>128</v>
      </c>
    </row>
    <row r="336" spans="1:5" x14ac:dyDescent="0.35">
      <c r="A336" s="1">
        <v>100</v>
      </c>
      <c r="B336" s="4" t="str">
        <f>HYPERLINK("https://www.embase.com/search/results?subaction=viewrecord&amp;id=LNCT05876013&amp;from=export")</f>
        <v>https://www.embase.com/search/results?subaction=viewrecord&amp;id=LNCT05876013&amp;from=export</v>
      </c>
      <c r="C336" t="s">
        <v>2463</v>
      </c>
      <c r="D336" t="s">
        <v>2464</v>
      </c>
    </row>
    <row r="337" spans="1:5" x14ac:dyDescent="0.35">
      <c r="A337" s="1">
        <v>101</v>
      </c>
      <c r="B337" s="4" t="str">
        <f>HYPERLINK("https://www.embase.com/search/results?subaction=viewrecord&amp;id=LNCT00529958&amp;from=export")</f>
        <v>https://www.embase.com/search/results?subaction=viewrecord&amp;id=LNCT00529958&amp;from=export</v>
      </c>
      <c r="C337" t="s">
        <v>1862</v>
      </c>
      <c r="D337" t="s">
        <v>1863</v>
      </c>
    </row>
    <row r="338" spans="1:5" x14ac:dyDescent="0.35">
      <c r="A338" s="1">
        <v>101</v>
      </c>
      <c r="B338" s="4" t="str">
        <f>HYPERLINK("https://www.embase.com/search/results?subaction=viewrecord&amp;id=LNCT05876013&amp;from=export")</f>
        <v>https://www.embase.com/search/results?subaction=viewrecord&amp;id=LNCT05876013&amp;from=export</v>
      </c>
      <c r="C338" t="s">
        <v>2469</v>
      </c>
      <c r="D338" t="s">
        <v>2470</v>
      </c>
    </row>
    <row r="339" spans="1:5" x14ac:dyDescent="0.35">
      <c r="A339" s="1">
        <v>102</v>
      </c>
      <c r="B339" s="4" t="str">
        <f>HYPERLINK("https://doi.org/10.1186/s13102-021-00275-3","Ghaderi (2021)")</f>
        <v>Ghaderi (2021)</v>
      </c>
      <c r="C339" t="s">
        <v>1248</v>
      </c>
      <c r="D339" t="s">
        <v>1249</v>
      </c>
      <c r="E339" s="1" t="s">
        <v>4</v>
      </c>
    </row>
    <row r="340" spans="1:5" x14ac:dyDescent="0.35">
      <c r="A340" s="1">
        <v>102</v>
      </c>
      <c r="B340" s="4" t="str">
        <f>HYPERLINK("https://www.embase.com/search/results?subaction=viewrecord&amp;id=LNCT00696319&amp;from=export")</f>
        <v>https://www.embase.com/search/results?subaction=viewrecord&amp;id=LNCT00696319&amp;from=export</v>
      </c>
      <c r="C340" t="s">
        <v>1868</v>
      </c>
      <c r="D340" t="s">
        <v>1869</v>
      </c>
    </row>
    <row r="341" spans="1:5" x14ac:dyDescent="0.35">
      <c r="A341" s="1">
        <v>103</v>
      </c>
      <c r="B341" s="4" t="str">
        <f>HYPERLINK("https://www.embase.com/search/results?subaction=viewrecord&amp;id=LNCT01170546&amp;from=export")</f>
        <v>https://www.embase.com/search/results?subaction=viewrecord&amp;id=LNCT01170546&amp;from=export</v>
      </c>
      <c r="C341" t="s">
        <v>1875</v>
      </c>
      <c r="D341" t="s">
        <v>1876</v>
      </c>
    </row>
    <row r="342" spans="1:5" x14ac:dyDescent="0.35">
      <c r="A342" s="1">
        <v>103</v>
      </c>
      <c r="B342" s="4" t="str">
        <f>HYPERLINK("https://doi.org/10.1007/s00167-007-0426-5","Papachristou (2008)")</f>
        <v>Papachristou (2008)</v>
      </c>
      <c r="C342" t="s">
        <v>3577</v>
      </c>
      <c r="D342" t="s">
        <v>3578</v>
      </c>
      <c r="E342" s="1" t="s">
        <v>4</v>
      </c>
    </row>
    <row r="343" spans="1:5" x14ac:dyDescent="0.35">
      <c r="A343" s="1">
        <v>104</v>
      </c>
      <c r="B343" s="4" t="str">
        <f>HYPERLINK("22816221")</f>
        <v>22816221</v>
      </c>
      <c r="C343" t="s">
        <v>135</v>
      </c>
      <c r="D343" t="s">
        <v>136</v>
      </c>
    </row>
    <row r="344" spans="1:5" x14ac:dyDescent="0.35">
      <c r="A344" s="1">
        <v>104</v>
      </c>
      <c r="B344" s="4" t="str">
        <f>HYPERLINK("https://www.embase.com/search/results?subaction=viewrecord&amp;id=LNCT05904158&amp;from=export")</f>
        <v>https://www.embase.com/search/results?subaction=viewrecord&amp;id=LNCT05904158&amp;from=export</v>
      </c>
      <c r="C344" t="s">
        <v>2474</v>
      </c>
      <c r="D344" t="s">
        <v>2475</v>
      </c>
    </row>
    <row r="345" spans="1:5" x14ac:dyDescent="0.35">
      <c r="A345" s="1">
        <v>105</v>
      </c>
      <c r="B345" s="4" t="str">
        <f>HYPERLINK("https://www.embase.com/search/results?subaction=viewrecord&amp;id=LNCT01170546&amp;from=export")</f>
        <v>https://www.embase.com/search/results?subaction=viewrecord&amp;id=LNCT01170546&amp;from=export</v>
      </c>
      <c r="C345" t="s">
        <v>1881</v>
      </c>
      <c r="D345" t="s">
        <v>1882</v>
      </c>
    </row>
    <row r="346" spans="1:5" x14ac:dyDescent="0.35">
      <c r="A346" s="1">
        <v>106</v>
      </c>
      <c r="B346" s="5" t="str">
        <f>HYPERLINK("https://doi.org/10.1177/0300060517722696","Stańczak (2018)")</f>
        <v>Stańczak (2018)</v>
      </c>
      <c r="C346" t="s">
        <v>3716</v>
      </c>
      <c r="D346" t="s">
        <v>3717</v>
      </c>
      <c r="E346" s="1" t="s">
        <v>4</v>
      </c>
    </row>
    <row r="347" spans="1:5" x14ac:dyDescent="0.35">
      <c r="A347" s="1">
        <v>107</v>
      </c>
      <c r="B347" s="4" t="str">
        <f>HYPERLINK("https://doi.org/10.11138/mltj/2017.7.4.564","Drocco (2017)")</f>
        <v>Drocco (2017)</v>
      </c>
      <c r="C347" t="s">
        <v>923</v>
      </c>
      <c r="D347" t="s">
        <v>924</v>
      </c>
      <c r="E347" s="1" t="s">
        <v>7</v>
      </c>
    </row>
    <row r="348" spans="1:5" x14ac:dyDescent="0.35">
      <c r="A348" s="1">
        <v>107</v>
      </c>
      <c r="B348" s="4" t="str">
        <f>HYPERLINK("https://www.embase.com/search/results?subaction=viewrecord&amp;id=LNCT01348945&amp;from=export")</f>
        <v>https://www.embase.com/search/results?subaction=viewrecord&amp;id=LNCT01348945&amp;from=export</v>
      </c>
      <c r="C348" t="s">
        <v>1887</v>
      </c>
      <c r="D348" t="s">
        <v>1888</v>
      </c>
    </row>
    <row r="349" spans="1:5" x14ac:dyDescent="0.35">
      <c r="A349" s="1">
        <v>108</v>
      </c>
      <c r="B349" s="4" t="str">
        <f>HYPERLINK("https://www.embase.com/search/results?subaction=viewrecord&amp;id=LNCT01634711&amp;from=export")</f>
        <v>https://www.embase.com/search/results?subaction=viewrecord&amp;id=LNCT01634711&amp;from=export</v>
      </c>
      <c r="C349" t="s">
        <v>1893</v>
      </c>
      <c r="D349" t="s">
        <v>1894</v>
      </c>
    </row>
    <row r="350" spans="1:5" x14ac:dyDescent="0.35">
      <c r="A350" s="1">
        <v>108</v>
      </c>
      <c r="B350" s="4" t="str">
        <f>HYPERLINK("https://www.embase.com/search/results?subaction=viewrecord&amp;id=LNCT05904158&amp;from=export")</f>
        <v>https://www.embase.com/search/results?subaction=viewrecord&amp;id=LNCT05904158&amp;from=export</v>
      </c>
      <c r="C350" t="s">
        <v>2481</v>
      </c>
      <c r="D350" t="s">
        <v>2482</v>
      </c>
    </row>
    <row r="351" spans="1:5" x14ac:dyDescent="0.35">
      <c r="A351" s="1">
        <v>109</v>
      </c>
      <c r="B351" s="4" t="str">
        <f>HYPERLINK("23145756")</f>
        <v>23145756</v>
      </c>
      <c r="C351" t="s">
        <v>142</v>
      </c>
      <c r="D351" t="s">
        <v>143</v>
      </c>
    </row>
    <row r="352" spans="1:5" x14ac:dyDescent="0.35">
      <c r="A352" s="1">
        <v>109</v>
      </c>
      <c r="B352" s="4" t="str">
        <f>HYPERLINK("https://www.embase.com/search/results?subaction=viewrecord&amp;id=LNCT05983692&amp;from=export")</f>
        <v>https://www.embase.com/search/results?subaction=viewrecord&amp;id=LNCT05983692&amp;from=export</v>
      </c>
      <c r="C352" t="s">
        <v>2487</v>
      </c>
      <c r="D352" t="s">
        <v>2488</v>
      </c>
    </row>
    <row r="353" spans="1:4" x14ac:dyDescent="0.35">
      <c r="A353" s="1">
        <v>110</v>
      </c>
      <c r="B353" s="4" t="str">
        <f>HYPERLINK("2323135")</f>
        <v>2323135</v>
      </c>
      <c r="C353" t="s">
        <v>150</v>
      </c>
      <c r="D353" t="s">
        <v>151</v>
      </c>
    </row>
    <row r="354" spans="1:4" x14ac:dyDescent="0.35">
      <c r="A354" s="1">
        <v>110</v>
      </c>
      <c r="B354" s="4" t="str">
        <f>HYPERLINK("https://www.embase.com/search/results?subaction=viewrecord&amp;id=LNCT06050785&amp;from=export")</f>
        <v>https://www.embase.com/search/results?subaction=viewrecord&amp;id=LNCT06050785&amp;from=export</v>
      </c>
      <c r="C354" t="s">
        <v>2494</v>
      </c>
      <c r="D354" t="s">
        <v>2495</v>
      </c>
    </row>
    <row r="355" spans="1:4" x14ac:dyDescent="0.35">
      <c r="A355" s="1">
        <v>111</v>
      </c>
      <c r="B355" s="4" t="str">
        <f>HYPERLINK("https://www.embase.com/search/results?subaction=viewrecord&amp;id=LNCT06050785&amp;from=export")</f>
        <v>https://www.embase.com/search/results?subaction=viewrecord&amp;id=LNCT06050785&amp;from=export</v>
      </c>
      <c r="C355" t="s">
        <v>2501</v>
      </c>
      <c r="D355" t="s">
        <v>2502</v>
      </c>
    </row>
    <row r="356" spans="1:4" x14ac:dyDescent="0.35">
      <c r="A356" s="1">
        <v>112</v>
      </c>
      <c r="B356" s="4" t="str">
        <f>HYPERLINK("https://www.embase.com/search/results?subaction=viewrecord&amp;id=LNCT01634711&amp;from=export")</f>
        <v>https://www.embase.com/search/results?subaction=viewrecord&amp;id=LNCT01634711&amp;from=export</v>
      </c>
      <c r="C356" t="s">
        <v>1900</v>
      </c>
      <c r="D356" t="s">
        <v>1901</v>
      </c>
    </row>
    <row r="357" spans="1:4" x14ac:dyDescent="0.35">
      <c r="A357" s="1">
        <v>113</v>
      </c>
      <c r="B357" s="4" t="str">
        <f>HYPERLINK("https://www.embase.com/search/results?subaction=viewrecord&amp;id=LNCT01727739&amp;from=export")</f>
        <v>https://www.embase.com/search/results?subaction=viewrecord&amp;id=LNCT01727739&amp;from=export</v>
      </c>
      <c r="C357" t="s">
        <v>1907</v>
      </c>
      <c r="D357" t="s">
        <v>1908</v>
      </c>
    </row>
    <row r="358" spans="1:4" x14ac:dyDescent="0.35">
      <c r="A358" s="1">
        <v>114</v>
      </c>
      <c r="B358" s="4" t="str">
        <f>HYPERLINK("24755056")</f>
        <v>24755056</v>
      </c>
      <c r="C358" t="s">
        <v>158</v>
      </c>
      <c r="D358" t="s">
        <v>159</v>
      </c>
    </row>
    <row r="359" spans="1:4" x14ac:dyDescent="0.35">
      <c r="A359" s="1">
        <v>115</v>
      </c>
      <c r="B359" s="4" t="str">
        <f>HYPERLINK("https://www.embase.com/search/results?subaction=viewrecord&amp;id=LNCT01755819&amp;from=export")</f>
        <v>https://www.embase.com/search/results?subaction=viewrecord&amp;id=LNCT01755819&amp;from=export</v>
      </c>
      <c r="C359" t="s">
        <v>1914</v>
      </c>
      <c r="D359" t="s">
        <v>1915</v>
      </c>
    </row>
    <row r="360" spans="1:4" x14ac:dyDescent="0.35">
      <c r="A360" s="1">
        <v>115</v>
      </c>
      <c r="B360" s="4" t="str">
        <f>HYPERLINK("https://www.embase.com/search/results?subaction=viewrecord&amp;id=LNCT06147427&amp;from=export")</f>
        <v>https://www.embase.com/search/results?subaction=viewrecord&amp;id=LNCT06147427&amp;from=export</v>
      </c>
      <c r="C360" t="s">
        <v>2507</v>
      </c>
      <c r="D360" t="s">
        <v>2508</v>
      </c>
    </row>
    <row r="361" spans="1:4" x14ac:dyDescent="0.35">
      <c r="A361" s="1">
        <v>116</v>
      </c>
      <c r="B361" s="4" t="str">
        <f>HYPERLINK("https://www.embase.com/search/results?subaction=viewrecord&amp;id=LNCT02310854&amp;from=export")</f>
        <v>https://www.embase.com/search/results?subaction=viewrecord&amp;id=LNCT02310854&amp;from=export</v>
      </c>
      <c r="C361" t="s">
        <v>1921</v>
      </c>
      <c r="D361" t="s">
        <v>1922</v>
      </c>
    </row>
    <row r="362" spans="1:4" x14ac:dyDescent="0.35">
      <c r="A362" s="1">
        <v>117</v>
      </c>
      <c r="B362" s="4" t="str">
        <f>HYPERLINK("https://www.embase.com/search/results?subaction=viewrecord&amp;id=LNCT02310854&amp;from=export")</f>
        <v>https://www.embase.com/search/results?subaction=viewrecord&amp;id=LNCT02310854&amp;from=export</v>
      </c>
      <c r="C362" t="s">
        <v>1927</v>
      </c>
      <c r="D362" t="s">
        <v>1928</v>
      </c>
    </row>
    <row r="363" spans="1:4" x14ac:dyDescent="0.35">
      <c r="A363" s="1">
        <v>117</v>
      </c>
      <c r="B363" s="4" t="str">
        <f>HYPERLINK("https://www.embase.com/search/results?subaction=viewrecord&amp;id=LNCT06189573&amp;from=export")</f>
        <v>https://www.embase.com/search/results?subaction=viewrecord&amp;id=LNCT06189573&amp;from=export</v>
      </c>
      <c r="C363" t="s">
        <v>2515</v>
      </c>
      <c r="D363" t="s">
        <v>2516</v>
      </c>
    </row>
    <row r="364" spans="1:4" x14ac:dyDescent="0.35">
      <c r="A364" s="1">
        <v>118</v>
      </c>
      <c r="B364" s="4" t="str">
        <f>HYPERLINK("26039020")</f>
        <v>26039020</v>
      </c>
      <c r="C364" t="s">
        <v>166</v>
      </c>
      <c r="D364" t="s">
        <v>167</v>
      </c>
    </row>
    <row r="365" spans="1:4" x14ac:dyDescent="0.35">
      <c r="A365" s="8">
        <v>118</v>
      </c>
      <c r="B365" s="4" t="str">
        <f>HYPERLINK("https://www.embase.com/search/results?subaction=viewrecord&amp;id=LNCT06189573&amp;from=export")</f>
        <v>https://www.embase.com/search/results?subaction=viewrecord&amp;id=LNCT06189573&amp;from=export</v>
      </c>
      <c r="C365" s="6" t="s">
        <v>2522</v>
      </c>
      <c r="D365" s="6" t="s">
        <v>2523</v>
      </c>
    </row>
    <row r="366" spans="1:4" x14ac:dyDescent="0.35">
      <c r="A366" s="1">
        <v>119</v>
      </c>
      <c r="B366" s="4" t="str">
        <f>HYPERLINK("https://www.embase.com/search/results?subaction=viewrecord&amp;id=LNCT02626975&amp;from=export")</f>
        <v>https://www.embase.com/search/results?subaction=viewrecord&amp;id=LNCT02626975&amp;from=export</v>
      </c>
      <c r="C366" t="s">
        <v>1934</v>
      </c>
      <c r="D366" t="s">
        <v>1935</v>
      </c>
    </row>
    <row r="367" spans="1:4" x14ac:dyDescent="0.35">
      <c r="A367" s="8">
        <v>119</v>
      </c>
      <c r="B367" s="4" t="str">
        <f>HYPERLINK("https://www.embase.com/search/results?subaction=viewrecord&amp;id=LNCT06280456&amp;from=export")</f>
        <v>https://www.embase.com/search/results?subaction=viewrecord&amp;id=LNCT06280456&amp;from=export</v>
      </c>
      <c r="C367" s="6" t="s">
        <v>2528</v>
      </c>
      <c r="D367" s="6" t="s">
        <v>2529</v>
      </c>
    </row>
    <row r="368" spans="1:4" x14ac:dyDescent="0.35">
      <c r="A368" s="8">
        <v>120</v>
      </c>
      <c r="B368" s="4" t="str">
        <f>HYPERLINK("https://www.embase.com/search/results?subaction=viewrecord&amp;id=LNCT06303726&amp;from=export")</f>
        <v>https://www.embase.com/search/results?subaction=viewrecord&amp;id=LNCT06303726&amp;from=export</v>
      </c>
      <c r="C368" s="6" t="s">
        <v>2535</v>
      </c>
      <c r="D368" s="6" t="s">
        <v>2536</v>
      </c>
    </row>
    <row r="369" spans="1:5" x14ac:dyDescent="0.35">
      <c r="A369" s="1">
        <v>120</v>
      </c>
      <c r="B369" s="4" t="str">
        <f>HYPERLINK("WOS:000237710900006")</f>
        <v>WOS:000237710900006</v>
      </c>
      <c r="C369" t="s">
        <v>3953</v>
      </c>
      <c r="D369" t="s">
        <v>3954</v>
      </c>
    </row>
    <row r="370" spans="1:5" x14ac:dyDescent="0.35">
      <c r="A370" s="1">
        <v>121</v>
      </c>
      <c r="B370" s="4" t="str">
        <f>HYPERLINK("https://www.embase.com/search/results?subaction=viewrecord&amp;id=LNCT02939677&amp;from=export")</f>
        <v>https://www.embase.com/search/results?subaction=viewrecord&amp;id=LNCT02939677&amp;from=export</v>
      </c>
      <c r="C370" t="s">
        <v>1940</v>
      </c>
      <c r="D370" t="s">
        <v>1941</v>
      </c>
    </row>
    <row r="371" spans="1:5" x14ac:dyDescent="0.35">
      <c r="A371" s="8">
        <v>121</v>
      </c>
      <c r="B371" s="4" t="str">
        <f>HYPERLINK("https://www.embase.com/search/results?subaction=viewrecord&amp;id=LNCT06303726&amp;from=export")</f>
        <v>https://www.embase.com/search/results?subaction=viewrecord&amp;id=LNCT06303726&amp;from=export</v>
      </c>
      <c r="C371" s="6" t="s">
        <v>2542</v>
      </c>
      <c r="D371" s="6" t="s">
        <v>2543</v>
      </c>
    </row>
    <row r="372" spans="1:5" x14ac:dyDescent="0.35">
      <c r="A372" s="1">
        <v>121</v>
      </c>
      <c r="B372" s="4" t="str">
        <f>HYPERLINK("https://doi.org/10.1055/s-2005-858472","Pförringer (2005)")</f>
        <v>Pförringer (2005)</v>
      </c>
      <c r="C372" t="s">
        <v>3589</v>
      </c>
      <c r="D372" t="s">
        <v>3590</v>
      </c>
      <c r="E372" s="1" t="s">
        <v>7</v>
      </c>
    </row>
    <row r="373" spans="1:5" x14ac:dyDescent="0.35">
      <c r="A373" s="1">
        <v>182</v>
      </c>
      <c r="B373" s="4" t="str">
        <f>HYPERLINK("https://doi.org/10.1097/JSM.0b013e31812570fa","Huang (2007)")</f>
        <v>Huang (2007)</v>
      </c>
      <c r="C373" t="s">
        <v>2673</v>
      </c>
      <c r="D373" t="s">
        <v>2674</v>
      </c>
      <c r="E373" s="1" t="s">
        <v>4</v>
      </c>
    </row>
    <row r="374" spans="1:5" x14ac:dyDescent="0.35">
      <c r="A374" s="1">
        <v>183</v>
      </c>
      <c r="B374" s="4" t="str">
        <f>HYPERLINK("https://doi.org/10.1177/0363546511426416","Hussein (2012)")</f>
        <v>Hussein (2012)</v>
      </c>
      <c r="C374" t="s">
        <v>2680</v>
      </c>
      <c r="D374" t="s">
        <v>2681</v>
      </c>
      <c r="E374" s="1" t="s">
        <v>4</v>
      </c>
    </row>
    <row r="375" spans="1:5" x14ac:dyDescent="0.35">
      <c r="A375" s="1">
        <v>184</v>
      </c>
      <c r="B375" s="7" t="str">
        <f>HYPERLINK("https://doi.org/10.1016/j.arthro.2012.07.007","Hwang (2013)")</f>
        <v>Hwang (2013)</v>
      </c>
      <c r="C375" t="s">
        <v>2687</v>
      </c>
      <c r="D375" t="s">
        <v>2688</v>
      </c>
      <c r="E375" s="8" t="s">
        <v>7</v>
      </c>
    </row>
    <row r="376" spans="1:5" x14ac:dyDescent="0.35">
      <c r="A376" s="1">
        <v>185</v>
      </c>
      <c r="B376" s="4" t="str">
        <f>HYPERLINK("https://doi.org/10.1016/j.arthro.2004.12.002","Ibrahim (2005)")</f>
        <v>Ibrahim (2005)</v>
      </c>
      <c r="C376" t="s">
        <v>2693</v>
      </c>
      <c r="D376" t="s">
        <v>2694</v>
      </c>
      <c r="E376" s="1" t="s">
        <v>4</v>
      </c>
    </row>
    <row r="377" spans="1:5" x14ac:dyDescent="0.35">
      <c r="A377" s="1">
        <v>186</v>
      </c>
      <c r="B377" s="4" t="str">
        <f>HYPERLINK("https://doi.org/10.1302/0301-620X.91B10.21886","Ibrahim (2009)")</f>
        <v>Ibrahim (2009)</v>
      </c>
      <c r="C377" t="s">
        <v>2700</v>
      </c>
      <c r="D377" t="s">
        <v>2701</v>
      </c>
      <c r="E377" s="1" t="s">
        <v>4</v>
      </c>
    </row>
    <row r="378" spans="1:5" x14ac:dyDescent="0.35">
      <c r="A378" s="1">
        <v>187</v>
      </c>
      <c r="B378" s="4" t="str">
        <f>HYPERLINK("https://doi.org/10.1177/0363546514554189","Ibrahim (2015)")</f>
        <v>Ibrahim (2015)</v>
      </c>
      <c r="C378" t="s">
        <v>2707</v>
      </c>
      <c r="D378" t="s">
        <v>2708</v>
      </c>
      <c r="E378" s="1" t="s">
        <v>4</v>
      </c>
    </row>
    <row r="379" spans="1:5" x14ac:dyDescent="0.35">
      <c r="A379" s="1">
        <v>188</v>
      </c>
      <c r="B379" s="4" t="str">
        <f>HYPERLINK("https://doi.org/10.1007/s00167-016-4229-4","Iliopoulos (2017)")</f>
        <v>Iliopoulos (2017)</v>
      </c>
      <c r="C379" t="s">
        <v>2714</v>
      </c>
      <c r="D379" t="s">
        <v>2715</v>
      </c>
      <c r="E379" s="1" t="s">
        <v>4</v>
      </c>
    </row>
    <row r="380" spans="1:5" x14ac:dyDescent="0.35">
      <c r="A380" s="1">
        <v>189</v>
      </c>
      <c r="B380" s="4" t="str">
        <f>HYPERLINK("https://doi.org/10.1007/s00776-013-0427-9","Inagaki (2013)")</f>
        <v>Inagaki (2013)</v>
      </c>
      <c r="C380" t="s">
        <v>2720</v>
      </c>
      <c r="D380" t="s">
        <v>2721</v>
      </c>
      <c r="E380" s="1" t="s">
        <v>4</v>
      </c>
    </row>
    <row r="381" spans="1:5" x14ac:dyDescent="0.35">
      <c r="A381" s="1">
        <v>190</v>
      </c>
      <c r="B381" s="4" t="str">
        <f>HYPERLINK("https://doi.org/10.1007/s00167-012-2309-7","Indelicato (2013)")</f>
        <v>Indelicato (2013)</v>
      </c>
      <c r="C381" t="s">
        <v>2726</v>
      </c>
      <c r="D381" t="s">
        <v>2727</v>
      </c>
      <c r="E381" s="1" t="s">
        <v>4</v>
      </c>
    </row>
    <row r="382" spans="1:5" x14ac:dyDescent="0.35">
      <c r="A382" s="1">
        <v>191</v>
      </c>
      <c r="B382" s="4" t="str">
        <f>HYPERLINK("https://doi.org/10.2739/kurumemedj.MS66002","Inoue (2015)")</f>
        <v>Inoue (2015)</v>
      </c>
      <c r="C382" t="s">
        <v>2733</v>
      </c>
      <c r="D382" t="s">
        <v>2734</v>
      </c>
      <c r="E382" s="1" t="s">
        <v>15</v>
      </c>
    </row>
    <row r="383" spans="1:5" x14ac:dyDescent="0.35">
      <c r="A383" s="1">
        <v>192</v>
      </c>
      <c r="B383" s="4" t="str">
        <f>HYPERLINK("https://doi.org/10.7417/CT.2013.1540","Iorio (2013)")</f>
        <v>Iorio (2013)</v>
      </c>
      <c r="C383" t="s">
        <v>2740</v>
      </c>
      <c r="D383" t="s">
        <v>2741</v>
      </c>
      <c r="E383" s="1" t="s">
        <v>7</v>
      </c>
    </row>
    <row r="384" spans="1:5" x14ac:dyDescent="0.35">
      <c r="A384" s="1">
        <v>193</v>
      </c>
      <c r="B384" s="4" t="str">
        <f>HYPERLINK("https://doi.org/10.1007/s00167-021-06585-w","Irrgang (2021)")</f>
        <v>Irrgang (2021)</v>
      </c>
      <c r="C384" t="s">
        <v>2746</v>
      </c>
      <c r="D384" t="s">
        <v>2747</v>
      </c>
      <c r="E384" s="1" t="s">
        <v>4</v>
      </c>
    </row>
    <row r="385" spans="1:5" x14ac:dyDescent="0.35">
      <c r="A385" s="1">
        <v>200</v>
      </c>
      <c r="B385" s="4" t="str">
        <f>HYPERLINK("https://doi.org/10.1007/s00167-006-0138-2","Isberg (2006)")</f>
        <v>Isberg (2006)</v>
      </c>
      <c r="C385" t="s">
        <v>2753</v>
      </c>
      <c r="D385" t="s">
        <v>2754</v>
      </c>
      <c r="E385" s="1" t="s">
        <v>7</v>
      </c>
    </row>
    <row r="386" spans="1:5" x14ac:dyDescent="0.35">
      <c r="A386" s="1">
        <v>204</v>
      </c>
      <c r="B386" s="4" t="str">
        <f>HYPERLINK("https://doi.org/10.1007/s00167-011-1399-y","Isberg (2011)")</f>
        <v>Isberg (2011)</v>
      </c>
      <c r="C386" t="s">
        <v>2759</v>
      </c>
      <c r="D386" t="s">
        <v>2760</v>
      </c>
      <c r="E386" s="1" t="s">
        <v>7</v>
      </c>
    </row>
    <row r="387" spans="1:5" x14ac:dyDescent="0.35">
      <c r="A387" s="1">
        <v>206</v>
      </c>
      <c r="B387" s="4" t="str">
        <f>HYPERLINK("https://doi.org/10.1007/s00167-017-4678-4","Ithurburn (2018)")</f>
        <v>Ithurburn (2018)</v>
      </c>
      <c r="C387" t="s">
        <v>2765</v>
      </c>
      <c r="D387" t="s">
        <v>2766</v>
      </c>
      <c r="E387" s="1" t="s">
        <v>7</v>
      </c>
    </row>
    <row r="388" spans="1:5" x14ac:dyDescent="0.35">
      <c r="A388" s="1">
        <v>208</v>
      </c>
      <c r="B388" s="4" t="str">
        <f>HYPERLINK("https://doi.org/10.1016/j.knee.2006.10.004","Ito (2007)")</f>
        <v>Ito (2007)</v>
      </c>
      <c r="C388" t="s">
        <v>2771</v>
      </c>
      <c r="D388" t="s">
        <v>2772</v>
      </c>
      <c r="E388" s="1" t="s">
        <v>4</v>
      </c>
    </row>
    <row r="389" spans="1:5" x14ac:dyDescent="0.35">
      <c r="A389" s="1">
        <v>209</v>
      </c>
      <c r="B389" s="4" t="str">
        <f>HYPERLINK("https://doi.org/10.1177/0363546510397172","Izawa (2011)")</f>
        <v>Izawa (2011)</v>
      </c>
      <c r="C389" t="s">
        <v>2777</v>
      </c>
      <c r="D389" t="s">
        <v>2778</v>
      </c>
      <c r="E389" s="1" t="s">
        <v>7</v>
      </c>
    </row>
    <row r="390" spans="1:5" x14ac:dyDescent="0.35">
      <c r="A390" s="1">
        <v>122</v>
      </c>
      <c r="B390" s="4" t="str">
        <f>HYPERLINK("26875887")</f>
        <v>26875887</v>
      </c>
      <c r="C390" t="s">
        <v>173</v>
      </c>
      <c r="D390" t="s">
        <v>174</v>
      </c>
    </row>
    <row r="391" spans="1:5" x14ac:dyDescent="0.35">
      <c r="A391" s="1">
        <v>217</v>
      </c>
      <c r="B391" s="4" t="str">
        <f>HYPERLINK("https://doi.org/10.1007/s001670050166","Jansson (1999)")</f>
        <v>Jansson (1999)</v>
      </c>
      <c r="C391" t="s">
        <v>2792</v>
      </c>
      <c r="D391" t="s">
        <v>2793</v>
      </c>
      <c r="E391" s="1" t="s">
        <v>7</v>
      </c>
    </row>
    <row r="392" spans="1:5" x14ac:dyDescent="0.35">
      <c r="A392" s="1">
        <v>218</v>
      </c>
      <c r="B392" s="4" t="str">
        <f>HYPERLINK("https://doi.org/10.1177/03635465030310010501","Jansson (2003)")</f>
        <v>Jansson (2003)</v>
      </c>
      <c r="C392" t="s">
        <v>2798</v>
      </c>
      <c r="D392" t="s">
        <v>2799</v>
      </c>
      <c r="E392" s="1" t="s">
        <v>4</v>
      </c>
    </row>
    <row r="393" spans="1:5" x14ac:dyDescent="0.35">
      <c r="A393" s="1">
        <v>221</v>
      </c>
      <c r="B393" s="4" t="str">
        <f>HYPERLINK("https://doi.org/10.1007/s002640050357","Järvelä (1999)")</f>
        <v>Järvelä (1999)</v>
      </c>
      <c r="C393" t="s">
        <v>2804</v>
      </c>
      <c r="D393" t="s">
        <v>2805</v>
      </c>
      <c r="E393" s="1" t="s">
        <v>7</v>
      </c>
    </row>
    <row r="394" spans="1:5" x14ac:dyDescent="0.35">
      <c r="A394" s="8">
        <v>122</v>
      </c>
      <c r="B394" s="4" t="str">
        <f>HYPERLINK("https://www.embase.com/search/results?subaction=viewrecord&amp;id=LNCT06430775&amp;from=export")</f>
        <v>https://www.embase.com/search/results?subaction=viewrecord&amp;id=LNCT06430775&amp;from=export</v>
      </c>
      <c r="C394" s="6" t="s">
        <v>2549</v>
      </c>
      <c r="D394" s="6" t="s">
        <v>2550</v>
      </c>
    </row>
    <row r="395" spans="1:5" x14ac:dyDescent="0.35">
      <c r="A395" s="1">
        <v>123</v>
      </c>
      <c r="B395" s="4" t="str">
        <f>HYPERLINK("27682300")</f>
        <v>27682300</v>
      </c>
      <c r="C395" t="s">
        <v>180</v>
      </c>
      <c r="D395" t="s">
        <v>181</v>
      </c>
    </row>
    <row r="396" spans="1:5" x14ac:dyDescent="0.35">
      <c r="A396" s="1">
        <v>124</v>
      </c>
      <c r="B396" s="4" t="str">
        <f>HYPERLINK("28327683")</f>
        <v>28327683</v>
      </c>
      <c r="C396" t="s">
        <v>187</v>
      </c>
      <c r="D396" t="s">
        <v>188</v>
      </c>
    </row>
    <row r="397" spans="1:5" x14ac:dyDescent="0.35">
      <c r="A397" s="1">
        <v>244</v>
      </c>
      <c r="B397" s="4" t="str">
        <f>HYPERLINK("https://doi.org/10.1155/2022/6779207","Jin (2022)")</f>
        <v>Jin (2022)</v>
      </c>
      <c r="C397" t="s">
        <v>2831</v>
      </c>
      <c r="D397" t="s">
        <v>2832</v>
      </c>
      <c r="E397" s="1" t="s">
        <v>7</v>
      </c>
    </row>
    <row r="398" spans="1:5" x14ac:dyDescent="0.35">
      <c r="A398" s="1">
        <v>251</v>
      </c>
      <c r="B398" s="4" t="str">
        <f>HYPERLINK("https://doi.org/10.1302/0301-620x.81b5.8644","Jomha (1999)")</f>
        <v>Jomha (1999)</v>
      </c>
      <c r="C398" t="s">
        <v>2838</v>
      </c>
      <c r="D398" t="s">
        <v>2839</v>
      </c>
      <c r="E398" s="1" t="s">
        <v>15</v>
      </c>
    </row>
    <row r="399" spans="1:5" x14ac:dyDescent="0.35">
      <c r="A399" s="1">
        <v>261</v>
      </c>
      <c r="B399" s="4" t="str">
        <f>HYPERLINK("https://doi.org/10.1007/s001670050007","Jørgensen (2000)")</f>
        <v>Jørgensen (2000)</v>
      </c>
      <c r="C399" t="s">
        <v>2844</v>
      </c>
      <c r="D399" t="s">
        <v>2845</v>
      </c>
      <c r="E399" s="1" t="s">
        <v>7</v>
      </c>
    </row>
    <row r="400" spans="1:5" x14ac:dyDescent="0.35">
      <c r="A400" s="1">
        <v>124</v>
      </c>
      <c r="B400" s="4" t="str">
        <f>HYPERLINK("https://www.embase.com/search/results?subaction=viewrecord&amp;id=LNCT06505525&amp;from=export")</f>
        <v>https://www.embase.com/search/results?subaction=viewrecord&amp;id=LNCT06505525&amp;from=export</v>
      </c>
      <c r="C400" t="s">
        <v>2556</v>
      </c>
      <c r="D400" t="s">
        <v>2557</v>
      </c>
    </row>
    <row r="401" spans="1:5" x14ac:dyDescent="0.35">
      <c r="A401" s="1">
        <v>0</v>
      </c>
      <c r="B401" s="4" t="str">
        <f>HYPERLINK("https://doi.org/10.1016/j.arthro.2004.09.012","Kaeding (2005)")</f>
        <v>Kaeding (2005)</v>
      </c>
      <c r="C401" t="s">
        <v>2859</v>
      </c>
      <c r="D401" t="s">
        <v>2860</v>
      </c>
      <c r="E401" s="1" t="s">
        <v>4</v>
      </c>
    </row>
    <row r="402" spans="1:5" x14ac:dyDescent="0.35">
      <c r="A402" s="1">
        <v>6</v>
      </c>
      <c r="B402" s="4" t="str">
        <f>HYPERLINK("https://doi.org/10.1177/0363546515626543","Karikis (2016)")</f>
        <v>Karikis (2016)</v>
      </c>
      <c r="C402" t="s">
        <v>2866</v>
      </c>
      <c r="D402" t="s">
        <v>2867</v>
      </c>
      <c r="E402" s="1" t="s">
        <v>4</v>
      </c>
    </row>
    <row r="403" spans="1:5" x14ac:dyDescent="0.35">
      <c r="A403" s="1">
        <v>10</v>
      </c>
      <c r="B403" s="4" t="str">
        <f>HYPERLINK("https://doi.org/10.1016/j.arthro.2017.06.025","Karikis (2017)")</f>
        <v>Karikis (2017)</v>
      </c>
      <c r="C403" t="s">
        <v>2873</v>
      </c>
      <c r="D403" t="s">
        <v>2874</v>
      </c>
      <c r="E403" s="1" t="s">
        <v>15</v>
      </c>
    </row>
    <row r="404" spans="1:5" x14ac:dyDescent="0.35">
      <c r="A404" s="1">
        <v>11</v>
      </c>
      <c r="B404" s="4" t="str">
        <f>HYPERLINK("https://doi.org/10.1007/s00167-014-2890-z","Karimi-Mobarakeh (2015)")</f>
        <v>Karimi-Mobarakeh (2015)</v>
      </c>
      <c r="C404" t="s">
        <v>2880</v>
      </c>
      <c r="D404" t="s">
        <v>2881</v>
      </c>
      <c r="E404" s="1" t="s">
        <v>4</v>
      </c>
    </row>
    <row r="405" spans="1:5" x14ac:dyDescent="0.35">
      <c r="A405" s="1">
        <v>13</v>
      </c>
      <c r="B405" s="4" t="str">
        <f>HYPERLINK("https://doi.org/10.1177/036354659402200514","Karlson (1994)")</f>
        <v>Karlson (1994)</v>
      </c>
      <c r="C405" t="s">
        <v>2886</v>
      </c>
      <c r="D405" t="s">
        <v>2887</v>
      </c>
      <c r="E405" s="1" t="s">
        <v>7</v>
      </c>
    </row>
    <row r="406" spans="1:5" x14ac:dyDescent="0.35">
      <c r="A406" s="1">
        <v>15</v>
      </c>
      <c r="B406" s="4" t="str">
        <f>HYPERLINK("https://doi.org/10.1007/s00264-014-2495-7","Kautzner (2015)")</f>
        <v>Kautzner (2015)</v>
      </c>
      <c r="C406" t="s">
        <v>2893</v>
      </c>
      <c r="D406" t="s">
        <v>2894</v>
      </c>
      <c r="E406" s="1" t="s">
        <v>4</v>
      </c>
    </row>
    <row r="407" spans="1:5" x14ac:dyDescent="0.35">
      <c r="A407" s="1">
        <v>125</v>
      </c>
      <c r="B407" s="4" t="str">
        <f>HYPERLINK("https://doi.org/10.1177/03635465221128566","Balasingam (2022)")</f>
        <v>Balasingam (2022)</v>
      </c>
      <c r="C407" t="s">
        <v>441</v>
      </c>
      <c r="D407" t="s">
        <v>442</v>
      </c>
      <c r="E407" s="1" t="s">
        <v>4</v>
      </c>
    </row>
    <row r="408" spans="1:5" x14ac:dyDescent="0.35">
      <c r="A408" s="1">
        <v>22</v>
      </c>
      <c r="B408" s="4" t="str">
        <f>HYPERLINK("https://doi.org/10.1016/j.knee.2025.07.024","Kentel (2025)")</f>
        <v>Kentel (2025)</v>
      </c>
      <c r="C408" t="s">
        <v>2908</v>
      </c>
      <c r="D408" t="s">
        <v>2909</v>
      </c>
      <c r="E408" s="1" t="s">
        <v>15</v>
      </c>
    </row>
    <row r="409" spans="1:5" x14ac:dyDescent="0.35">
      <c r="A409" s="1">
        <v>125</v>
      </c>
      <c r="B409" s="4" t="str">
        <f>HYPERLINK("https://www.embase.com/search/results?subaction=viewrecord&amp;id=LNCT02939677&amp;from=export")</f>
        <v>https://www.embase.com/search/results?subaction=viewrecord&amp;id=LNCT02939677&amp;from=export</v>
      </c>
      <c r="C409" t="s">
        <v>1947</v>
      </c>
      <c r="D409" t="s">
        <v>1948</v>
      </c>
    </row>
    <row r="410" spans="1:5" x14ac:dyDescent="0.35">
      <c r="A410" s="1">
        <v>34</v>
      </c>
      <c r="B410" s="4" t="str">
        <f>HYPERLINK("https://doi.org/10.53555/yqb1tm68","Khan (2024)")</f>
        <v>Khan (2024)</v>
      </c>
      <c r="C410" t="s">
        <v>2922</v>
      </c>
      <c r="D410" t="s">
        <v>2923</v>
      </c>
      <c r="E410" s="1" t="s">
        <v>7</v>
      </c>
    </row>
    <row r="411" spans="1:5" x14ac:dyDescent="0.35">
      <c r="A411" s="1">
        <v>36</v>
      </c>
      <c r="B411" s="4" t="str">
        <f>HYPERLINK("https://doi.org/10.4103/jajs.jajs_137_22","Khan (2024)")</f>
        <v>Khan (2024)</v>
      </c>
      <c r="C411" t="s">
        <v>2929</v>
      </c>
      <c r="D411" t="s">
        <v>2930</v>
      </c>
      <c r="E411" s="1" t="s">
        <v>4</v>
      </c>
    </row>
    <row r="412" spans="1:5" x14ac:dyDescent="0.35">
      <c r="A412" s="1">
        <v>69</v>
      </c>
      <c r="B412" s="4" t="str">
        <f>HYPERLINK("https://doi.org/10.1016/j.jcot.2017.06.015","Khare (2017)")</f>
        <v>Khare (2017)</v>
      </c>
      <c r="C412" t="s">
        <v>2936</v>
      </c>
      <c r="D412" t="s">
        <v>2937</v>
      </c>
      <c r="E412" s="1" t="s">
        <v>7</v>
      </c>
    </row>
    <row r="413" spans="1:5" x14ac:dyDescent="0.35">
      <c r="A413" s="1">
        <v>126</v>
      </c>
      <c r="B413" s="4" t="str">
        <f>HYPERLINK("https://www.embase.com/search/results?subaction=viewrecord&amp;id=LNCT03047187&amp;from=export")</f>
        <v>https://www.embase.com/search/results?subaction=viewrecord&amp;id=LNCT03047187&amp;from=export</v>
      </c>
      <c r="C413" t="s">
        <v>1954</v>
      </c>
      <c r="D413" t="s">
        <v>1955</v>
      </c>
    </row>
    <row r="414" spans="1:5" x14ac:dyDescent="0.35">
      <c r="A414" s="1">
        <v>2</v>
      </c>
      <c r="B414" s="4" t="str">
        <f>HYPERLINK("https://doi.org/10.1177/2325967116685525","Kiekara (2017)")</f>
        <v>Kiekara (2017)</v>
      </c>
      <c r="C414" t="s">
        <v>2952</v>
      </c>
      <c r="D414" t="s">
        <v>2953</v>
      </c>
      <c r="E414" s="1" t="s">
        <v>7</v>
      </c>
    </row>
    <row r="415" spans="1:5" x14ac:dyDescent="0.35">
      <c r="A415" s="1">
        <v>3</v>
      </c>
      <c r="B415" s="4" t="str">
        <f>HYPERLINK("https://doi.org/10.2106/JBJS.L.00356","Kim (2013)")</f>
        <v>Kim (2013)</v>
      </c>
      <c r="C415" t="s">
        <v>2960</v>
      </c>
      <c r="D415" t="s">
        <v>2961</v>
      </c>
      <c r="E415" s="1" t="s">
        <v>4</v>
      </c>
    </row>
    <row r="416" spans="1:5" x14ac:dyDescent="0.35">
      <c r="A416" s="1">
        <v>7</v>
      </c>
      <c r="B416" s="4" t="str">
        <f>HYPERLINK("https://doi.org/10.1177/0363546517744535","Kim (2018)")</f>
        <v>Kim (2018)</v>
      </c>
      <c r="C416" t="s">
        <v>2968</v>
      </c>
      <c r="D416" t="s">
        <v>2969</v>
      </c>
      <c r="E416" s="1" t="s">
        <v>4</v>
      </c>
    </row>
    <row r="417" spans="1:5" x14ac:dyDescent="0.35">
      <c r="A417" s="1">
        <v>13</v>
      </c>
      <c r="B417" s="5" t="str">
        <f>HYPERLINK("https://doi.org/10.3944/AOTT.2014.13.0111","Klinikli (2014)")</f>
        <v>Klinikli (2014)</v>
      </c>
      <c r="C417" t="s">
        <v>2976</v>
      </c>
      <c r="D417" t="s">
        <v>2977</v>
      </c>
      <c r="E417" s="1" t="s">
        <v>7</v>
      </c>
    </row>
    <row r="418" spans="1:5" x14ac:dyDescent="0.35">
      <c r="A418" s="1">
        <v>20</v>
      </c>
      <c r="B418" s="4" t="str">
        <f>HYPERLINK("https://doi.org/10.1177/0363546514567069","Koga (2015)")</f>
        <v>Koga (2015)</v>
      </c>
      <c r="C418" t="s">
        <v>2984</v>
      </c>
      <c r="D418" t="s">
        <v>2985</v>
      </c>
      <c r="E418" s="1" t="s">
        <v>4</v>
      </c>
    </row>
    <row r="419" spans="1:5" x14ac:dyDescent="0.35">
      <c r="A419" s="1">
        <v>23</v>
      </c>
      <c r="B419" s="4" t="str">
        <f>HYPERLINK("https://doi.org/10.1016/j.arthro.2014.07.020","Koga (2015)")</f>
        <v>Koga (2015)</v>
      </c>
      <c r="C419" t="s">
        <v>2992</v>
      </c>
      <c r="D419" t="s">
        <v>2993</v>
      </c>
      <c r="E419" s="1" t="s">
        <v>4</v>
      </c>
    </row>
    <row r="420" spans="1:5" x14ac:dyDescent="0.35">
      <c r="A420" s="1">
        <v>24</v>
      </c>
      <c r="B420" s="4" t="str">
        <f>HYPERLINK("https://doi.org/10.1007/s12570-013-0231-1","Koken (2014)")</f>
        <v>Koken (2014)</v>
      </c>
      <c r="C420" t="s">
        <v>3000</v>
      </c>
      <c r="D420" t="s">
        <v>3001</v>
      </c>
      <c r="E420" s="1" t="s">
        <v>4</v>
      </c>
    </row>
    <row r="421" spans="1:5" x14ac:dyDescent="0.35">
      <c r="A421" s="1">
        <v>29</v>
      </c>
      <c r="B421" s="4" t="str">
        <f>HYPERLINK("https://doi.org/10.1007/s00402-021-04195-2","Komzák (2022)")</f>
        <v>Komzák (2022)</v>
      </c>
      <c r="C421" t="s">
        <v>3008</v>
      </c>
      <c r="D421" t="s">
        <v>3009</v>
      </c>
      <c r="E421" s="1" t="s">
        <v>4</v>
      </c>
    </row>
    <row r="422" spans="1:5" x14ac:dyDescent="0.35">
      <c r="A422" s="1">
        <v>126</v>
      </c>
      <c r="B422" s="4" t="str">
        <f>HYPERLINK("https://doi.org/10.2519/jospt.1994.20.5.247","Yack (1994)")</f>
        <v>Yack (1994)</v>
      </c>
      <c r="C422" t="s">
        <v>3985</v>
      </c>
      <c r="D422" t="s">
        <v>3986</v>
      </c>
    </row>
    <row r="423" spans="1:5" x14ac:dyDescent="0.35">
      <c r="A423" s="1">
        <v>36</v>
      </c>
      <c r="B423" s="4" t="str">
        <f>HYPERLINK("https://doi.org/10.1007/s00402-015-2386-4","Konrads (2016)")</f>
        <v>Konrads (2016)</v>
      </c>
      <c r="C423" t="s">
        <v>3023</v>
      </c>
      <c r="D423" t="s">
        <v>3024</v>
      </c>
      <c r="E423" s="1" t="s">
        <v>4</v>
      </c>
    </row>
    <row r="424" spans="1:5" x14ac:dyDescent="0.35">
      <c r="A424" s="1">
        <v>127</v>
      </c>
      <c r="B424" s="4" t="str">
        <f>HYPERLINK("36055668")</f>
        <v>36055668</v>
      </c>
      <c r="C424" t="s">
        <v>194</v>
      </c>
      <c r="D424" t="s">
        <v>195</v>
      </c>
    </row>
    <row r="425" spans="1:5" x14ac:dyDescent="0.35">
      <c r="A425" s="1">
        <v>43</v>
      </c>
      <c r="B425" s="4" t="str">
        <f>HYPERLINK("https://doi.org/10.1007/s00167-019-05456-9","Kouloumentas (2019)")</f>
        <v>Kouloumentas (2019)</v>
      </c>
      <c r="C425" t="s">
        <v>3037</v>
      </c>
      <c r="D425" t="s">
        <v>3038</v>
      </c>
      <c r="E425" s="1" t="s">
        <v>4</v>
      </c>
    </row>
    <row r="426" spans="1:5" x14ac:dyDescent="0.35">
      <c r="A426" s="1">
        <v>44</v>
      </c>
      <c r="B426" s="4" t="str">
        <f>HYPERLINK("https://doi.org/10.1007/s00167-012-2323-9","Koutras (2013)")</f>
        <v>Koutras (2013)</v>
      </c>
      <c r="C426" t="s">
        <v>3045</v>
      </c>
      <c r="D426" t="s">
        <v>3046</v>
      </c>
      <c r="E426" s="1" t="s">
        <v>15</v>
      </c>
    </row>
    <row r="427" spans="1:5" x14ac:dyDescent="0.35">
      <c r="A427" s="1">
        <v>47</v>
      </c>
      <c r="B427" s="4" t="str">
        <f>HYPERLINK("https://doi.org/10.1016/j.arthro.2020.08.012","Krishna (2021)")</f>
        <v>Krishna (2021)</v>
      </c>
      <c r="C427" t="s">
        <v>3053</v>
      </c>
      <c r="D427" t="s">
        <v>3054</v>
      </c>
      <c r="E427" s="1" t="s">
        <v>4</v>
      </c>
    </row>
    <row r="428" spans="1:5" x14ac:dyDescent="0.35">
      <c r="A428" s="1">
        <v>51</v>
      </c>
      <c r="B428" s="4" t="str">
        <f>HYPERLINK("https://doi.org/10.3928/0147-7447-19980101-10","Kühne (1998)")</f>
        <v>Kühne (1998)</v>
      </c>
      <c r="C428" t="s">
        <v>3061</v>
      </c>
      <c r="D428" t="s">
        <v>3062</v>
      </c>
      <c r="E428" s="1" t="s">
        <v>7</v>
      </c>
    </row>
    <row r="429" spans="1:5" x14ac:dyDescent="0.35">
      <c r="A429" s="1">
        <v>107</v>
      </c>
      <c r="B429" s="4" t="str">
        <f>HYPERLINK("https://doi.org/10.1177/03635465221149738","Kuli?ski (2023)")</f>
        <v>Kuli?ski (2023)</v>
      </c>
      <c r="C429" t="s">
        <v>3069</v>
      </c>
      <c r="D429" t="s">
        <v>3070</v>
      </c>
      <c r="E429" s="1" t="s">
        <v>4</v>
      </c>
    </row>
    <row r="430" spans="1:5" x14ac:dyDescent="0.35">
      <c r="A430" s="1">
        <v>112</v>
      </c>
      <c r="B430" s="4" t="str">
        <f>HYPERLINK("https://doi.org/10.1007/s00590-021-02912-6","Kulshrestha (2021)")</f>
        <v>Kulshrestha (2021)</v>
      </c>
      <c r="C430" t="s">
        <v>3076</v>
      </c>
      <c r="D430" t="s">
        <v>3077</v>
      </c>
      <c r="E430" s="1" t="s">
        <v>4</v>
      </c>
    </row>
    <row r="431" spans="1:5" x14ac:dyDescent="0.35">
      <c r="A431" s="1">
        <v>122</v>
      </c>
      <c r="B431" s="4" t="str">
        <f>HYPERLINK("https://doi.org/10.23750/abm.v92i6.10875","Labianca (2022)")</f>
        <v>Labianca (2022)</v>
      </c>
      <c r="C431" t="s">
        <v>3083</v>
      </c>
      <c r="D431" t="s">
        <v>1941</v>
      </c>
      <c r="E431" s="1" t="s">
        <v>4</v>
      </c>
    </row>
    <row r="432" spans="1:5" x14ac:dyDescent="0.35">
      <c r="A432" s="1">
        <v>4</v>
      </c>
      <c r="B432" s="4" t="str">
        <f>HYPERLINK("https://doi.org/10.1016/j.rco.2008.01.008","Laboute (2008)")</f>
        <v>Laboute (2008)</v>
      </c>
      <c r="C432" t="s">
        <v>3087</v>
      </c>
      <c r="D432" t="s">
        <v>3088</v>
      </c>
      <c r="E432" s="1" t="s">
        <v>7</v>
      </c>
    </row>
    <row r="433" spans="1:5" x14ac:dyDescent="0.35">
      <c r="A433" s="1">
        <v>5</v>
      </c>
      <c r="B433" s="4" t="str">
        <f>HYPERLINK("https://doi.org/10.1007/s00132-012-1898-7","Lahner (2012)")</f>
        <v>Lahner (2012)</v>
      </c>
      <c r="C433" t="s">
        <v>3095</v>
      </c>
      <c r="D433" t="s">
        <v>3096</v>
      </c>
      <c r="E433" s="1" t="s">
        <v>7</v>
      </c>
    </row>
    <row r="434" spans="1:5" x14ac:dyDescent="0.35">
      <c r="A434" s="1">
        <v>128</v>
      </c>
      <c r="B434" s="4" t="str">
        <f>HYPERLINK("37499157")</f>
        <v>37499157</v>
      </c>
      <c r="C434" t="s">
        <v>201</v>
      </c>
      <c r="D434" t="s">
        <v>202</v>
      </c>
    </row>
    <row r="435" spans="1:5" x14ac:dyDescent="0.35">
      <c r="A435" s="1">
        <v>9</v>
      </c>
      <c r="B435" s="4" t="str">
        <f>HYPERLINK("https://doi.org/10.1016/j.arthro.2024.06.042","Lavender (2025)")</f>
        <v>Lavender (2025)</v>
      </c>
      <c r="C435" t="s">
        <v>3111</v>
      </c>
      <c r="D435" t="s">
        <v>3112</v>
      </c>
      <c r="E435" s="1" t="s">
        <v>4</v>
      </c>
    </row>
    <row r="436" spans="1:5" x14ac:dyDescent="0.35">
      <c r="A436" s="1">
        <v>13</v>
      </c>
      <c r="B436" s="4" t="str">
        <f>HYPERLINK("https://doi.org/10.1002/ksa.12698","Lawless (2026)")</f>
        <v>Lawless (2026)</v>
      </c>
      <c r="C436" t="s">
        <v>3119</v>
      </c>
      <c r="D436" t="s">
        <v>3120</v>
      </c>
      <c r="E436" s="1" t="s">
        <v>4</v>
      </c>
    </row>
    <row r="437" spans="1:5" x14ac:dyDescent="0.35">
      <c r="A437" s="1">
        <v>15</v>
      </c>
      <c r="B437" s="4" t="str">
        <f>HYPERLINK("https://doi.org/10.1016/j.arthro.2004.09.014","Laxdal (2005)")</f>
        <v>Laxdal (2005)</v>
      </c>
      <c r="C437" t="s">
        <v>3127</v>
      </c>
      <c r="D437" t="s">
        <v>3128</v>
      </c>
      <c r="E437" s="1" t="s">
        <v>4</v>
      </c>
    </row>
    <row r="438" spans="1:5" x14ac:dyDescent="0.35">
      <c r="A438" s="1">
        <v>128</v>
      </c>
      <c r="B438" s="4" t="str">
        <f>HYPERLINK("https://doi.org/10.1177/0363546517721692","Chen (2017)")</f>
        <v>Chen (2017)</v>
      </c>
      <c r="C438" t="s">
        <v>804</v>
      </c>
      <c r="D438" t="s">
        <v>805</v>
      </c>
    </row>
    <row r="439" spans="1:5" x14ac:dyDescent="0.35">
      <c r="A439" s="1">
        <v>37</v>
      </c>
      <c r="B439" s="4" t="str">
        <f>HYPERLINK("https://doi.org/10.1097/JSM.0b013e31822153cb","Leal-Blanquet (2011)")</f>
        <v>Leal-Blanquet (2011)</v>
      </c>
      <c r="C439" t="s">
        <v>3143</v>
      </c>
      <c r="D439" t="s">
        <v>3144</v>
      </c>
      <c r="E439" s="1" t="s">
        <v>15</v>
      </c>
    </row>
    <row r="440" spans="1:5" x14ac:dyDescent="0.35">
      <c r="A440" s="1">
        <v>129</v>
      </c>
      <c r="B440" s="4" t="str">
        <f>HYPERLINK("3896609")</f>
        <v>3896609</v>
      </c>
      <c r="C440" t="s">
        <v>208</v>
      </c>
      <c r="D440" t="s">
        <v>209</v>
      </c>
    </row>
    <row r="441" spans="1:5" x14ac:dyDescent="0.35">
      <c r="A441" s="1">
        <v>70</v>
      </c>
      <c r="B441" s="4" t="str">
        <f>HYPERLINK("https://doi.org/10.1016/j.knee.2010.09.004","Lee (2011)")</f>
        <v>Lee (2011)</v>
      </c>
      <c r="C441" t="s">
        <v>3159</v>
      </c>
      <c r="D441" t="s">
        <v>3160</v>
      </c>
      <c r="E441" s="1" t="s">
        <v>15</v>
      </c>
    </row>
    <row r="442" spans="1:5" x14ac:dyDescent="0.35">
      <c r="A442" s="1">
        <v>74</v>
      </c>
      <c r="B442" s="4" t="str">
        <f>HYPERLINK("https://doi.org/10.1007/s00167-012-1880-2","Lee (2012)")</f>
        <v>Lee (2012)</v>
      </c>
      <c r="C442" t="s">
        <v>3166</v>
      </c>
      <c r="D442" t="s">
        <v>3167</v>
      </c>
      <c r="E442" s="1" t="s">
        <v>4</v>
      </c>
    </row>
    <row r="443" spans="1:5" x14ac:dyDescent="0.35">
      <c r="A443" s="1">
        <v>82</v>
      </c>
      <c r="B443" s="4" t="str">
        <f>HYPERLINK("https://doi.org/10.1177/2325967120933135","Lee (2020)")</f>
        <v>Lee (2020)</v>
      </c>
      <c r="C443" t="s">
        <v>3174</v>
      </c>
      <c r="D443" t="s">
        <v>3175</v>
      </c>
      <c r="E443" s="1" t="s">
        <v>4</v>
      </c>
    </row>
    <row r="444" spans="1:5" x14ac:dyDescent="0.35">
      <c r="A444" s="1">
        <v>83</v>
      </c>
      <c r="B444" s="4" t="str">
        <f>HYPERLINK("https://doi.org/10.1007/s00508-014-0550-4","Leitgeb (2014)")</f>
        <v>Leitgeb (2014)</v>
      </c>
      <c r="C444" t="s">
        <v>3181</v>
      </c>
      <c r="D444" t="s">
        <v>3182</v>
      </c>
      <c r="E444" s="1" t="s">
        <v>7</v>
      </c>
    </row>
    <row r="445" spans="1:5" x14ac:dyDescent="0.35">
      <c r="A445" s="1">
        <v>132</v>
      </c>
      <c r="B445" s="4" t="str">
        <f>HYPERLINK("https://doi.org/10.1007/s00167-014-3490-7","Lelli (2016)")</f>
        <v>Lelli (2016)</v>
      </c>
      <c r="C445" t="s">
        <v>3189</v>
      </c>
      <c r="D445" t="s">
        <v>3190</v>
      </c>
      <c r="E445" s="1" t="s">
        <v>7</v>
      </c>
    </row>
    <row r="446" spans="1:5" x14ac:dyDescent="0.35">
      <c r="A446" s="1">
        <v>148</v>
      </c>
      <c r="B446" s="4" t="str">
        <f>HYPERLINK("https://doi.org/10.1177/0363546511430375","Leys (2012)")</f>
        <v>Leys (2012)</v>
      </c>
      <c r="C446" t="s">
        <v>3197</v>
      </c>
      <c r="D446" t="s">
        <v>3198</v>
      </c>
      <c r="E446" s="1" t="s">
        <v>15</v>
      </c>
    </row>
    <row r="447" spans="1:5" x14ac:dyDescent="0.35">
      <c r="A447" s="1">
        <v>129</v>
      </c>
      <c r="B447" s="4" t="str">
        <f>HYPERLINK("https://www.embase.com/search/results?subaction=viewrecord&amp;id=LNCT06505525&amp;from=export")</f>
        <v>https://www.embase.com/search/results?subaction=viewrecord&amp;id=LNCT06505525&amp;from=export</v>
      </c>
      <c r="C447" t="s">
        <v>2562</v>
      </c>
      <c r="D447" t="s">
        <v>2563</v>
      </c>
    </row>
    <row r="448" spans="1:5" x14ac:dyDescent="0.35">
      <c r="A448" s="1">
        <v>204</v>
      </c>
      <c r="B448" s="4" t="str">
        <f>HYPERLINK("https://doi.org/10.1016/j.physio.2021.11.003","Li (2022)")</f>
        <v>Li (2022)</v>
      </c>
      <c r="C448" t="s">
        <v>3212</v>
      </c>
      <c r="D448" t="s">
        <v>3213</v>
      </c>
      <c r="E448" s="1" t="s">
        <v>4</v>
      </c>
    </row>
    <row r="449" spans="1:5" x14ac:dyDescent="0.35">
      <c r="A449" s="1">
        <v>298</v>
      </c>
      <c r="B449" s="4" t="str">
        <f>HYPERLINK("https://doi.org/10.1177/10538127241296376","Li (2025)")</f>
        <v>Li (2025)</v>
      </c>
      <c r="C449" t="s">
        <v>3220</v>
      </c>
      <c r="D449" t="s">
        <v>3221</v>
      </c>
      <c r="E449" s="1" t="s">
        <v>4</v>
      </c>
    </row>
    <row r="450" spans="1:5" x14ac:dyDescent="0.35">
      <c r="A450" s="1">
        <v>1</v>
      </c>
      <c r="B450" s="4" t="str">
        <f>HYPERLINK("https://doi.org/10.1177/0363546506298275","Lidén (2007)")</f>
        <v>Lidén (2007)</v>
      </c>
      <c r="C450" t="s">
        <v>3227</v>
      </c>
      <c r="D450" t="s">
        <v>3228</v>
      </c>
      <c r="E450" s="1" t="s">
        <v>4</v>
      </c>
    </row>
    <row r="451" spans="1:5" x14ac:dyDescent="0.35">
      <c r="A451" s="1">
        <v>130</v>
      </c>
      <c r="B451" s="4" t="str">
        <f>HYPERLINK("https://www.embase.com/search/results?subaction=viewrecord&amp;id=LNCT03047187&amp;from=export")</f>
        <v>https://www.embase.com/search/results?subaction=viewrecord&amp;id=LNCT03047187&amp;from=export</v>
      </c>
      <c r="C451" t="s">
        <v>1961</v>
      </c>
      <c r="D451" t="s">
        <v>1962</v>
      </c>
    </row>
    <row r="452" spans="1:5" x14ac:dyDescent="0.35">
      <c r="A452" s="1">
        <v>7</v>
      </c>
      <c r="B452" s="4" t="str">
        <f>HYPERLINK("https://doi.org/10.1136/bjsports-2019-101000","Lind (2020)")</f>
        <v>Lind (2020)</v>
      </c>
      <c r="C452" t="s">
        <v>3243</v>
      </c>
      <c r="D452" t="s">
        <v>3244</v>
      </c>
      <c r="E452" s="1" t="s">
        <v>4</v>
      </c>
    </row>
    <row r="453" spans="1:5" x14ac:dyDescent="0.35">
      <c r="A453" s="1">
        <v>26</v>
      </c>
      <c r="B453" s="4" t="str">
        <f>HYPERLINK("https://doi.org/10.1016/j.knee.2015.04.015","Lindström (2015)")</f>
        <v>Lindström (2015)</v>
      </c>
      <c r="C453" t="s">
        <v>3250</v>
      </c>
      <c r="D453" t="s">
        <v>3251</v>
      </c>
      <c r="E453" s="1" t="s">
        <v>7</v>
      </c>
    </row>
    <row r="454" spans="1:5" x14ac:dyDescent="0.35">
      <c r="A454" s="1">
        <v>130</v>
      </c>
      <c r="B454" s="4" t="str">
        <f>HYPERLINK("https://doi.org/10.1177/0363546516658041","Thompson (2016)")</f>
        <v>Thompson (2016)</v>
      </c>
      <c r="C454" t="s">
        <v>3813</v>
      </c>
      <c r="D454" t="s">
        <v>3814</v>
      </c>
    </row>
    <row r="455" spans="1:5" x14ac:dyDescent="0.35">
      <c r="A455" s="1">
        <v>131</v>
      </c>
      <c r="B455" s="4" t="str">
        <f>HYPERLINK("https://www.embase.com/search/results?subaction=viewrecord&amp;id=LNCT03073083&amp;from=export")</f>
        <v>https://www.embase.com/search/results?subaction=viewrecord&amp;id=LNCT03073083&amp;from=export</v>
      </c>
      <c r="C455" t="s">
        <v>1967</v>
      </c>
      <c r="D455" t="s">
        <v>1968</v>
      </c>
    </row>
    <row r="456" spans="1:5" x14ac:dyDescent="0.35">
      <c r="A456" s="1">
        <v>38</v>
      </c>
      <c r="B456" s="4" t="str">
        <f>HYPERLINK("https://doi.org/10.1177/0363546517752918","Liu (2018)")</f>
        <v>Liu (2018)</v>
      </c>
      <c r="C456" t="s">
        <v>3269</v>
      </c>
      <c r="D456" t="s">
        <v>3270</v>
      </c>
      <c r="E456" s="1" t="s">
        <v>4</v>
      </c>
    </row>
    <row r="457" spans="1:5" x14ac:dyDescent="0.35">
      <c r="A457" s="1">
        <v>40</v>
      </c>
      <c r="B457" s="4" t="str">
        <f>HYPERLINK("https://doi.org/10.7507/1002-1892.201902059","Liu (2019)")</f>
        <v>Liu (2019)</v>
      </c>
      <c r="C457" t="s">
        <v>3276</v>
      </c>
      <c r="D457" t="s">
        <v>3277</v>
      </c>
      <c r="E457" s="1" t="s">
        <v>4</v>
      </c>
    </row>
    <row r="458" spans="1:5" x14ac:dyDescent="0.35">
      <c r="A458" s="1">
        <v>46</v>
      </c>
      <c r="B458" s="4" t="str">
        <f>HYPERLINK("https://doi.org/10.1177/03635465221128581","Lodhia (2022)")</f>
        <v>Lodhia (2022)</v>
      </c>
      <c r="C458" t="s">
        <v>3284</v>
      </c>
      <c r="D458" t="s">
        <v>3285</v>
      </c>
      <c r="E458" s="1" t="s">
        <v>7</v>
      </c>
    </row>
    <row r="459" spans="1:5" x14ac:dyDescent="0.35">
      <c r="A459" s="1">
        <v>52</v>
      </c>
      <c r="B459" s="4" t="str">
        <f>HYPERLINK("https://doi.org/10.2519/jospt.2014.4852","Logerstedt (2014)")</f>
        <v>Logerstedt (2014)</v>
      </c>
      <c r="C459" t="s">
        <v>3291</v>
      </c>
      <c r="D459" t="s">
        <v>3292</v>
      </c>
      <c r="E459" s="1" t="s">
        <v>7</v>
      </c>
    </row>
    <row r="460" spans="1:5" x14ac:dyDescent="0.35">
      <c r="A460" s="1">
        <v>131</v>
      </c>
      <c r="B460" s="4" t="str">
        <f>HYPERLINK("https://doi.org/10.2340/16501977-2664","Zhang (2020)")</f>
        <v>Zhang (2020)</v>
      </c>
      <c r="C460" t="s">
        <v>4073</v>
      </c>
      <c r="D460" t="s">
        <v>4074</v>
      </c>
    </row>
    <row r="461" spans="1:5" x14ac:dyDescent="0.35">
      <c r="A461" s="1">
        <v>132</v>
      </c>
      <c r="B461" s="4" t="str">
        <f>HYPERLINK("39855903")</f>
        <v>39855903</v>
      </c>
      <c r="C461" t="s">
        <v>215</v>
      </c>
      <c r="D461" t="s">
        <v>216</v>
      </c>
    </row>
    <row r="462" spans="1:5" x14ac:dyDescent="0.35">
      <c r="A462" s="1">
        <v>58</v>
      </c>
      <c r="B462" s="4" t="str">
        <f>HYPERLINK("https://doi.org/10.1016/j.knee.2012.02.005","Lui (2012)")</f>
        <v>Lui (2012)</v>
      </c>
      <c r="C462" t="s">
        <v>3315</v>
      </c>
      <c r="D462" t="s">
        <v>3316</v>
      </c>
      <c r="E462" s="1" t="s">
        <v>4</v>
      </c>
    </row>
    <row r="463" spans="1:5" x14ac:dyDescent="0.35">
      <c r="A463" s="1">
        <v>65</v>
      </c>
      <c r="B463" s="4" t="str">
        <f>HYPERLINK("https://doi.org/10.1016/j.arthro.2014.01.012","Lund (2014)")</f>
        <v>Lund (2014)</v>
      </c>
      <c r="C463" t="s">
        <v>3322</v>
      </c>
      <c r="D463" t="s">
        <v>3323</v>
      </c>
      <c r="E463" s="1" t="s">
        <v>4</v>
      </c>
    </row>
    <row r="464" spans="1:5" x14ac:dyDescent="0.35">
      <c r="A464" s="1">
        <v>66</v>
      </c>
      <c r="B464" s="4" t="str">
        <f>HYPERLINK("https://doi.org/10.1186/s12893-023-02271-5","Ma (2023)")</f>
        <v>Ma (2023)</v>
      </c>
      <c r="C464" t="s">
        <v>3329</v>
      </c>
      <c r="D464" t="s">
        <v>3330</v>
      </c>
      <c r="E464" s="1" t="s">
        <v>4</v>
      </c>
    </row>
    <row r="465" spans="1:5" x14ac:dyDescent="0.35">
      <c r="A465" s="1">
        <v>67</v>
      </c>
      <c r="B465" s="4" t="str">
        <f>HYPERLINK("https://doi.org/10.1177/036354659502300512","MacDonald (1995)")</f>
        <v>MacDonald (1995)</v>
      </c>
      <c r="C465" t="s">
        <v>3335</v>
      </c>
      <c r="D465" t="s">
        <v>3336</v>
      </c>
      <c r="E465" s="1" t="s">
        <v>7</v>
      </c>
    </row>
    <row r="466" spans="1:5" x14ac:dyDescent="0.35">
      <c r="A466" s="1">
        <v>69</v>
      </c>
      <c r="B466" s="4" t="str">
        <f>HYPERLINK("https://doi.org/10.1177/036354659602400612","MacDonald (1996)")</f>
        <v>MacDonald (1996)</v>
      </c>
      <c r="C466" t="s">
        <v>3342</v>
      </c>
      <c r="D466" t="s">
        <v>3343</v>
      </c>
      <c r="E466" s="1" t="s">
        <v>15</v>
      </c>
    </row>
    <row r="467" spans="1:5" x14ac:dyDescent="0.35">
      <c r="A467" s="1">
        <v>70</v>
      </c>
      <c r="B467" s="4" t="str">
        <f>HYPERLINK("https://doi.org/10.1007/s00167-017-4664-x","MacDonald (2018)")</f>
        <v>MacDonald (2018)</v>
      </c>
      <c r="C467" t="s">
        <v>3349</v>
      </c>
      <c r="D467" t="s">
        <v>3350</v>
      </c>
      <c r="E467" s="1" t="s">
        <v>4</v>
      </c>
    </row>
    <row r="468" spans="1:5" x14ac:dyDescent="0.35">
      <c r="A468" s="1">
        <v>72</v>
      </c>
      <c r="B468" s="4" t="str">
        <f>HYPERLINK("https://doi.org/10.1177/0363546506294361","Maletis (2007)")</f>
        <v>Maletis (2007)</v>
      </c>
      <c r="C468" t="s">
        <v>3357</v>
      </c>
      <c r="D468" t="s">
        <v>3358</v>
      </c>
      <c r="E468" s="1" t="s">
        <v>4</v>
      </c>
    </row>
    <row r="469" spans="1:5" x14ac:dyDescent="0.35">
      <c r="A469" s="1">
        <v>73</v>
      </c>
      <c r="B469" s="4" t="str">
        <f>HYPERLINK("https://doi.org/10.1016/j.jcot.2017.03.001","Manandhar (2018)")</f>
        <v>Manandhar (2018)</v>
      </c>
      <c r="C469" t="s">
        <v>3364</v>
      </c>
      <c r="D469" t="s">
        <v>3365</v>
      </c>
      <c r="E469" s="1" t="s">
        <v>4</v>
      </c>
    </row>
    <row r="470" spans="1:5" x14ac:dyDescent="0.35">
      <c r="A470" s="1">
        <v>75</v>
      </c>
      <c r="B470" s="4" t="str">
        <f>HYPERLINK("https://doi.org/10.1007/s001670050075","Marcacci (1998)")</f>
        <v>Marcacci (1998)</v>
      </c>
      <c r="C470" t="s">
        <v>3371</v>
      </c>
      <c r="D470" t="s">
        <v>3372</v>
      </c>
      <c r="E470" s="1" t="s">
        <v>15</v>
      </c>
    </row>
    <row r="471" spans="1:5" x14ac:dyDescent="0.35">
      <c r="A471" s="1">
        <v>61</v>
      </c>
      <c r="B471" s="4" t="str">
        <f>HYPERLINK("https://doi.org/10.1177/0363546508328114","Marcacci (2009)")</f>
        <v>Marcacci (2009)</v>
      </c>
      <c r="C471" t="s">
        <v>3377</v>
      </c>
      <c r="D471" t="s">
        <v>3378</v>
      </c>
      <c r="E471" s="1" t="s">
        <v>7</v>
      </c>
    </row>
    <row r="472" spans="1:5" x14ac:dyDescent="0.35">
      <c r="A472" s="1">
        <v>79</v>
      </c>
      <c r="B472" s="4" t="str">
        <f>HYPERLINK("https://doi.org/10.1053/jars.2001.25277","Mariani (2001)")</f>
        <v>Mariani (2001)</v>
      </c>
      <c r="C472" t="s">
        <v>3385</v>
      </c>
      <c r="D472" t="s">
        <v>3386</v>
      </c>
      <c r="E472" s="1" t="s">
        <v>4</v>
      </c>
    </row>
    <row r="473" spans="1:5" x14ac:dyDescent="0.35">
      <c r="A473" s="1">
        <v>103</v>
      </c>
      <c r="B473" s="4" t="str">
        <f>HYPERLINK("https://doi.org/10.1177/03635465211010798","Marmura (2021)")</f>
        <v>Marmura (2021)</v>
      </c>
      <c r="C473" t="s">
        <v>3393</v>
      </c>
      <c r="D473" t="s">
        <v>3394</v>
      </c>
      <c r="E473" s="1" t="s">
        <v>15</v>
      </c>
    </row>
    <row r="474" spans="1:5" x14ac:dyDescent="0.35">
      <c r="A474" s="1">
        <v>1</v>
      </c>
      <c r="B474" s="4" t="str">
        <f>HYPERLINK("https://doi.org/10.1016/j.knee.2018.03.011","Martin-Alguacil (2018)")</f>
        <v>Martin-Alguacil (2018)</v>
      </c>
      <c r="C474" t="s">
        <v>3399</v>
      </c>
      <c r="D474" t="s">
        <v>3400</v>
      </c>
      <c r="E474" s="1" t="s">
        <v>4</v>
      </c>
    </row>
    <row r="475" spans="1:5" x14ac:dyDescent="0.35">
      <c r="A475" s="1">
        <v>133</v>
      </c>
      <c r="B475" s="4" t="str">
        <f>HYPERLINK("7899626")</f>
        <v>7899626</v>
      </c>
      <c r="C475" t="s">
        <v>222</v>
      </c>
      <c r="D475" t="s">
        <v>223</v>
      </c>
    </row>
    <row r="476" spans="1:5" x14ac:dyDescent="0.35">
      <c r="A476" s="1">
        <v>6</v>
      </c>
      <c r="B476" s="4" t="str">
        <f>HYPERLINK("https://doi.org/10.1177/0363546505279919","Matsumoto (2006)")</f>
        <v>Matsumoto (2006)</v>
      </c>
      <c r="C476" t="s">
        <v>3407</v>
      </c>
      <c r="D476" t="s">
        <v>3408</v>
      </c>
      <c r="E476" s="1" t="s">
        <v>4</v>
      </c>
    </row>
    <row r="477" spans="1:5" x14ac:dyDescent="0.35">
      <c r="A477" s="1">
        <v>9</v>
      </c>
      <c r="B477" s="4" t="str">
        <f>HYPERLINK("https://doi.org/10.1016/j.arthro.2013.12.014","Matsumoto (2014)")</f>
        <v>Matsumoto (2014)</v>
      </c>
      <c r="C477" t="s">
        <v>3411</v>
      </c>
      <c r="D477" t="s">
        <v>3412</v>
      </c>
      <c r="E477" s="1" t="s">
        <v>4</v>
      </c>
    </row>
    <row r="478" spans="1:5" x14ac:dyDescent="0.35">
      <c r="A478" s="1">
        <v>133</v>
      </c>
      <c r="B478" s="4" t="str">
        <f>HYPERLINK("https://doi.org/10.1093/ptj/74.8.710","Tovin (1994)")</f>
        <v>Tovin (1994)</v>
      </c>
      <c r="C478" t="s">
        <v>3821</v>
      </c>
      <c r="D478" t="s">
        <v>3822</v>
      </c>
    </row>
    <row r="479" spans="1:5" x14ac:dyDescent="0.35">
      <c r="A479" s="1">
        <v>11</v>
      </c>
      <c r="B479" s="4" t="str">
        <f>HYPERLINK("https://doi.org/10.1007/s00167-013-2564-2","Mayr (2014)")</f>
        <v>Mayr (2014)</v>
      </c>
      <c r="C479" t="s">
        <v>3419</v>
      </c>
      <c r="D479" t="s">
        <v>3420</v>
      </c>
      <c r="E479" s="1" t="s">
        <v>4</v>
      </c>
    </row>
    <row r="480" spans="1:5" x14ac:dyDescent="0.35">
      <c r="A480" s="1">
        <v>14</v>
      </c>
      <c r="B480" s="4" t="str">
        <f>HYPERLINK("https://doi.org/10.1016/j.arthro.2015.06.029","Mayr (2016)")</f>
        <v>Mayr (2016)</v>
      </c>
      <c r="C480" t="s">
        <v>3423</v>
      </c>
      <c r="D480" t="s">
        <v>3424</v>
      </c>
      <c r="E480" s="1" t="s">
        <v>4</v>
      </c>
    </row>
    <row r="481" spans="1:5" x14ac:dyDescent="0.35">
      <c r="A481" s="1">
        <v>15</v>
      </c>
      <c r="B481" s="4" t="str">
        <f>HYPERLINK("https://doi.org/10.1016/j.arthro.2018.03.034","Mayr (2018)")</f>
        <v>Mayr (2018)</v>
      </c>
      <c r="C481" t="s">
        <v>3427</v>
      </c>
      <c r="D481" t="s">
        <v>3428</v>
      </c>
      <c r="E481" s="1" t="s">
        <v>4</v>
      </c>
    </row>
    <row r="482" spans="1:5" x14ac:dyDescent="0.35">
      <c r="A482" s="1">
        <v>16</v>
      </c>
      <c r="B482" s="4" t="str">
        <f>HYPERLINK("https://doi.org/10.1123/jsr.2.3.171","McCarthy (1993)")</f>
        <v>McCarthy (1993)</v>
      </c>
      <c r="C482" t="s">
        <v>3431</v>
      </c>
      <c r="D482" t="s">
        <v>3432</v>
      </c>
      <c r="E482" s="1" t="s">
        <v>7</v>
      </c>
    </row>
    <row r="483" spans="1:5" x14ac:dyDescent="0.35">
      <c r="A483" s="1">
        <v>17</v>
      </c>
      <c r="B483" s="4" t="str">
        <f>HYPERLINK("https://doi.org/10.1053/ar.1999.v15.015046001","McGuire (1999)")</f>
        <v>McGuire (1999)</v>
      </c>
      <c r="C483" t="s">
        <v>3435</v>
      </c>
      <c r="D483" t="s">
        <v>3436</v>
      </c>
      <c r="E483" s="1" t="s">
        <v>4</v>
      </c>
    </row>
    <row r="484" spans="1:5" x14ac:dyDescent="0.35">
      <c r="A484" s="1">
        <v>21</v>
      </c>
      <c r="B484" s="4" t="str">
        <f>HYPERLINK("https://doi.org/10.1177/0363546513499140","McRae (2013)")</f>
        <v>McRae (2013)</v>
      </c>
      <c r="C484" t="s">
        <v>3439</v>
      </c>
      <c r="D484" t="s">
        <v>3440</v>
      </c>
      <c r="E484" s="1" t="s">
        <v>4</v>
      </c>
    </row>
    <row r="485" spans="1:5" x14ac:dyDescent="0.35">
      <c r="A485" s="1">
        <v>22</v>
      </c>
      <c r="B485" s="4" t="str">
        <f>HYPERLINK("https://doi.org/10.1007/s00402-016-2548-z","Mei (2016)")</f>
        <v>Mei (2016)</v>
      </c>
      <c r="C485" t="s">
        <v>3443</v>
      </c>
      <c r="D485" t="s">
        <v>3444</v>
      </c>
      <c r="E485" s="1" t="s">
        <v>4</v>
      </c>
    </row>
    <row r="486" spans="1:5" x14ac:dyDescent="0.35">
      <c r="A486" s="1">
        <v>134</v>
      </c>
      <c r="B486" s="4" t="str">
        <f>HYPERLINK("8165955")</f>
        <v>8165955</v>
      </c>
      <c r="C486" t="s">
        <v>228</v>
      </c>
      <c r="D486" t="s">
        <v>229</v>
      </c>
    </row>
    <row r="487" spans="1:5" x14ac:dyDescent="0.35">
      <c r="A487" s="1">
        <v>134</v>
      </c>
      <c r="B487" s="4" t="str">
        <f>HYPERLINK("https://www.embase.com/search/results?subaction=viewrecord&amp;id=LNCT06727344&amp;from=export")</f>
        <v>https://www.embase.com/search/results?subaction=viewrecord&amp;id=LNCT06727344&amp;from=export</v>
      </c>
      <c r="C487" t="s">
        <v>2568</v>
      </c>
      <c r="D487" t="s">
        <v>2569</v>
      </c>
    </row>
    <row r="488" spans="1:5" x14ac:dyDescent="0.35">
      <c r="A488" s="1">
        <v>28</v>
      </c>
      <c r="B488" s="4" t="str">
        <f>HYPERLINK("https://doi.org/10.1007/s00167-003-0386-3","Melegati (2003)")</f>
        <v>Melegati (2003)</v>
      </c>
      <c r="C488" t="s">
        <v>3455</v>
      </c>
      <c r="D488" t="s">
        <v>3456</v>
      </c>
      <c r="E488" s="1" t="s">
        <v>7</v>
      </c>
    </row>
    <row r="489" spans="1:5" x14ac:dyDescent="0.35">
      <c r="A489" s="1">
        <v>32</v>
      </c>
      <c r="B489" s="4" t="str">
        <f>HYPERLINK("https://doi.org/10.1007/s00264-011-1206-x","Mihelic (2011)")</f>
        <v>Mihelic (2011)</v>
      </c>
      <c r="C489" t="s">
        <v>3459</v>
      </c>
      <c r="D489" t="s">
        <v>3460</v>
      </c>
      <c r="E489" s="1" t="s">
        <v>7</v>
      </c>
    </row>
    <row r="490" spans="1:5" x14ac:dyDescent="0.35">
      <c r="A490" s="1">
        <v>135</v>
      </c>
      <c r="B490" s="4" t="str">
        <f>HYPERLINK("8300688")</f>
        <v>8300688</v>
      </c>
      <c r="C490" t="s">
        <v>235</v>
      </c>
      <c r="D490" t="s">
        <v>236</v>
      </c>
    </row>
    <row r="491" spans="1:5" x14ac:dyDescent="0.35">
      <c r="A491" s="1">
        <v>39</v>
      </c>
      <c r="B491" s="4" t="str">
        <f>HYPERLINK("https://doi.org/10.1007/s00167-003-0406-3","Mikkelsen (2003)")</f>
        <v>Mikkelsen (2003)</v>
      </c>
      <c r="C491" t="s">
        <v>3467</v>
      </c>
      <c r="D491" t="s">
        <v>3468</v>
      </c>
      <c r="E491" s="1" t="s">
        <v>4</v>
      </c>
    </row>
    <row r="492" spans="1:5" x14ac:dyDescent="0.35">
      <c r="A492" s="1">
        <v>136</v>
      </c>
      <c r="B492" s="4" t="str">
        <f>HYPERLINK("8403647")</f>
        <v>8403647</v>
      </c>
      <c r="C492" t="s">
        <v>242</v>
      </c>
      <c r="D492" t="s">
        <v>243</v>
      </c>
    </row>
    <row r="493" spans="1:5" x14ac:dyDescent="0.35">
      <c r="A493" s="1">
        <v>49</v>
      </c>
      <c r="B493" s="4" t="str">
        <f>HYPERLINK("https://doi.org/10.1007/s00167-017-4623-6","Minzlaff (2018)")</f>
        <v>Minzlaff (2018)</v>
      </c>
      <c r="C493" t="s">
        <v>3475</v>
      </c>
      <c r="D493" t="s">
        <v>3476</v>
      </c>
      <c r="E493" s="1" t="s">
        <v>7</v>
      </c>
    </row>
    <row r="494" spans="1:5" x14ac:dyDescent="0.35">
      <c r="A494" s="1">
        <v>53</v>
      </c>
      <c r="B494" s="4" t="str">
        <f>HYPERLINK("https://doi.org/10.3944/aott.2012.2679","Mirzatolooei (2012)")</f>
        <v>Mirzatolooei (2012)</v>
      </c>
      <c r="C494" t="s">
        <v>3479</v>
      </c>
      <c r="D494" t="s">
        <v>3480</v>
      </c>
      <c r="E494" s="1" t="s">
        <v>4</v>
      </c>
    </row>
    <row r="495" spans="1:5" x14ac:dyDescent="0.35">
      <c r="A495" s="1">
        <v>88</v>
      </c>
      <c r="B495" s="4" t="str">
        <f>HYPERLINK("https://doi.org/10.3944/AOTT.2012.2679","Mirzatolooei (2012)")</f>
        <v>Mirzatolooei (2012)</v>
      </c>
      <c r="C495" t="s">
        <v>3483</v>
      </c>
      <c r="D495" t="s">
        <v>3484</v>
      </c>
      <c r="E495" s="1" t="s">
        <v>7</v>
      </c>
    </row>
    <row r="496" spans="1:5" x14ac:dyDescent="0.35">
      <c r="A496" s="1">
        <v>99</v>
      </c>
      <c r="B496" s="7" t="str">
        <f>HYPERLINK("https://doi.org/10.1302/0301-620X.95B1.30487","Mirzatolooei (2013)")</f>
        <v>Mirzatolooei (2013)</v>
      </c>
      <c r="C496" t="s">
        <v>3487</v>
      </c>
      <c r="D496" t="s">
        <v>3488</v>
      </c>
      <c r="E496" s="8" t="s">
        <v>7</v>
      </c>
    </row>
    <row r="497" spans="1:5" x14ac:dyDescent="0.35">
      <c r="A497" s="1">
        <v>12</v>
      </c>
      <c r="B497" s="4" t="str">
        <f>HYPERLINK("https://doi.org/10.1177/03635465241254048","Mo (2024)")</f>
        <v>Mo (2024)</v>
      </c>
      <c r="C497" t="s">
        <v>3491</v>
      </c>
      <c r="D497" t="s">
        <v>3492</v>
      </c>
      <c r="E497" s="1" t="s">
        <v>4</v>
      </c>
    </row>
    <row r="498" spans="1:5" x14ac:dyDescent="0.35">
      <c r="A498" s="1">
        <v>16</v>
      </c>
      <c r="B498" s="4" t="str">
        <f>HYPERLINK("https://doi.org/10.1177/03635465251344106","Mo (2025)")</f>
        <v>Mo (2025)</v>
      </c>
      <c r="C498" t="s">
        <v>3495</v>
      </c>
      <c r="D498" t="s">
        <v>3496</v>
      </c>
      <c r="E498" s="1" t="s">
        <v>4</v>
      </c>
    </row>
    <row r="499" spans="1:5" x14ac:dyDescent="0.35">
      <c r="A499" s="1">
        <v>17</v>
      </c>
      <c r="B499" s="4" t="str">
        <f>HYPERLINK("https://doi.org/10.1097/JSM.0000000000000165","Mohtadi (2015)")</f>
        <v>Mohtadi (2015)</v>
      </c>
      <c r="C499" t="s">
        <v>3499</v>
      </c>
      <c r="D499" t="s">
        <v>3500</v>
      </c>
      <c r="E499" s="1" t="s">
        <v>4</v>
      </c>
    </row>
    <row r="500" spans="1:5" x14ac:dyDescent="0.35">
      <c r="A500" s="1">
        <v>19</v>
      </c>
      <c r="B500" s="4" t="str">
        <f>HYPERLINK("https://doi.org/10.1097/JSM.0000000000000209","Mohtadi (2016)")</f>
        <v>Mohtadi (2016)</v>
      </c>
      <c r="C500" t="s">
        <v>3503</v>
      </c>
      <c r="D500" t="s">
        <v>3504</v>
      </c>
      <c r="E500" s="1" t="s">
        <v>4</v>
      </c>
    </row>
    <row r="501" spans="1:5" x14ac:dyDescent="0.35">
      <c r="A501" s="1">
        <v>23</v>
      </c>
      <c r="B501" s="4" t="str">
        <f>HYPERLINK("https://doi.org/10.2106/JBJS.18.01322","Mohtadi (2019)")</f>
        <v>Mohtadi (2019)</v>
      </c>
      <c r="C501" t="s">
        <v>3507</v>
      </c>
      <c r="D501" t="s">
        <v>3508</v>
      </c>
      <c r="E501" s="1" t="s">
        <v>4</v>
      </c>
    </row>
    <row r="502" spans="1:5" x14ac:dyDescent="0.35">
      <c r="A502" s="1">
        <v>137</v>
      </c>
      <c r="B502" s="4" t="str">
        <f>HYPERLINK("8666597")</f>
        <v>8666597</v>
      </c>
      <c r="C502" t="s">
        <v>249</v>
      </c>
      <c r="D502" t="s">
        <v>250</v>
      </c>
    </row>
    <row r="503" spans="1:5" x14ac:dyDescent="0.35">
      <c r="A503" s="1">
        <v>25</v>
      </c>
      <c r="B503" s="4" t="str">
        <f>HYPERLINK("https://doi.org/10.1007/s00590-023-03522-0","Mousavi (2023)")</f>
        <v>Mousavi (2023)</v>
      </c>
      <c r="C503" t="s">
        <v>3515</v>
      </c>
      <c r="D503" t="s">
        <v>3516</v>
      </c>
      <c r="E503" s="1" t="s">
        <v>4</v>
      </c>
    </row>
    <row r="504" spans="1:5" x14ac:dyDescent="0.35">
      <c r="A504" s="1">
        <v>28</v>
      </c>
      <c r="B504" s="4" t="str">
        <f>HYPERLINK("https://doi.org/10.1007/s001670050078","Muellner (1998)")</f>
        <v>Muellner (1998)</v>
      </c>
      <c r="C504" t="s">
        <v>3403</v>
      </c>
      <c r="D504" t="s">
        <v>3404</v>
      </c>
      <c r="E504" s="1" t="s">
        <v>7</v>
      </c>
    </row>
    <row r="505" spans="1:5" x14ac:dyDescent="0.35">
      <c r="A505" s="1">
        <v>138</v>
      </c>
      <c r="B505" s="4" t="str">
        <f>HYPERLINK("https://www.embase.com/search/results?subaction=viewrecord&amp;id=LNCT03073083&amp;from=export")</f>
        <v>https://www.embase.com/search/results?subaction=viewrecord&amp;id=LNCT03073083&amp;from=export</v>
      </c>
      <c r="C505" t="s">
        <v>1974</v>
      </c>
      <c r="D505" t="s">
        <v>1975</v>
      </c>
    </row>
    <row r="506" spans="1:5" x14ac:dyDescent="0.35">
      <c r="A506" s="1">
        <v>38</v>
      </c>
      <c r="B506" s="4" t="str">
        <f>HYPERLINK("https://doi.org/10.1007/s00402-002-0457-9","Muren (2003)")</f>
        <v>Muren (2003)</v>
      </c>
      <c r="C506" t="s">
        <v>3523</v>
      </c>
      <c r="D506" t="s">
        <v>3524</v>
      </c>
      <c r="E506" s="1" t="s">
        <v>4</v>
      </c>
    </row>
    <row r="507" spans="1:5" x14ac:dyDescent="0.35">
      <c r="A507" s="1">
        <v>44</v>
      </c>
      <c r="B507" s="4" t="str">
        <f>HYPERLINK("https://doi.org/10.1177/2325967118824356","Murray (2019)")</f>
        <v>Murray (2019)</v>
      </c>
      <c r="C507" t="s">
        <v>3411</v>
      </c>
      <c r="D507" t="s">
        <v>3412</v>
      </c>
      <c r="E507" s="1" t="s">
        <v>15</v>
      </c>
    </row>
    <row r="508" spans="1:5" x14ac:dyDescent="0.35">
      <c r="A508" s="1">
        <v>47</v>
      </c>
      <c r="B508" s="4" t="str">
        <f>HYPERLINK("https://doi.org/10.1177/0363546520913532","Murray (2020)")</f>
        <v>Murray (2020)</v>
      </c>
      <c r="C508" t="s">
        <v>3527</v>
      </c>
      <c r="D508" t="s">
        <v>3528</v>
      </c>
      <c r="E508" s="1" t="s">
        <v>4</v>
      </c>
    </row>
    <row r="509" spans="1:5" x14ac:dyDescent="0.35">
      <c r="A509" s="1">
        <v>48</v>
      </c>
      <c r="B509" s="4" t="str">
        <f>HYPERLINK("https://doi.org/10.1177/0363546512449618","Mutsuzaki (2012)")</f>
        <v>Mutsuzaki (2012)</v>
      </c>
      <c r="C509" t="s">
        <v>3415</v>
      </c>
      <c r="D509" t="s">
        <v>3416</v>
      </c>
      <c r="E509" s="1" t="s">
        <v>4</v>
      </c>
    </row>
    <row r="510" spans="1:5" x14ac:dyDescent="0.35">
      <c r="A510" s="1">
        <v>51</v>
      </c>
      <c r="B510" s="4" t="str">
        <f>HYPERLINK("https://doi.org/10.1186/s13018-018-1045-1","Mutsuzaki (2018)")</f>
        <v>Mutsuzaki (2018)</v>
      </c>
      <c r="C510" t="s">
        <v>3531</v>
      </c>
      <c r="D510" t="s">
        <v>3532</v>
      </c>
      <c r="E510" s="1" t="s">
        <v>4</v>
      </c>
    </row>
    <row r="511" spans="1:5" x14ac:dyDescent="0.35">
      <c r="A511" s="1">
        <v>53</v>
      </c>
      <c r="B511" s="4" t="str">
        <f>HYPERLINK("https://doi.org/10.1016/j.jor.2019.04.004","Mutsuzaki (2019)")</f>
        <v>Mutsuzaki (2019)</v>
      </c>
      <c r="C511" t="s">
        <v>3419</v>
      </c>
      <c r="D511" t="s">
        <v>3420</v>
      </c>
      <c r="E511" s="1" t="s">
        <v>4</v>
      </c>
    </row>
    <row r="512" spans="1:5" x14ac:dyDescent="0.35">
      <c r="A512" s="1">
        <v>139</v>
      </c>
      <c r="B512" s="4" t="str">
        <f>HYPERLINK("https://doi.org/10.1177/0363546518820529","Porter (2019)")</f>
        <v>Porter (2019)</v>
      </c>
      <c r="C512" t="s">
        <v>3601</v>
      </c>
      <c r="D512" t="s">
        <v>3602</v>
      </c>
    </row>
    <row r="513" spans="1:5" x14ac:dyDescent="0.35">
      <c r="A513" s="1">
        <v>60</v>
      </c>
      <c r="B513" s="4" t="str">
        <f>HYPERLINK("https://doi.org/10.1302/0301-620x.84b3.12400","Nau (2002)")</f>
        <v>Nau (2002)</v>
      </c>
      <c r="C513" t="s">
        <v>3423</v>
      </c>
      <c r="D513" t="s">
        <v>3424</v>
      </c>
      <c r="E513" s="1" t="s">
        <v>4</v>
      </c>
    </row>
    <row r="514" spans="1:5" x14ac:dyDescent="0.35">
      <c r="A514" s="1">
        <v>141</v>
      </c>
      <c r="B514" s="4" t="str">
        <f>HYPERLINK("9377970")</f>
        <v>9377970</v>
      </c>
      <c r="C514" t="s">
        <v>255</v>
      </c>
      <c r="D514" t="s">
        <v>256</v>
      </c>
    </row>
    <row r="515" spans="1:5" x14ac:dyDescent="0.35">
      <c r="A515" s="1">
        <v>65</v>
      </c>
      <c r="B515" s="4" t="str">
        <f>HYPERLINK("https://doi.org/10.1177/0363546504265924","Nicholas (2004)")</f>
        <v>Nicholas (2004)</v>
      </c>
      <c r="C515" t="s">
        <v>3543</v>
      </c>
      <c r="D515" t="s">
        <v>3544</v>
      </c>
      <c r="E515" s="1" t="s">
        <v>4</v>
      </c>
    </row>
    <row r="516" spans="1:5" x14ac:dyDescent="0.35">
      <c r="A516" s="1">
        <v>68</v>
      </c>
      <c r="B516" s="4" t="str">
        <f>HYPERLINK("https://doi.org/10.1016/j.arthro.2011.06.027","Noh (2011)")</f>
        <v>Noh (2011)</v>
      </c>
      <c r="C516" t="s">
        <v>3431</v>
      </c>
      <c r="D516" t="s">
        <v>3432</v>
      </c>
      <c r="E516" s="1" t="s">
        <v>7</v>
      </c>
    </row>
    <row r="517" spans="1:5" x14ac:dyDescent="0.35">
      <c r="A517" s="1">
        <v>69</v>
      </c>
      <c r="B517" s="5" t="str">
        <f>HYPERLINK("https://www.sciencedirect.com/science/article/abs/pii/S0749806313000613","Noh (2011)")</f>
        <v>Noh (2011)</v>
      </c>
      <c r="C517" t="s">
        <v>3546</v>
      </c>
      <c r="D517" t="s">
        <v>3547</v>
      </c>
      <c r="E517" s="1" t="s">
        <v>4</v>
      </c>
    </row>
    <row r="518" spans="1:5" x14ac:dyDescent="0.35">
      <c r="A518" s="1">
        <v>73</v>
      </c>
      <c r="B518" s="4" t="str">
        <f>HYPERLINK("https://doi.org/10.3390/medicina59101764","Obradovi? (2023)")</f>
        <v>Obradovi? (2023)</v>
      </c>
      <c r="C518" t="s">
        <v>3550</v>
      </c>
      <c r="D518" t="s">
        <v>3551</v>
      </c>
      <c r="E518" s="1" t="s">
        <v>7</v>
      </c>
    </row>
    <row r="519" spans="1:5" x14ac:dyDescent="0.35">
      <c r="A519" s="1">
        <v>75</v>
      </c>
      <c r="B519" s="4" t="str">
        <f>HYPERLINK("https://doi.org/10.1007/s00113-013-2420-3","Offerhaus (2014)")</f>
        <v>Offerhaus (2014)</v>
      </c>
      <c r="C519" t="s">
        <v>3439</v>
      </c>
      <c r="D519" t="s">
        <v>3440</v>
      </c>
      <c r="E519" s="1" t="s">
        <v>7</v>
      </c>
    </row>
    <row r="520" spans="1:5" x14ac:dyDescent="0.35">
      <c r="A520" s="1">
        <v>76</v>
      </c>
      <c r="B520" s="4" t="str">
        <f>HYPERLINK("https://doi.org/10.1007/s00132-015-3102-3","Offerhaus (2015)")</f>
        <v>Offerhaus (2015)</v>
      </c>
      <c r="C520" t="s">
        <v>3443</v>
      </c>
      <c r="D520" t="s">
        <v>3444</v>
      </c>
      <c r="E520" s="1" t="s">
        <v>7</v>
      </c>
    </row>
    <row r="521" spans="1:5" x14ac:dyDescent="0.35">
      <c r="A521" s="1">
        <v>142</v>
      </c>
      <c r="B521" s="4" t="str">
        <f>HYPERLINK("https://doi.org/10.1186/1471-2482-5-1","Stengel (2005)")</f>
        <v>Stengel (2005)</v>
      </c>
      <c r="C521" t="s">
        <v>3736</v>
      </c>
      <c r="D521" t="s">
        <v>3737</v>
      </c>
    </row>
    <row r="522" spans="1:5" x14ac:dyDescent="0.35">
      <c r="A522" s="1">
        <v>143</v>
      </c>
      <c r="B522" s="4" t="str">
        <f>HYPERLINK("9520889")</f>
        <v>9520889</v>
      </c>
      <c r="C522" t="s">
        <v>261</v>
      </c>
      <c r="D522" t="s">
        <v>262</v>
      </c>
    </row>
    <row r="523" spans="1:5" x14ac:dyDescent="0.35">
      <c r="A523" s="1">
        <v>143</v>
      </c>
      <c r="B523" s="4" t="str">
        <f>HYPERLINK("https://www.embase.com/search/results?subaction=viewrecord&amp;id=LNCT06727344&amp;from=export")</f>
        <v>https://www.embase.com/search/results?subaction=viewrecord&amp;id=LNCT06727344&amp;from=export</v>
      </c>
      <c r="C523" t="s">
        <v>2574</v>
      </c>
      <c r="D523" t="s">
        <v>2575</v>
      </c>
    </row>
    <row r="524" spans="1:5" x14ac:dyDescent="0.35">
      <c r="A524" s="1">
        <v>144</v>
      </c>
      <c r="B524" s="4" t="str">
        <f>HYPERLINK("https://www.embase.com/search/results?subaction=viewrecord&amp;id=LNCT03184922&amp;from=export")</f>
        <v>https://www.embase.com/search/results?subaction=viewrecord&amp;id=LNCT03184922&amp;from=export</v>
      </c>
      <c r="C524" t="s">
        <v>1980</v>
      </c>
      <c r="D524" t="s">
        <v>1981</v>
      </c>
    </row>
    <row r="525" spans="1:5" x14ac:dyDescent="0.35">
      <c r="A525" s="1">
        <v>94</v>
      </c>
      <c r="B525" s="4" t="str">
        <f>HYPERLINK("https://doi.org/10.1186/s13063-024-08094-w","Ong (2024)")</f>
        <v>Ong (2024)</v>
      </c>
      <c r="C525" t="s">
        <v>3565</v>
      </c>
      <c r="D525" t="s">
        <v>3566</v>
      </c>
      <c r="E525" s="1" t="s">
        <v>4</v>
      </c>
    </row>
    <row r="526" spans="1:5" x14ac:dyDescent="0.35">
      <c r="A526" s="1">
        <v>100</v>
      </c>
      <c r="B526" s="4" t="str">
        <f>HYPERLINK("https://doi.org/10.1177/03635465030310022101","Otsuka (2003)")</f>
        <v>Otsuka (2003)</v>
      </c>
      <c r="C526" t="s">
        <v>3569</v>
      </c>
      <c r="D526" t="s">
        <v>3570</v>
      </c>
      <c r="E526" s="1" t="s">
        <v>7</v>
      </c>
    </row>
    <row r="527" spans="1:5" x14ac:dyDescent="0.35">
      <c r="A527" s="1">
        <v>101</v>
      </c>
      <c r="B527" s="4" t="str">
        <f>HYPERLINK("https://doi.org/10.1016/j.asmr.2021.05.003","Panagopoulos (2021)")</f>
        <v>Panagopoulos (2021)</v>
      </c>
      <c r="C527" t="s">
        <v>3573</v>
      </c>
      <c r="D527" t="s">
        <v>3574</v>
      </c>
      <c r="E527" s="1" t="s">
        <v>4</v>
      </c>
    </row>
    <row r="528" spans="1:5" x14ac:dyDescent="0.35">
      <c r="A528" s="1">
        <v>144</v>
      </c>
      <c r="B528" s="4" t="str">
        <f>HYPERLINK("https://doi.org/10.47009/jamp.2024.6.5.90","Prasad (2024)")</f>
        <v>Prasad (2024)</v>
      </c>
      <c r="C528" t="s">
        <v>3609</v>
      </c>
      <c r="D528" t="s">
        <v>3610</v>
      </c>
    </row>
    <row r="529" spans="1:5" x14ac:dyDescent="0.35">
      <c r="A529" s="1">
        <v>105</v>
      </c>
      <c r="B529" s="4" t="str">
        <f>HYPERLINK("https://doi.org/10.1007/s00264-014-2513-9","Papalia (2015)")</f>
        <v>Papalia (2015)</v>
      </c>
      <c r="C529" t="s">
        <v>3581</v>
      </c>
      <c r="D529" t="s">
        <v>3582</v>
      </c>
      <c r="E529" s="1" t="s">
        <v>4</v>
      </c>
    </row>
    <row r="530" spans="1:5" x14ac:dyDescent="0.35">
      <c r="A530" s="1">
        <v>106</v>
      </c>
      <c r="B530" s="4" t="str">
        <f>HYPERLINK("https://doi.org/10.1007/s004020100290","Pape (2001)")</f>
        <v>Pape (2001)</v>
      </c>
      <c r="C530" t="s">
        <v>3459</v>
      </c>
      <c r="D530" t="s">
        <v>3460</v>
      </c>
      <c r="E530" s="1" t="s">
        <v>7</v>
      </c>
    </row>
    <row r="531" spans="1:5" x14ac:dyDescent="0.35">
      <c r="A531" s="1">
        <v>116</v>
      </c>
      <c r="B531" s="4" t="str">
        <f>HYPERLINK("https://doi.org/10.1177/23259671221086669","Perry (2022)")</f>
        <v>Perry (2022)</v>
      </c>
      <c r="C531" t="s">
        <v>3463</v>
      </c>
      <c r="D531" t="s">
        <v>3464</v>
      </c>
      <c r="E531" s="1" t="s">
        <v>7</v>
      </c>
    </row>
    <row r="532" spans="1:5" x14ac:dyDescent="0.35">
      <c r="A532" s="1">
        <v>117</v>
      </c>
      <c r="B532" s="4" t="str">
        <f>HYPERLINK("https://doi.org/10.1007/s00167-013-2636-3","Peterson (2014)")</f>
        <v>Peterson (2014)</v>
      </c>
      <c r="C532" t="s">
        <v>3585</v>
      </c>
      <c r="D532" t="s">
        <v>3586</v>
      </c>
      <c r="E532" s="1" t="s">
        <v>4</v>
      </c>
    </row>
    <row r="533" spans="1:5" x14ac:dyDescent="0.35">
      <c r="A533" s="1">
        <v>145</v>
      </c>
      <c r="B533" s="4" t="str">
        <f>HYPERLINK("https://www.embase.com/search/results?subaction=viewrecord&amp;id=LNCT03354195&amp;from=export")</f>
        <v>https://www.embase.com/search/results?subaction=viewrecord&amp;id=LNCT03354195&amp;from=export</v>
      </c>
      <c r="C533" t="s">
        <v>1986</v>
      </c>
      <c r="D533" t="s">
        <v>1987</v>
      </c>
    </row>
    <row r="534" spans="1:5" x14ac:dyDescent="0.35">
      <c r="A534" s="1">
        <v>122</v>
      </c>
      <c r="B534" s="4" t="str">
        <f>HYPERLINK("https://doi.org/10.1177/03635465020300041201","Pinczewski (2002)")</f>
        <v>Pinczewski (2002)</v>
      </c>
      <c r="C534" t="s">
        <v>3467</v>
      </c>
      <c r="D534" t="s">
        <v>3468</v>
      </c>
      <c r="E534" s="1" t="s">
        <v>7</v>
      </c>
    </row>
    <row r="535" spans="1:5" x14ac:dyDescent="0.35">
      <c r="A535" s="1">
        <v>128</v>
      </c>
      <c r="B535" s="4" t="str">
        <f>HYPERLINK("https://doi.org/10.1177/0363546506296042","Pinczewski (2007)")</f>
        <v>Pinczewski (2007)</v>
      </c>
      <c r="C535" t="s">
        <v>3593</v>
      </c>
      <c r="D535" t="s">
        <v>3594</v>
      </c>
      <c r="E535" s="1" t="s">
        <v>4</v>
      </c>
    </row>
    <row r="536" spans="1:5" x14ac:dyDescent="0.35">
      <c r="A536" s="1">
        <v>135</v>
      </c>
      <c r="B536" s="4" t="str">
        <f>HYPERLINK("https://doi.org/10.1177/03635465241271524","Popovic (2024)")</f>
        <v>Popovic (2024)</v>
      </c>
      <c r="C536" t="s">
        <v>3597</v>
      </c>
      <c r="D536" t="s">
        <v>3598</v>
      </c>
      <c r="E536" s="1" t="s">
        <v>4</v>
      </c>
    </row>
    <row r="537" spans="1:5" x14ac:dyDescent="0.35">
      <c r="A537" s="1">
        <v>146</v>
      </c>
      <c r="B537" s="4" t="str">
        <f>HYPERLINK("9533048")</f>
        <v>9533048</v>
      </c>
      <c r="C537" t="s">
        <v>268</v>
      </c>
      <c r="D537" t="s">
        <v>269</v>
      </c>
    </row>
    <row r="538" spans="1:5" x14ac:dyDescent="0.35">
      <c r="A538" s="1">
        <v>143</v>
      </c>
      <c r="B538" s="4" t="str">
        <f>HYPERLINK("https://doi.org/10.1177/0363546520910148","Porter (2020)")</f>
        <v>Porter (2020)</v>
      </c>
      <c r="C538" t="s">
        <v>3605</v>
      </c>
      <c r="D538" t="s">
        <v>3606</v>
      </c>
      <c r="E538" s="1" t="s">
        <v>4</v>
      </c>
    </row>
    <row r="539" spans="1:5" x14ac:dyDescent="0.35">
      <c r="A539" s="1">
        <v>148</v>
      </c>
      <c r="B539" s="4" t="str">
        <f>HYPERLINK("https://doi.org/10.2106/00004623-200410000-00004","Aglietti (2004)")</f>
        <v>Aglietti (2004)</v>
      </c>
      <c r="C539" t="s">
        <v>282</v>
      </c>
      <c r="D539" t="s">
        <v>283</v>
      </c>
    </row>
    <row r="540" spans="1:5" x14ac:dyDescent="0.35">
      <c r="A540" s="1">
        <v>147</v>
      </c>
      <c r="B540" s="4" t="str">
        <f>HYPERLINK("https://doi.org/10.1055/s-2005-836359","Pressel (2005)")</f>
        <v>Pressel (2005)</v>
      </c>
      <c r="C540" t="s">
        <v>3613</v>
      </c>
      <c r="D540" t="s">
        <v>3614</v>
      </c>
      <c r="E540" s="1" t="s">
        <v>7</v>
      </c>
    </row>
    <row r="541" spans="1:5" x14ac:dyDescent="0.35">
      <c r="A541" s="1">
        <v>151</v>
      </c>
      <c r="B541" s="4" t="str">
        <f>HYPERLINK("https://doi.org/10.1111/j.1445-2197.2009.05128.x","Price (2010)")</f>
        <v>Price (2010)</v>
      </c>
      <c r="C541" t="s">
        <v>3617</v>
      </c>
      <c r="D541" t="s">
        <v>3618</v>
      </c>
      <c r="E541" s="1" t="s">
        <v>7</v>
      </c>
    </row>
    <row r="542" spans="1:5" x14ac:dyDescent="0.35">
      <c r="A542" s="1">
        <v>150</v>
      </c>
      <c r="B542" s="4" t="str">
        <f>HYPERLINK("https://doi.org/10.1177/0363546509333008","Stengel (2009)")</f>
        <v>Stengel (2009)</v>
      </c>
      <c r="C542" t="s">
        <v>3742</v>
      </c>
      <c r="D542" t="s">
        <v>3743</v>
      </c>
    </row>
    <row r="543" spans="1:5" x14ac:dyDescent="0.35">
      <c r="A543" s="1">
        <v>161</v>
      </c>
      <c r="B543" s="4" t="str">
        <f>HYPERLINK("https://doi.org/10.1016/j.arthro.2024.09.023","Ramakanth (2025)")</f>
        <v>Ramakanth (2025)</v>
      </c>
      <c r="C543" t="s">
        <v>3625</v>
      </c>
      <c r="D543" t="s">
        <v>3626</v>
      </c>
      <c r="E543" s="1" t="s">
        <v>4</v>
      </c>
    </row>
    <row r="544" spans="1:5" x14ac:dyDescent="0.35">
      <c r="A544" s="1">
        <v>151</v>
      </c>
      <c r="B544" s="4" t="str">
        <f>HYPERLINK("https://www.embase.com/search/results?subaction=viewrecord&amp;id=LNCT06755398&amp;from=export")</f>
        <v>https://www.embase.com/search/results?subaction=viewrecord&amp;id=LNCT06755398&amp;from=export</v>
      </c>
      <c r="C544" t="s">
        <v>2581</v>
      </c>
      <c r="D544" t="s">
        <v>2582</v>
      </c>
    </row>
    <row r="545" spans="1:5" x14ac:dyDescent="0.35">
      <c r="A545" s="1">
        <v>164</v>
      </c>
      <c r="B545" s="4" t="str">
        <f>HYPERLINK("https://doi.org/10.1016/j.arthro.2023.05.019","Rezansoff (2024)")</f>
        <v>Rezansoff (2024)</v>
      </c>
      <c r="C545" t="s">
        <v>3633</v>
      </c>
      <c r="D545" t="s">
        <v>3634</v>
      </c>
      <c r="E545" s="1" t="s">
        <v>4</v>
      </c>
    </row>
    <row r="546" spans="1:5" x14ac:dyDescent="0.35">
      <c r="A546" s="1">
        <v>167</v>
      </c>
      <c r="B546" s="4" t="str">
        <f>HYPERLINK("https://doi.org/10.1016/0749-8063(91)90076-a","Richmond (1991)")</f>
        <v>Richmond (1991)</v>
      </c>
      <c r="C546" t="s">
        <v>3637</v>
      </c>
      <c r="D546" t="s">
        <v>3638</v>
      </c>
      <c r="E546" s="1" t="s">
        <v>4</v>
      </c>
    </row>
    <row r="547" spans="1:5" x14ac:dyDescent="0.35">
      <c r="A547" s="1">
        <v>153</v>
      </c>
      <c r="B547" s="4" t="str">
        <f>HYPERLINK("https://www.embase.com/search/results?subaction=viewrecord&amp;id=LNCT06755398&amp;from=export")</f>
        <v>https://www.embase.com/search/results?subaction=viewrecord&amp;id=LNCT06755398&amp;from=export</v>
      </c>
      <c r="C547" t="s">
        <v>2589</v>
      </c>
      <c r="D547" t="s">
        <v>2590</v>
      </c>
    </row>
    <row r="548" spans="1:5" x14ac:dyDescent="0.35">
      <c r="A548" s="1">
        <v>194</v>
      </c>
      <c r="B548" s="4" t="str">
        <f>HYPERLINK("https://doi.org/10.1007/s00167-003-0380-9","Robert (2004)")</f>
        <v>Robert (2004)</v>
      </c>
      <c r="C548" t="s">
        <v>3645</v>
      </c>
      <c r="D548" t="s">
        <v>3646</v>
      </c>
      <c r="E548" s="1" t="s">
        <v>4</v>
      </c>
    </row>
    <row r="549" spans="1:5" x14ac:dyDescent="0.35">
      <c r="A549" s="1">
        <v>216</v>
      </c>
      <c r="B549" s="4" t="str">
        <f>HYPERLINK("https://doi.org/10.1016/j.otsr.2009.03.009","Robert (2009)")</f>
        <v>Robert (2009)</v>
      </c>
      <c r="C549" t="s">
        <v>3649</v>
      </c>
      <c r="D549" t="s">
        <v>3650</v>
      </c>
      <c r="E549" s="1" t="s">
        <v>7</v>
      </c>
    </row>
    <row r="550" spans="1:5" x14ac:dyDescent="0.35">
      <c r="A550" s="1">
        <v>219</v>
      </c>
      <c r="B550" s="4" t="str">
        <f>HYPERLINK("https://doi.org/10.1007/s00167-020-06121-2","Roger (2020)")</f>
        <v>Roger (2020)</v>
      </c>
      <c r="C550" t="s">
        <v>3653</v>
      </c>
      <c r="D550" t="s">
        <v>3654</v>
      </c>
      <c r="E550" s="1" t="s">
        <v>4</v>
      </c>
    </row>
    <row r="551" spans="1:5" x14ac:dyDescent="0.35">
      <c r="A551" s="1">
        <v>222</v>
      </c>
      <c r="B551" s="4" t="str">
        <f>HYPERLINK("https://doi.org/10.1007/s001130050733","Röpke (2001)")</f>
        <v>Röpke (2001)</v>
      </c>
      <c r="C551" t="s">
        <v>3657</v>
      </c>
      <c r="D551" t="s">
        <v>3658</v>
      </c>
      <c r="E551" s="1" t="s">
        <v>7</v>
      </c>
    </row>
    <row r="552" spans="1:5" x14ac:dyDescent="0.35">
      <c r="A552" s="1">
        <v>154</v>
      </c>
      <c r="B552" s="4" t="str">
        <f>HYPERLINK("https://www.embase.com/search/results?subaction=viewrecord&amp;id=LNCT06769711&amp;from=export")</f>
        <v>https://www.embase.com/search/results?subaction=viewrecord&amp;id=LNCT06769711&amp;from=export</v>
      </c>
      <c r="C552" t="s">
        <v>2596</v>
      </c>
      <c r="D552" t="s">
        <v>2597</v>
      </c>
    </row>
    <row r="553" spans="1:5" x14ac:dyDescent="0.35">
      <c r="A553" s="1">
        <v>238</v>
      </c>
      <c r="B553" s="4" t="str">
        <f>HYPERLINK("https://doi.org/10.1016/j.knee.2016.08.011","Rose (2016)")</f>
        <v>Rose (2016)</v>
      </c>
      <c r="C553" t="s">
        <v>3665</v>
      </c>
      <c r="D553" t="s">
        <v>3666</v>
      </c>
      <c r="E553" s="1" t="s">
        <v>4</v>
      </c>
    </row>
    <row r="554" spans="1:5" x14ac:dyDescent="0.35">
      <c r="A554" s="1">
        <v>271</v>
      </c>
      <c r="B554" s="4" t="str">
        <f>HYPERLINK("https://doi.org/10.1177/036354659202000205","Rosen (1992)")</f>
        <v>Rosen (1992)</v>
      </c>
      <c r="C554" t="s">
        <v>3483</v>
      </c>
      <c r="D554" t="s">
        <v>3484</v>
      </c>
      <c r="E554" s="1" t="s">
        <v>7</v>
      </c>
    </row>
    <row r="555" spans="1:5" x14ac:dyDescent="0.35">
      <c r="A555" s="1">
        <v>286</v>
      </c>
      <c r="B555" s="4" t="str">
        <f>HYPERLINK("https://doi.org/10.1007/s001670100238","Ross (2002)")</f>
        <v>Ross (2002)</v>
      </c>
      <c r="C555" t="s">
        <v>3487</v>
      </c>
      <c r="D555" t="s">
        <v>3488</v>
      </c>
      <c r="E555" s="1" t="s">
        <v>7</v>
      </c>
    </row>
    <row r="556" spans="1:5" x14ac:dyDescent="0.35">
      <c r="A556" s="1">
        <v>5</v>
      </c>
      <c r="B556" s="4" t="str">
        <f>HYPERLINK("https://doi.org/10.1007/s00590-016-1812-9","Ruffilli (2016)")</f>
        <v>Ruffilli (2016)</v>
      </c>
      <c r="C556" t="s">
        <v>3669</v>
      </c>
      <c r="D556" t="s">
        <v>3670</v>
      </c>
      <c r="E556" s="1" t="s">
        <v>4</v>
      </c>
    </row>
    <row r="557" spans="1:5" x14ac:dyDescent="0.35">
      <c r="A557" s="1">
        <v>155</v>
      </c>
      <c r="B557" s="4" t="str">
        <f>HYPERLINK("https://www.embase.com/search/results?subaction=viewrecord&amp;id=LNCT06769711&amp;from=export")</f>
        <v>https://www.embase.com/search/results?subaction=viewrecord&amp;id=LNCT06769711&amp;from=export</v>
      </c>
      <c r="C557" t="s">
        <v>2603</v>
      </c>
      <c r="D557" t="s">
        <v>2604</v>
      </c>
    </row>
    <row r="558" spans="1:5" x14ac:dyDescent="0.35">
      <c r="A558" s="1">
        <v>11</v>
      </c>
      <c r="B558" s="4" t="str">
        <f>HYPERLINK("https://doi.org/10.1177/2325967118797990","Runner (2018)")</f>
        <v>Runner (2018)</v>
      </c>
      <c r="C558" t="s">
        <v>3495</v>
      </c>
      <c r="D558" t="s">
        <v>3496</v>
      </c>
      <c r="E558" s="1" t="s">
        <v>4</v>
      </c>
    </row>
    <row r="559" spans="1:5" x14ac:dyDescent="0.35">
      <c r="A559" s="1">
        <v>13</v>
      </c>
      <c r="B559" s="4" t="str">
        <f>HYPERLINK("https://doi.org/10.1016/j.arthro.2011.02.009","Sabat (2011)")</f>
        <v>Sabat (2011)</v>
      </c>
      <c r="C559" t="s">
        <v>3503</v>
      </c>
      <c r="D559" t="s">
        <v>3504</v>
      </c>
      <c r="E559" s="1" t="s">
        <v>7</v>
      </c>
    </row>
    <row r="560" spans="1:5" x14ac:dyDescent="0.35">
      <c r="A560" s="1">
        <v>15</v>
      </c>
      <c r="B560" s="4" t="str">
        <f>HYPERLINK("https://doi.org/10.1007/s00167-014-3430-6","Sacramento (2016)")</f>
        <v>Sacramento (2016)</v>
      </c>
      <c r="C560" t="s">
        <v>3511</v>
      </c>
      <c r="D560" t="s">
        <v>3512</v>
      </c>
      <c r="E560" s="1" t="s">
        <v>7</v>
      </c>
    </row>
    <row r="561" spans="1:5" x14ac:dyDescent="0.35">
      <c r="A561" s="1">
        <v>155</v>
      </c>
      <c r="B561" s="4" t="str">
        <f>HYPERLINK("https://doi.org/10.1007/s00167-007-0480-z","Streich (2008)")</f>
        <v>Streich (2008)</v>
      </c>
      <c r="C561" t="s">
        <v>3755</v>
      </c>
      <c r="D561" t="s">
        <v>3756</v>
      </c>
    </row>
    <row r="562" spans="1:5" x14ac:dyDescent="0.35">
      <c r="A562" s="1">
        <v>158</v>
      </c>
      <c r="B562" s="4" t="str">
        <f>HYPERLINK("https://doi.org/10.1186/s40798-025-00901-1","Qiu (2025)")</f>
        <v>Qiu (2025)</v>
      </c>
      <c r="C562" t="s">
        <v>3621</v>
      </c>
      <c r="D562" t="s">
        <v>3622</v>
      </c>
    </row>
    <row r="563" spans="1:5" x14ac:dyDescent="0.35">
      <c r="A563" s="1">
        <v>25</v>
      </c>
      <c r="B563" s="4" t="str">
        <f>HYPERLINK("https://doi.org/10.1177/0363546506290726","Sajovic (2006)")</f>
        <v>Sajovic (2006)</v>
      </c>
      <c r="C563" t="s">
        <v>3407</v>
      </c>
      <c r="D563" t="s">
        <v>3408</v>
      </c>
      <c r="E563" s="1" t="s">
        <v>4</v>
      </c>
    </row>
    <row r="564" spans="1:5" x14ac:dyDescent="0.35">
      <c r="A564" s="1">
        <v>27</v>
      </c>
      <c r="B564" s="4" t="str">
        <f>HYPERLINK("https://doi.org/10.1007/s00264-007-0341-x","Sajovic (2008)")</f>
        <v>Sajovic (2008)</v>
      </c>
      <c r="C564" t="s">
        <v>3531</v>
      </c>
      <c r="D564" t="s">
        <v>3532</v>
      </c>
      <c r="E564" s="1" t="s">
        <v>4</v>
      </c>
    </row>
    <row r="565" spans="1:5" x14ac:dyDescent="0.35">
      <c r="A565" s="1">
        <v>28</v>
      </c>
      <c r="B565" s="4" t="str">
        <f>HYPERLINK("https://doi.org/10.1177/0363546511411702","Sajovic (2011)")</f>
        <v>Sajovic (2011)</v>
      </c>
      <c r="C565" t="s">
        <v>3419</v>
      </c>
      <c r="D565" t="s">
        <v>3420</v>
      </c>
      <c r="E565" s="1" t="s">
        <v>4</v>
      </c>
    </row>
    <row r="566" spans="1:5" x14ac:dyDescent="0.35">
      <c r="A566" s="1">
        <v>29</v>
      </c>
      <c r="B566" s="4" t="str">
        <f>HYPERLINK("https://doi.org/10.1177/0363546518768768","Sajovic (2018)")</f>
        <v>Sajovic (2018)</v>
      </c>
      <c r="C566" t="s">
        <v>3423</v>
      </c>
      <c r="D566" t="s">
        <v>3424</v>
      </c>
      <c r="E566" s="1" t="s">
        <v>4</v>
      </c>
    </row>
    <row r="567" spans="1:5" x14ac:dyDescent="0.35">
      <c r="A567" s="1">
        <v>159</v>
      </c>
      <c r="B567" s="4" t="str">
        <f>HYPERLINK("https://www.embase.com/search/results?subaction=viewrecord&amp;id=LNCT06831279&amp;from=export")</f>
        <v>https://www.embase.com/search/results?subaction=viewrecord&amp;id=LNCT06831279&amp;from=export</v>
      </c>
      <c r="C567" t="s">
        <v>2610</v>
      </c>
      <c r="D567" t="s">
        <v>2611</v>
      </c>
    </row>
    <row r="568" spans="1:5" x14ac:dyDescent="0.35">
      <c r="A568" s="1">
        <v>33</v>
      </c>
      <c r="B568" s="4" t="str">
        <f>HYPERLINK("https://doi.org/10.1177/036354659402200415","Santi (1994)")</f>
        <v>Santi (1994)</v>
      </c>
      <c r="C568" t="s">
        <v>3431</v>
      </c>
      <c r="D568" t="s">
        <v>3432</v>
      </c>
      <c r="E568" s="1" t="s">
        <v>7</v>
      </c>
    </row>
    <row r="569" spans="1:5" x14ac:dyDescent="0.35">
      <c r="A569" s="1">
        <v>34</v>
      </c>
      <c r="B569" s="4" t="str">
        <f>HYPERLINK("https://doi.org/10.1007/s00402-014-1999-3","Sarzaeem (2014)")</f>
        <v>Sarzaeem (2014)</v>
      </c>
      <c r="C569" t="s">
        <v>3550</v>
      </c>
      <c r="D569" t="s">
        <v>3551</v>
      </c>
      <c r="E569" s="1" t="s">
        <v>4</v>
      </c>
    </row>
    <row r="570" spans="1:5" x14ac:dyDescent="0.35">
      <c r="A570" s="1">
        <v>35</v>
      </c>
      <c r="B570" s="4" t="str">
        <f>HYPERLINK("https://doi.org/10.1177/0363546515624471","Sasaki (2016)")</f>
        <v>Sasaki (2016)</v>
      </c>
      <c r="C570" t="s">
        <v>3435</v>
      </c>
      <c r="D570" t="s">
        <v>3436</v>
      </c>
      <c r="E570" s="1" t="s">
        <v>4</v>
      </c>
    </row>
    <row r="571" spans="1:5" x14ac:dyDescent="0.35">
      <c r="A571" s="1">
        <v>161</v>
      </c>
      <c r="B571" s="4" t="str">
        <f>HYPERLINK("https://doi.org/10.1007/s00167-008-0519-9","Benazzo (2008)")</f>
        <v>Benazzo (2008)</v>
      </c>
      <c r="C571" t="s">
        <v>548</v>
      </c>
      <c r="D571" t="s">
        <v>549</v>
      </c>
    </row>
    <row r="572" spans="1:5" x14ac:dyDescent="0.35">
      <c r="A572" s="1">
        <v>37</v>
      </c>
      <c r="B572" s="4" t="str">
        <f>HYPERLINK("https://doi.org/10.1007/s00264-016-3246-8","Schandl (2016)")</f>
        <v>Schandl (2016)</v>
      </c>
      <c r="C572" t="s">
        <v>3685</v>
      </c>
      <c r="D572" t="s">
        <v>3686</v>
      </c>
      <c r="E572" s="1" t="s">
        <v>4</v>
      </c>
    </row>
    <row r="573" spans="1:5" x14ac:dyDescent="0.35">
      <c r="A573" s="1">
        <v>41</v>
      </c>
      <c r="B573" s="4" t="str">
        <f>HYPERLINK("https://doi.org/10.1007/s00167-017-4618-3","Schliemann (2018)")</f>
        <v>Schliemann (2018)</v>
      </c>
      <c r="C573" t="s">
        <v>3439</v>
      </c>
      <c r="D573" t="s">
        <v>3440</v>
      </c>
      <c r="E573" s="1" t="s">
        <v>4</v>
      </c>
    </row>
    <row r="574" spans="1:5" x14ac:dyDescent="0.35">
      <c r="A574" s="1">
        <v>45</v>
      </c>
      <c r="B574" s="4" t="str">
        <f>HYPERLINK("https://doi.org/10.1007/s00064-008-1412-x","Schneider (2008)")</f>
        <v>Schneider (2008)</v>
      </c>
      <c r="C574" t="s">
        <v>3689</v>
      </c>
      <c r="D574" t="s">
        <v>3690</v>
      </c>
      <c r="E574" s="1" t="s">
        <v>7</v>
      </c>
    </row>
    <row r="575" spans="1:5" x14ac:dyDescent="0.35">
      <c r="A575" s="1">
        <v>49</v>
      </c>
      <c r="B575" s="4" t="str">
        <f>HYPERLINK("https://doi.org/10.3390/jcm12052074","Schoepp (2023)")</f>
        <v>Schoepp (2023)</v>
      </c>
      <c r="C575" t="s">
        <v>3693</v>
      </c>
      <c r="D575" t="s">
        <v>3694</v>
      </c>
      <c r="E575" s="1" t="s">
        <v>4</v>
      </c>
    </row>
    <row r="576" spans="1:5" x14ac:dyDescent="0.35">
      <c r="A576" s="1">
        <v>51</v>
      </c>
      <c r="B576" s="4" t="str">
        <f>HYPERLINK("https://doi.org/10.1177/0363546509349490","Sekir (2010)")</f>
        <v>Sekir (2010)</v>
      </c>
      <c r="C576" t="s">
        <v>3557</v>
      </c>
      <c r="D576" t="s">
        <v>3558</v>
      </c>
      <c r="E576" s="1" t="s">
        <v>4</v>
      </c>
    </row>
    <row r="577" spans="1:5" x14ac:dyDescent="0.35">
      <c r="A577" s="1">
        <v>52</v>
      </c>
      <c r="B577" s="4" t="str">
        <f>HYPERLINK("https://doi.org/10.1007/s001670050141","Sernert (1999)")</f>
        <v>Sernert (1999)</v>
      </c>
      <c r="C577" t="s">
        <v>3455</v>
      </c>
      <c r="D577" t="s">
        <v>3456</v>
      </c>
      <c r="E577" s="1" t="s">
        <v>4</v>
      </c>
    </row>
    <row r="578" spans="1:5" x14ac:dyDescent="0.35">
      <c r="A578" s="1">
        <v>53</v>
      </c>
      <c r="B578" s="4" t="str">
        <f>HYPERLINK("https://doi.org/10.1034/j.1600-0838.2002.120109.x","Sernert (2002)")</f>
        <v>Sernert (2002)</v>
      </c>
      <c r="C578" t="s">
        <v>3569</v>
      </c>
      <c r="D578" t="s">
        <v>3570</v>
      </c>
      <c r="E578" s="1" t="s">
        <v>7</v>
      </c>
    </row>
    <row r="579" spans="1:5" x14ac:dyDescent="0.35">
      <c r="A579" s="1">
        <v>57</v>
      </c>
      <c r="B579" s="4" t="str">
        <f>HYPERLINK("https://doi.org/10.1177/03635465020300021201","Shaieb (2002)")</f>
        <v>Shaieb (2002)</v>
      </c>
      <c r="C579" t="s">
        <v>3581</v>
      </c>
      <c r="D579" t="s">
        <v>3582</v>
      </c>
      <c r="E579" s="1" t="s">
        <v>4</v>
      </c>
    </row>
    <row r="580" spans="1:5" x14ac:dyDescent="0.35">
      <c r="A580" s="1">
        <v>59</v>
      </c>
      <c r="B580" s="4" t="str">
        <f>HYPERLINK("https://doi.org/10.1177/03635465000280050501","Shelbourne (2000)")</f>
        <v>Shelbourne (2000)</v>
      </c>
      <c r="C580" t="s">
        <v>3697</v>
      </c>
      <c r="D580" t="s">
        <v>3698</v>
      </c>
      <c r="E580" s="1" t="s">
        <v>15</v>
      </c>
    </row>
    <row r="581" spans="1:5" x14ac:dyDescent="0.35">
      <c r="A581" s="1">
        <v>163</v>
      </c>
      <c r="B581" s="4" t="str">
        <f>HYPERLINK("https://doi.org/10.1302/0301-620X.92B4.22973","Raviraj (2010)")</f>
        <v>Raviraj (2010)</v>
      </c>
      <c r="C581" t="s">
        <v>3629</v>
      </c>
      <c r="D581" t="s">
        <v>3630</v>
      </c>
    </row>
    <row r="582" spans="1:5" x14ac:dyDescent="0.35">
      <c r="A582" s="1">
        <v>62</v>
      </c>
      <c r="B582" s="4" t="str">
        <f>HYPERLINK("https://doi.org/10.1177/0363546519861530","Shumborski (2019)")</f>
        <v>Shumborski (2019)</v>
      </c>
      <c r="C582" t="s">
        <v>3585</v>
      </c>
      <c r="D582" t="s">
        <v>3586</v>
      </c>
      <c r="E582" s="1" t="s">
        <v>4</v>
      </c>
    </row>
    <row r="583" spans="1:5" x14ac:dyDescent="0.35">
      <c r="A583" s="1">
        <v>165</v>
      </c>
      <c r="B583" s="4" t="str">
        <f>HYPERLINK("https://www.embase.com/search/results?subaction=viewrecord&amp;id=LNCT06831279&amp;from=export")</f>
        <v>https://www.embase.com/search/results?subaction=viewrecord&amp;id=LNCT06831279&amp;from=export</v>
      </c>
      <c r="C583" t="s">
        <v>2617</v>
      </c>
      <c r="D583" t="s">
        <v>2618</v>
      </c>
    </row>
    <row r="584" spans="1:5" x14ac:dyDescent="0.35">
      <c r="A584" s="1">
        <v>166</v>
      </c>
      <c r="B584" s="4" t="str">
        <f>HYPERLINK("https://www.embase.com/search/results?subaction=viewrecord&amp;id=LNCT06961292&amp;from=export")</f>
        <v>https://www.embase.com/search/results?subaction=viewrecord&amp;id=LNCT06961292&amp;from=export</v>
      </c>
      <c r="C584" t="s">
        <v>2624</v>
      </c>
      <c r="D584" t="s">
        <v>2625</v>
      </c>
    </row>
    <row r="585" spans="1:5" x14ac:dyDescent="0.35">
      <c r="A585" s="1">
        <v>78</v>
      </c>
      <c r="B585" s="4" t="str">
        <f>HYPERLINK("https://doi.org/10.1053/jars.2000.4635","Simonian (2000)")</f>
        <v>Simonian (2000)</v>
      </c>
      <c r="C585" t="s">
        <v>3625</v>
      </c>
      <c r="D585" t="s">
        <v>3626</v>
      </c>
      <c r="E585" s="1" t="s">
        <v>7</v>
      </c>
    </row>
    <row r="586" spans="1:5" x14ac:dyDescent="0.35">
      <c r="A586" s="1">
        <v>79</v>
      </c>
      <c r="B586" s="4" t="str">
        <f>HYPERLINK("https://doi.org/10.1007/s40279-020-01276-x","Sinding (2020)")</f>
        <v>Sinding (2020)</v>
      </c>
      <c r="C586" t="s">
        <v>3629</v>
      </c>
      <c r="D586" t="s">
        <v>3630</v>
      </c>
      <c r="E586" s="1" t="s">
        <v>4</v>
      </c>
    </row>
    <row r="587" spans="1:5" x14ac:dyDescent="0.35">
      <c r="A587" s="1">
        <v>80</v>
      </c>
      <c r="B587" s="4" t="str">
        <f>HYPERLINK("https://doi.org/10.1016/j.arthro.2020.01.048","Smith (2020)")</f>
        <v>Smith (2020)</v>
      </c>
      <c r="C587" t="s">
        <v>3633</v>
      </c>
      <c r="D587" t="s">
        <v>3634</v>
      </c>
      <c r="E587" s="1" t="s">
        <v>4</v>
      </c>
    </row>
    <row r="588" spans="1:5" x14ac:dyDescent="0.35">
      <c r="A588" s="1">
        <v>81</v>
      </c>
      <c r="B588" s="4" t="str">
        <f>HYPERLINK("https://doi.org/10.1007/s00113-004-0809-8","Sobau (2004)")</f>
        <v>Sobau (2004)</v>
      </c>
      <c r="C588" t="s">
        <v>3637</v>
      </c>
      <c r="D588" t="s">
        <v>3638</v>
      </c>
      <c r="E588" s="1" t="s">
        <v>7</v>
      </c>
    </row>
    <row r="589" spans="1:5" x14ac:dyDescent="0.35">
      <c r="A589" s="1">
        <v>85</v>
      </c>
      <c r="B589" s="4" t="str">
        <f>HYPERLINK("https://doi.org/10.1016/j.arthro.2010.05.018","Sobhy (2010)")</f>
        <v>Sobhy (2010)</v>
      </c>
      <c r="C589" t="s">
        <v>3645</v>
      </c>
      <c r="D589" t="s">
        <v>3646</v>
      </c>
      <c r="E589" s="1" t="s">
        <v>7</v>
      </c>
    </row>
    <row r="590" spans="1:5" x14ac:dyDescent="0.35">
      <c r="A590" s="1">
        <v>167</v>
      </c>
      <c r="B590" s="4" t="str">
        <f>HYPERLINK("https://www.embase.com/search/results?subaction=viewrecord&amp;id=LNCT06975306&amp;from=export")</f>
        <v>https://www.embase.com/search/results?subaction=viewrecord&amp;id=LNCT06975306&amp;from=export</v>
      </c>
      <c r="C590" t="s">
        <v>2631</v>
      </c>
      <c r="D590" t="s">
        <v>2632</v>
      </c>
    </row>
    <row r="591" spans="1:5" x14ac:dyDescent="0.35">
      <c r="A591" s="1">
        <v>94</v>
      </c>
      <c r="B591" s="4" t="str">
        <f>HYPERLINK("https://doi.org/10.1186/s12891-021-04540-x","Sole (2021)")</f>
        <v>Sole (2021)</v>
      </c>
      <c r="C591" t="s">
        <v>3705</v>
      </c>
      <c r="D591" t="s">
        <v>3706</v>
      </c>
      <c r="E591" s="1" t="s">
        <v>4</v>
      </c>
    </row>
    <row r="592" spans="1:5" x14ac:dyDescent="0.35">
      <c r="A592" s="1">
        <v>2</v>
      </c>
      <c r="B592" s="4" t="str">
        <f>HYPERLINK("https://doi.org/10.1097/PHM.0000000000000941","Song (2018)")</f>
        <v>Song (2018)</v>
      </c>
      <c r="C592" t="s">
        <v>3507</v>
      </c>
      <c r="D592" t="s">
        <v>3508</v>
      </c>
      <c r="E592" s="1" t="s">
        <v>7</v>
      </c>
    </row>
    <row r="593" spans="1:5" x14ac:dyDescent="0.35">
      <c r="A593" s="1">
        <v>173</v>
      </c>
      <c r="B593" s="4" t="str">
        <f>HYPERLINK("https://doi.org/10.1007/s00590-025-04510-2","Yadav (2025)")</f>
        <v>Yadav (2025)</v>
      </c>
      <c r="C593" t="s">
        <v>3992</v>
      </c>
      <c r="D593" t="s">
        <v>3993</v>
      </c>
    </row>
    <row r="594" spans="1:5" x14ac:dyDescent="0.35">
      <c r="A594" s="1">
        <v>176</v>
      </c>
      <c r="B594" s="4" t="str">
        <f>HYPERLINK("https://www.embase.com/search/results?subaction=viewrecord&amp;id=LNCT06980285&amp;from=export")</f>
        <v>https://www.embase.com/search/results?subaction=viewrecord&amp;id=LNCT06980285&amp;from=export</v>
      </c>
      <c r="C594" t="s">
        <v>2638</v>
      </c>
      <c r="D594" t="s">
        <v>2639</v>
      </c>
    </row>
    <row r="595" spans="1:5" x14ac:dyDescent="0.35">
      <c r="A595" s="1">
        <v>178</v>
      </c>
      <c r="B595" s="4" t="str">
        <f>HYPERLINK("https://www.embase.com/search/results?subaction=viewrecord&amp;id=LNCT06980285&amp;from=export")</f>
        <v>https://www.embase.com/search/results?subaction=viewrecord&amp;id=LNCT06980285&amp;from=export</v>
      </c>
      <c r="C595" t="s">
        <v>2645</v>
      </c>
      <c r="D595" t="s">
        <v>2646</v>
      </c>
    </row>
    <row r="596" spans="1:5" x14ac:dyDescent="0.35">
      <c r="A596" s="1">
        <v>26</v>
      </c>
      <c r="B596" s="4" t="str">
        <f>HYPERLINK("https://doi.org/10.2106/JBJS.19.00098","Sporsheim (2019)")</f>
        <v>Sporsheim (2019)</v>
      </c>
      <c r="C596" t="s">
        <v>3709</v>
      </c>
      <c r="D596" t="s">
        <v>3710</v>
      </c>
      <c r="E596" s="1" t="s">
        <v>4</v>
      </c>
    </row>
    <row r="597" spans="1:5" x14ac:dyDescent="0.35">
      <c r="A597" s="1">
        <v>179</v>
      </c>
      <c r="B597" s="4" t="str">
        <f>HYPERLINK("https://www.embase.com/search/results?subaction=viewrecord&amp;id=LNCT07023653&amp;from=export")</f>
        <v>https://www.embase.com/search/results?subaction=viewrecord&amp;id=LNCT07023653&amp;from=export</v>
      </c>
      <c r="C597" t="s">
        <v>2652</v>
      </c>
      <c r="D597" t="s">
        <v>2653</v>
      </c>
    </row>
    <row r="598" spans="1:5" x14ac:dyDescent="0.35">
      <c r="A598" s="1">
        <v>139</v>
      </c>
      <c r="B598" s="4" t="str">
        <f>HYPERLINK("https://doi.org/10.1055/s-2002-25750","Staub (2002)")</f>
        <v>Staub (2002)</v>
      </c>
      <c r="C598" t="s">
        <v>3723</v>
      </c>
      <c r="D598" t="s">
        <v>3724</v>
      </c>
      <c r="E598" s="1" t="s">
        <v>7</v>
      </c>
    </row>
    <row r="599" spans="1:5" x14ac:dyDescent="0.35">
      <c r="A599" s="1">
        <v>140</v>
      </c>
      <c r="B599" s="4" t="str">
        <f>HYPERLINK("https://doi.org/10.1177/0363546510361952","Stener (2010)")</f>
        <v>Stener (2010)</v>
      </c>
      <c r="C599" t="s">
        <v>3730</v>
      </c>
      <c r="D599" t="s">
        <v>3731</v>
      </c>
      <c r="E599" s="1" t="s">
        <v>4</v>
      </c>
    </row>
    <row r="600" spans="1:5" x14ac:dyDescent="0.35">
      <c r="A600" s="1">
        <v>180</v>
      </c>
      <c r="B600" s="4" t="str">
        <f>HYPERLINK("https://www.embase.com/search/results?subaction=viewrecord&amp;id=LNCT07040384&amp;from=export")</f>
        <v>https://www.embase.com/search/results?subaction=viewrecord&amp;id=LNCT07040384&amp;from=export</v>
      </c>
      <c r="C600" t="s">
        <v>2659</v>
      </c>
      <c r="D600" t="s">
        <v>2660</v>
      </c>
    </row>
    <row r="601" spans="1:5" x14ac:dyDescent="0.35">
      <c r="A601" s="1">
        <v>181</v>
      </c>
      <c r="B601" s="4" t="str">
        <f>HYPERLINK("https://www.embase.com/search/results?subaction=viewrecord&amp;id=LNCT07145606&amp;from=export")</f>
        <v>https://www.embase.com/search/results?subaction=viewrecord&amp;id=LNCT07145606&amp;from=export</v>
      </c>
      <c r="C601" t="s">
        <v>2666</v>
      </c>
      <c r="D601" t="s">
        <v>2667</v>
      </c>
    </row>
    <row r="602" spans="1:5" x14ac:dyDescent="0.35">
      <c r="A602" s="1">
        <v>151</v>
      </c>
      <c r="B602" s="4" t="str">
        <f>HYPERLINK("https://doi.org/10.1007/s00167-013-2630-9","Stensbirk (2014)")</f>
        <v>Stensbirk (2014)</v>
      </c>
      <c r="C602" t="s">
        <v>3749</v>
      </c>
      <c r="D602" t="s">
        <v>3750</v>
      </c>
      <c r="E602" s="1" t="s">
        <v>4</v>
      </c>
    </row>
    <row r="603" spans="1:5" x14ac:dyDescent="0.35">
      <c r="A603" s="1">
        <v>181</v>
      </c>
      <c r="B603" s="4" t="str">
        <f>HYPERLINK("https://doi.org/10.1016/j.jisako.2024.100309","Rips (2024)")</f>
        <v>Rips (2024)</v>
      </c>
      <c r="C603" t="s">
        <v>3641</v>
      </c>
      <c r="D603" t="s">
        <v>3642</v>
      </c>
    </row>
    <row r="604" spans="1:5" x14ac:dyDescent="0.35">
      <c r="A604" s="1">
        <v>106</v>
      </c>
      <c r="B604" s="4" t="str">
        <f>HYPERLINK("https://doi.org/10.1177/0363546520911024","Sundaraj (2020)")</f>
        <v>Sundaraj (2020)</v>
      </c>
      <c r="C604" t="s">
        <v>3761</v>
      </c>
      <c r="D604" t="s">
        <v>3762</v>
      </c>
      <c r="E604" s="1" t="s">
        <v>4</v>
      </c>
    </row>
    <row r="605" spans="1:5" x14ac:dyDescent="0.35">
      <c r="A605" s="1">
        <v>128</v>
      </c>
      <c r="B605" s="4" t="str">
        <f>HYPERLINK("https://doi.org/10.1177/0363546511405024","Suomalainen (2011)")</f>
        <v>Suomalainen (2011)</v>
      </c>
      <c r="C605" t="s">
        <v>3765</v>
      </c>
      <c r="D605" t="s">
        <v>3766</v>
      </c>
      <c r="E605" s="1" t="s">
        <v>4</v>
      </c>
    </row>
    <row r="606" spans="1:5" x14ac:dyDescent="0.35">
      <c r="A606" s="1">
        <v>170</v>
      </c>
      <c r="B606" s="4" t="str">
        <f>HYPERLINK("https://doi.org/10.1177/0363546512448177","Suomalainen (2012)")</f>
        <v>Suomalainen (2012)</v>
      </c>
      <c r="C606" t="s">
        <v>3772</v>
      </c>
      <c r="D606" t="s">
        <v>3773</v>
      </c>
      <c r="E606" s="1" t="s">
        <v>4</v>
      </c>
    </row>
    <row r="607" spans="1:5" x14ac:dyDescent="0.35">
      <c r="A607" s="1">
        <v>177</v>
      </c>
      <c r="B607" s="4" t="str">
        <f>HYPERLINK("https://doi.org/10.1007/s00167-005-0708-8","Svensson (2006)")</f>
        <v>Svensson (2006)</v>
      </c>
      <c r="C607" t="s">
        <v>3775</v>
      </c>
      <c r="D607" t="s">
        <v>3776</v>
      </c>
      <c r="E607" s="1" t="s">
        <v>7</v>
      </c>
    </row>
    <row r="608" spans="1:5" x14ac:dyDescent="0.35">
      <c r="A608" s="1">
        <v>193</v>
      </c>
      <c r="B608" s="4" t="str">
        <f>HYPERLINK("https://doi.org/10.3969/j.issn.2095-4344.2014.51.023","Li (2014)")</f>
        <v>Li (2014)</v>
      </c>
      <c r="C608" t="s">
        <v>3205</v>
      </c>
      <c r="D608" t="s">
        <v>3206</v>
      </c>
    </row>
    <row r="609" spans="1:5" x14ac:dyDescent="0.35">
      <c r="A609" s="1">
        <v>198</v>
      </c>
      <c r="B609" s="4" t="str">
        <f>HYPERLINK("https://doi.org/10.1016/j.apunsm.2025.100507","Elazab (2025)")</f>
        <v>Elazab (2025)</v>
      </c>
      <c r="C609" t="s">
        <v>998</v>
      </c>
      <c r="D609" t="s">
        <v>999</v>
      </c>
      <c r="E609" s="1" t="s">
        <v>4</v>
      </c>
    </row>
    <row r="610" spans="1:5" x14ac:dyDescent="0.35">
      <c r="A610" s="1">
        <v>262</v>
      </c>
      <c r="B610" s="4" t="str">
        <f>HYPERLINK("https://doi.org/10.1186/s12891-019-2653-6","Tajima (2019)")</f>
        <v>Tajima (2019)</v>
      </c>
      <c r="C610" t="s">
        <v>3791</v>
      </c>
      <c r="D610" t="s">
        <v>3792</v>
      </c>
      <c r="E610" s="1" t="s">
        <v>4</v>
      </c>
    </row>
    <row r="611" spans="1:5" x14ac:dyDescent="0.35">
      <c r="A611" s="1">
        <v>70</v>
      </c>
      <c r="B611" s="4" t="str">
        <f>HYPERLINK("https://doi.org/10.1007/s00590-023-03636-5","Tang (2024)")</f>
        <v>Tang (2024)</v>
      </c>
      <c r="C611" t="s">
        <v>3795</v>
      </c>
      <c r="D611" t="s">
        <v>3796</v>
      </c>
      <c r="E611" s="1" t="s">
        <v>4</v>
      </c>
    </row>
    <row r="612" spans="1:5" x14ac:dyDescent="0.35">
      <c r="A612" s="1">
        <v>123</v>
      </c>
      <c r="B612" s="4" t="str">
        <f>HYPERLINK("https://doi.org/10.1177/0363546509339577","Taylor (2009)")</f>
        <v>Taylor (2009)</v>
      </c>
      <c r="C612" t="s">
        <v>3801</v>
      </c>
      <c r="D612" t="s">
        <v>3802</v>
      </c>
      <c r="E612" s="1" t="s">
        <v>4</v>
      </c>
    </row>
    <row r="613" spans="1:5" x14ac:dyDescent="0.35">
      <c r="A613" s="1">
        <v>124</v>
      </c>
      <c r="B613" s="4" t="str">
        <f>HYPERLINK("https://doi.org/10.1007/s00113-005-0948-6","Tecklenburg (2005)")</f>
        <v>Tecklenburg (2005)</v>
      </c>
      <c r="C613" t="s">
        <v>3805</v>
      </c>
      <c r="D613" t="s">
        <v>3806</v>
      </c>
      <c r="E613" s="1" t="s">
        <v>15</v>
      </c>
    </row>
    <row r="614" spans="1:5" x14ac:dyDescent="0.35">
      <c r="A614" s="1">
        <v>129</v>
      </c>
      <c r="B614" s="4" t="str">
        <f>HYPERLINK("https://doi.org/10.1016/S0749-8063(85)80095-5","Tegner (1985)")</f>
        <v>Tegner (1985)</v>
      </c>
      <c r="C614" t="s">
        <v>3809</v>
      </c>
      <c r="D614" t="s">
        <v>3810</v>
      </c>
      <c r="E614" s="1" t="s">
        <v>7</v>
      </c>
    </row>
    <row r="615" spans="1:5" x14ac:dyDescent="0.35">
      <c r="A615" s="1">
        <v>199</v>
      </c>
      <c r="B615" s="4" t="str">
        <f>HYPERLINK("https://doi.org/10.1177/2325967118808778","Elveos (2018)")</f>
        <v>Elveos (2018)</v>
      </c>
      <c r="C615" t="s">
        <v>1006</v>
      </c>
      <c r="D615" t="s">
        <v>1007</v>
      </c>
      <c r="E615" s="1" t="s">
        <v>4</v>
      </c>
    </row>
    <row r="616" spans="1:5" x14ac:dyDescent="0.35">
      <c r="A616" s="1">
        <v>132</v>
      </c>
      <c r="B616" s="4" t="str">
        <f>HYPERLINK("https://doi.org/10.1111/j.1600-0838.1996.tb00099.x","Thuresson (1996)")</f>
        <v>Thuresson (1996)</v>
      </c>
      <c r="C616" t="s">
        <v>3817</v>
      </c>
      <c r="D616" t="s">
        <v>3818</v>
      </c>
      <c r="E616" s="1" t="s">
        <v>15</v>
      </c>
    </row>
    <row r="617" spans="1:5" x14ac:dyDescent="0.35">
      <c r="A617" s="1">
        <v>207</v>
      </c>
      <c r="B617" s="4" t="str">
        <f>HYPERLINK("https://doi.org/10.1016/j.eng.2024.10.018","Zhang (2025)")</f>
        <v>Zhang (2025)</v>
      </c>
      <c r="C617" t="s">
        <v>4084</v>
      </c>
      <c r="D617" t="s">
        <v>4085</v>
      </c>
      <c r="E617" s="1" t="s">
        <v>7</v>
      </c>
    </row>
    <row r="618" spans="1:5" x14ac:dyDescent="0.35">
      <c r="A618" s="1">
        <v>134</v>
      </c>
      <c r="B618" s="4" t="str">
        <f>HYPERLINK("https://doi.org/10.1177/230949900501300206","Tow (2005)")</f>
        <v>Tow (2005)</v>
      </c>
      <c r="C618" t="s">
        <v>3825</v>
      </c>
      <c r="D618" t="s">
        <v>3826</v>
      </c>
      <c r="E618" s="1" t="s">
        <v>7</v>
      </c>
    </row>
    <row r="619" spans="1:5" x14ac:dyDescent="0.35">
      <c r="A619" s="1">
        <v>135</v>
      </c>
      <c r="B619" s="4" t="str">
        <f>HYPERLINK("https://doi.org/10.1007/s00167-015-3593-9","Tsoukas (2016)")</f>
        <v>Tsoukas (2016)</v>
      </c>
      <c r="C619" t="s">
        <v>3832</v>
      </c>
      <c r="D619" t="s">
        <v>289</v>
      </c>
      <c r="E619" s="1" t="s">
        <v>4</v>
      </c>
    </row>
    <row r="620" spans="1:5" x14ac:dyDescent="0.35">
      <c r="A620" s="1">
        <v>136</v>
      </c>
      <c r="B620" s="4" t="str">
        <f>HYPERLINK("https://doi.org/10.1007/s11999-008-0604-x","Tsuda (2009)")</f>
        <v>Tsuda (2009)</v>
      </c>
      <c r="C620" t="s">
        <v>3835</v>
      </c>
      <c r="D620" t="s">
        <v>3836</v>
      </c>
      <c r="E620" s="1" t="s">
        <v>7</v>
      </c>
    </row>
    <row r="621" spans="1:5" x14ac:dyDescent="0.35">
      <c r="A621" s="1">
        <v>212</v>
      </c>
      <c r="B621" s="4" t="str">
        <f>HYPERLINK("https://doi.org/10.1177/0363546509350325","Jagodzinski (2010)")</f>
        <v>Jagodzinski (2010)</v>
      </c>
      <c r="C621" t="s">
        <v>2784</v>
      </c>
      <c r="D621" t="s">
        <v>2785</v>
      </c>
      <c r="E621" s="1" t="s">
        <v>4</v>
      </c>
    </row>
    <row r="622" spans="1:5" x14ac:dyDescent="0.35">
      <c r="A622" s="1">
        <v>98</v>
      </c>
      <c r="B622" s="4" t="str">
        <f>HYPERLINK("https://doi.org/10.1097/00003086-199812000-00019","Tyler (1998)")</f>
        <v>Tyler (1998)</v>
      </c>
      <c r="C622" t="s">
        <v>3848</v>
      </c>
      <c r="D622" t="s">
        <v>3849</v>
      </c>
      <c r="E622" s="1" t="s">
        <v>4</v>
      </c>
    </row>
    <row r="623" spans="1:5" x14ac:dyDescent="0.35">
      <c r="A623" s="1">
        <v>150</v>
      </c>
      <c r="B623" s="4" t="str">
        <f>HYPERLINK("https://doi.org/10.1016/S0020-1383(14)70008-7","Valentí (2014)")</f>
        <v>Valentí (2014)</v>
      </c>
      <c r="C623" t="s">
        <v>3855</v>
      </c>
      <c r="D623" t="s">
        <v>3856</v>
      </c>
      <c r="E623" s="1" t="s">
        <v>7</v>
      </c>
    </row>
    <row r="624" spans="1:5" x14ac:dyDescent="0.35">
      <c r="A624" s="1">
        <v>208</v>
      </c>
      <c r="B624" s="4" t="str">
        <f>HYPERLINK("https://doi.org/10.1016/s0749-8063(98)70022-2","van (1998)")</f>
        <v>van (1998)</v>
      </c>
      <c r="C624" t="s">
        <v>3861</v>
      </c>
      <c r="D624" t="s">
        <v>3862</v>
      </c>
      <c r="E624" s="1" t="s">
        <v>4</v>
      </c>
    </row>
    <row r="625" spans="1:5" x14ac:dyDescent="0.35">
      <c r="A625" s="1">
        <v>214</v>
      </c>
      <c r="B625" s="4" t="str">
        <f>HYPERLINK("https://doi.org/10.1016/S0749-8063(98)70022-2","Van (1998)")</f>
        <v>Van (1998)</v>
      </c>
      <c r="C625" t="s">
        <v>3865</v>
      </c>
      <c r="D625" t="s">
        <v>3866</v>
      </c>
      <c r="E625" s="1" t="s">
        <v>4</v>
      </c>
    </row>
    <row r="626" spans="1:5" x14ac:dyDescent="0.35">
      <c r="A626" s="1">
        <v>213</v>
      </c>
      <c r="B626" s="5" t="str">
        <f>HYPERLINK("https://doi.org/10.1177/0363546507311601","Birmingham (2008)")</f>
        <v>Birmingham (2008)</v>
      </c>
      <c r="C626" t="s">
        <v>592</v>
      </c>
      <c r="D626" t="s">
        <v>593</v>
      </c>
      <c r="E626" s="1" t="s">
        <v>7</v>
      </c>
    </row>
    <row r="627" spans="1:5" x14ac:dyDescent="0.35">
      <c r="A627" s="1">
        <v>220</v>
      </c>
      <c r="B627" s="4" t="str">
        <f>HYPERLINK("https://doi.org/10.1186/s40634-020-00292-0","Van (2020)")</f>
        <v>Van (2020)</v>
      </c>
      <c r="C627" t="s">
        <v>3869</v>
      </c>
      <c r="D627" t="s">
        <v>3870</v>
      </c>
      <c r="E627" s="1" t="s">
        <v>7</v>
      </c>
    </row>
    <row r="628" spans="1:5" x14ac:dyDescent="0.35">
      <c r="A628" s="1">
        <v>224</v>
      </c>
      <c r="B628" s="4" t="str">
        <f>HYPERLINK("https://doi.org/10.3389/fresc.2025.1627228","Vicente-Mampel (2025)")</f>
        <v>Vicente-Mampel (2025)</v>
      </c>
      <c r="C628" t="s">
        <v>3877</v>
      </c>
      <c r="D628" t="s">
        <v>3878</v>
      </c>
      <c r="E628" s="1" t="s">
        <v>4</v>
      </c>
    </row>
    <row r="629" spans="1:5" x14ac:dyDescent="0.35">
      <c r="A629" s="1">
        <v>221</v>
      </c>
      <c r="B629" s="4" t="str">
        <f>HYPERLINK("https://doi.org/10.1186/s12891-021-04280-y","van (2021)")</f>
        <v>van (2021)</v>
      </c>
      <c r="C629" t="s">
        <v>3873</v>
      </c>
      <c r="D629" t="s">
        <v>3874</v>
      </c>
      <c r="E629" s="1" t="s">
        <v>7</v>
      </c>
    </row>
    <row r="630" spans="1:5" x14ac:dyDescent="0.35">
      <c r="A630" s="1">
        <v>229</v>
      </c>
      <c r="B630" s="4" t="str">
        <f>HYPERLINK("https://doi.org/10.2340/jrm.v54.2550","Vieira (2022)")</f>
        <v>Vieira (2022)</v>
      </c>
      <c r="C630" t="s">
        <v>3885</v>
      </c>
      <c r="D630" t="s">
        <v>3886</v>
      </c>
      <c r="E630" s="1" t="s">
        <v>4</v>
      </c>
    </row>
    <row r="631" spans="1:5" x14ac:dyDescent="0.35">
      <c r="A631" s="1">
        <v>226</v>
      </c>
      <c r="B631" s="4" t="str">
        <f>HYPERLINK("https://doi.org/10.1177/0363546507307867","Tagesson (2008)")</f>
        <v>Tagesson (2008)</v>
      </c>
      <c r="C631" t="s">
        <v>3781</v>
      </c>
      <c r="D631" t="s">
        <v>3782</v>
      </c>
      <c r="E631" s="1" t="s">
        <v>7</v>
      </c>
    </row>
    <row r="632" spans="1:5" x14ac:dyDescent="0.35">
      <c r="A632" s="1">
        <v>242</v>
      </c>
      <c r="B632" s="4" t="str">
        <f>HYPERLINK("https://doi.org/10.24875/CIRU.19001001","Vilchez-Cavazos (2020)")</f>
        <v>Vilchez-Cavazos (2020)</v>
      </c>
      <c r="C632" t="s">
        <v>3893</v>
      </c>
      <c r="D632" t="s">
        <v>3894</v>
      </c>
      <c r="E632" s="1" t="s">
        <v>4</v>
      </c>
    </row>
    <row r="633" spans="1:5" x14ac:dyDescent="0.35">
      <c r="A633" s="1">
        <v>247</v>
      </c>
      <c r="B633" s="4" t="str">
        <f>HYPERLINK("https://doi.org/10.1007/s00508-010-1340-2","Vogrin (2010)")</f>
        <v>Vogrin (2010)</v>
      </c>
      <c r="C633" t="s">
        <v>3897</v>
      </c>
      <c r="D633" t="s">
        <v>3898</v>
      </c>
      <c r="E633" s="1" t="s">
        <v>7</v>
      </c>
    </row>
    <row r="634" spans="1:5" x14ac:dyDescent="0.35">
      <c r="A634" s="1">
        <v>296</v>
      </c>
      <c r="B634" s="4" t="str">
        <f>HYPERLINK("https://doi.org/10.1016/j.injury.2010.09.029","Volpi (2010)")</f>
        <v>Volpi (2010)</v>
      </c>
      <c r="C634" t="s">
        <v>3901</v>
      </c>
      <c r="D634" t="s">
        <v>3902</v>
      </c>
      <c r="E634" s="1" t="s">
        <v>4</v>
      </c>
    </row>
    <row r="635" spans="1:5" x14ac:dyDescent="0.35">
      <c r="A635" s="1">
        <v>97</v>
      </c>
      <c r="B635" s="4" t="str">
        <f>HYPERLINK("https://doi.org/10.1177/0363546518769295","Walters (2018)")</f>
        <v>Walters (2018)</v>
      </c>
      <c r="C635" t="s">
        <v>3905</v>
      </c>
      <c r="D635" t="s">
        <v>3906</v>
      </c>
      <c r="E635" s="1" t="s">
        <v>4</v>
      </c>
    </row>
    <row r="636" spans="1:5" x14ac:dyDescent="0.35">
      <c r="A636" s="1">
        <v>48</v>
      </c>
      <c r="B636" s="4" t="str">
        <f>HYPERLINK("https://doi.org/10.3760/cma.j.issn.0366-6999.2009.06.022","Wang (2009)")</f>
        <v>Wang (2009)</v>
      </c>
      <c r="C636" t="s">
        <v>3912</v>
      </c>
      <c r="D636" t="s">
        <v>3913</v>
      </c>
      <c r="E636" s="1" t="s">
        <v>4</v>
      </c>
    </row>
    <row r="637" spans="1:5" x14ac:dyDescent="0.35">
      <c r="A637" s="1">
        <v>63</v>
      </c>
      <c r="B637" s="4" t="str">
        <f>HYPERLINK("https://doi.org/10.1016/j.jss.2014.01.050","Wang (2014)")</f>
        <v>Wang (2014)</v>
      </c>
      <c r="C637" t="s">
        <v>3919</v>
      </c>
      <c r="D637" t="s">
        <v>3920</v>
      </c>
      <c r="E637" s="1" t="s">
        <v>4</v>
      </c>
    </row>
    <row r="638" spans="1:5" x14ac:dyDescent="0.35">
      <c r="A638" s="1">
        <v>228</v>
      </c>
      <c r="B638" s="4" t="str">
        <f>HYPERLINK("https://doi.org/10.1007/s00167-006-0254-z","Järvelä (2007)")</f>
        <v>Järvelä (2007)</v>
      </c>
      <c r="C638" t="s">
        <v>2810</v>
      </c>
      <c r="D638" t="s">
        <v>2811</v>
      </c>
      <c r="E638" s="1" t="s">
        <v>7</v>
      </c>
    </row>
    <row r="639" spans="1:5" x14ac:dyDescent="0.35">
      <c r="A639" s="1">
        <v>228</v>
      </c>
      <c r="B639" s="4" t="str">
        <f>HYPERLINK("https://doi.org/10.1016/j.bjpt.2019.07.003","Vidmar (2020)")</f>
        <v>Vidmar (2020)</v>
      </c>
      <c r="C639" t="s">
        <v>3881</v>
      </c>
      <c r="D639" t="s">
        <v>3882</v>
      </c>
      <c r="E639" s="1" t="s">
        <v>7</v>
      </c>
    </row>
    <row r="640" spans="1:5" x14ac:dyDescent="0.35">
      <c r="A640" s="1">
        <v>94</v>
      </c>
      <c r="B640" s="4" t="str">
        <f>HYPERLINK("https://doi.org/10.1177/0363546515611886","Webster (2016)")</f>
        <v>Webster (2016)</v>
      </c>
      <c r="C640" t="s">
        <v>3938</v>
      </c>
      <c r="D640" t="s">
        <v>3939</v>
      </c>
      <c r="E640" s="1" t="s">
        <v>4</v>
      </c>
    </row>
    <row r="641" spans="1:5" x14ac:dyDescent="0.35">
      <c r="A641" s="1">
        <v>95</v>
      </c>
      <c r="B641" s="4" t="str">
        <f>HYPERLINK("https://doi.org/10.3390/jcm12103350","Weninger (2023)")</f>
        <v>Weninger (2023)</v>
      </c>
      <c r="C641" t="s">
        <v>3941</v>
      </c>
      <c r="D641" t="s">
        <v>3942</v>
      </c>
      <c r="E641" s="1" t="s">
        <v>4</v>
      </c>
    </row>
    <row r="642" spans="1:5" x14ac:dyDescent="0.35">
      <c r="A642" s="1">
        <v>111</v>
      </c>
      <c r="B642" s="4" t="str">
        <f>HYPERLINK("https://doi.org/10.1016/j.arthro.2011.01.015","Wipfler (2011)")</f>
        <v>Wipfler (2011)</v>
      </c>
      <c r="C642" t="s">
        <v>3947</v>
      </c>
      <c r="D642" t="s">
        <v>3948</v>
      </c>
      <c r="E642" s="1" t="s">
        <v>4</v>
      </c>
    </row>
    <row r="643" spans="1:5" x14ac:dyDescent="0.35">
      <c r="A643" s="1">
        <v>229</v>
      </c>
      <c r="B643" s="4" t="str">
        <f>HYPERLINK("https://doi.org/10.1177/0363546507312164","Bottoni (2008)")</f>
        <v>Bottoni (2008)</v>
      </c>
      <c r="C643" t="s">
        <v>627</v>
      </c>
      <c r="D643" t="s">
        <v>628</v>
      </c>
      <c r="E643" s="1" t="s">
        <v>7</v>
      </c>
    </row>
    <row r="644" spans="1:5" x14ac:dyDescent="0.35">
      <c r="A644" s="1">
        <v>232</v>
      </c>
      <c r="B644" s="4" t="str">
        <f>HYPERLINK("https://doi.org/10.1177/0363546507308360","Järvelä (2008)")</f>
        <v>Järvelä (2008)</v>
      </c>
      <c r="C644" t="s">
        <v>2817</v>
      </c>
      <c r="D644" t="s">
        <v>2818</v>
      </c>
      <c r="E644" s="1" t="s">
        <v>7</v>
      </c>
    </row>
    <row r="645" spans="1:5" x14ac:dyDescent="0.35">
      <c r="A645" s="1">
        <v>232</v>
      </c>
      <c r="B645" s="4" t="str">
        <f>HYPERLINK("https://doi.org/10.1007/s00167-006-0034-9","Rose (2006)")</f>
        <v>Rose (2006)</v>
      </c>
      <c r="C645" t="s">
        <v>3661</v>
      </c>
      <c r="D645" t="s">
        <v>3662</v>
      </c>
      <c r="E645" s="1" t="s">
        <v>7</v>
      </c>
    </row>
    <row r="646" spans="1:5" x14ac:dyDescent="0.35">
      <c r="A646" s="1">
        <v>29</v>
      </c>
      <c r="B646" s="4" t="str">
        <f>HYPERLINK("https://doi.org/10.1097/MD.0000000000014851","Xiang (2019)")</f>
        <v>Xiang (2019)</v>
      </c>
      <c r="C646" t="s">
        <v>3972</v>
      </c>
      <c r="D646" t="s">
        <v>3973</v>
      </c>
      <c r="E646" s="1" t="s">
        <v>4</v>
      </c>
    </row>
    <row r="647" spans="1:5" x14ac:dyDescent="0.35">
      <c r="A647" s="1">
        <v>236</v>
      </c>
      <c r="B647" s="4" t="str">
        <f>HYPERLINK("https://doi.org/10.1177/22104917221088335","Vijay (2022)")</f>
        <v>Vijay (2022)</v>
      </c>
      <c r="C647" t="s">
        <v>3889</v>
      </c>
      <c r="D647" t="s">
        <v>3890</v>
      </c>
      <c r="E647" s="1" t="s">
        <v>7</v>
      </c>
    </row>
    <row r="648" spans="1:5" x14ac:dyDescent="0.35">
      <c r="A648" s="1">
        <v>240</v>
      </c>
      <c r="B648" s="4" t="str">
        <f>HYPERLINK("https://doi.org/10.1016/j.arthro.2007.09.010","Jepsen (2007)")</f>
        <v>Jepsen (2007)</v>
      </c>
      <c r="C648" t="s">
        <v>2824</v>
      </c>
      <c r="D648" t="s">
        <v>2825</v>
      </c>
      <c r="E648" s="1" t="s">
        <v>7</v>
      </c>
    </row>
    <row r="649" spans="1:5" x14ac:dyDescent="0.35">
      <c r="A649" s="1">
        <v>243</v>
      </c>
      <c r="B649" s="4" t="str">
        <f>HYPERLINK("https://doi.org/10.1177/0363546518784005","Boutsiadis (2018)")</f>
        <v>Boutsiadis (2018)</v>
      </c>
      <c r="C649" t="s">
        <v>640</v>
      </c>
      <c r="D649" t="s">
        <v>641</v>
      </c>
      <c r="E649" s="1" t="s">
        <v>7</v>
      </c>
    </row>
    <row r="650" spans="1:5" x14ac:dyDescent="0.35">
      <c r="A650" s="1">
        <v>268</v>
      </c>
      <c r="B650" s="4" t="str">
        <f>HYPERLINK("https://doi.org/10.1097/BLO.0b013e31802ba45c","Yagi (2007)")</f>
        <v>Yagi (2007)</v>
      </c>
      <c r="C650" t="s">
        <v>3998</v>
      </c>
      <c r="D650" t="s">
        <v>3999</v>
      </c>
      <c r="E650" s="1" t="s">
        <v>15</v>
      </c>
    </row>
    <row r="651" spans="1:5" x14ac:dyDescent="0.35">
      <c r="A651" s="1">
        <v>35</v>
      </c>
      <c r="B651" s="4" t="str">
        <f>HYPERLINK("https://doi.org/10.23736/S0022-4707.24.16134-8","Yang (2025)")</f>
        <v>Yang (2025)</v>
      </c>
      <c r="C651" t="s">
        <v>4004</v>
      </c>
      <c r="D651" t="s">
        <v>4005</v>
      </c>
      <c r="E651" s="1" t="s">
        <v>4</v>
      </c>
    </row>
    <row r="652" spans="1:5" x14ac:dyDescent="0.35">
      <c r="A652" s="1">
        <v>245</v>
      </c>
      <c r="B652" s="4" t="str">
        <f>HYPERLINK("https://doi.org/10.1111/j.1600-0838.2009.00903.x","Tagesson (2010)")</f>
        <v>Tagesson (2010)</v>
      </c>
      <c r="C652" t="s">
        <v>3786</v>
      </c>
      <c r="D652" t="s">
        <v>3787</v>
      </c>
      <c r="E652" s="1" t="s">
        <v>7</v>
      </c>
    </row>
    <row r="653" spans="1:5" x14ac:dyDescent="0.35">
      <c r="A653" s="1">
        <v>0</v>
      </c>
      <c r="B653" s="4" t="str">
        <f>HYPERLINK("https://doi.org/10.1016/j.arthro.2011.08.305","Yasuda (2012)")</f>
        <v>Yasuda (2012)</v>
      </c>
      <c r="C653" t="s">
        <v>4017</v>
      </c>
      <c r="D653" t="s">
        <v>4018</v>
      </c>
      <c r="E653" s="1" t="s">
        <v>7</v>
      </c>
    </row>
    <row r="654" spans="1:5" x14ac:dyDescent="0.35">
      <c r="A654" s="1">
        <v>252</v>
      </c>
      <c r="B654" s="4" t="str">
        <f>HYPERLINK("https://doi.org/10.1302/0301-620X.83B3.11685","Eriksson (2001)")</f>
        <v>Eriksson (2001)</v>
      </c>
      <c r="C654" t="s">
        <v>1041</v>
      </c>
      <c r="D654" t="s">
        <v>1042</v>
      </c>
      <c r="E654" s="1" t="s">
        <v>7</v>
      </c>
    </row>
    <row r="655" spans="1:5" x14ac:dyDescent="0.35">
      <c r="A655" s="1">
        <v>33</v>
      </c>
      <c r="B655" s="4" t="str">
        <f>HYPERLINK("https://doi.org/10.1016/j.smhs.2025.03.002","Yue (2025)")</f>
        <v>Yue (2025)</v>
      </c>
      <c r="C655" t="s">
        <v>4030</v>
      </c>
      <c r="D655" t="s">
        <v>4031</v>
      </c>
      <c r="E655" s="1" t="s">
        <v>4</v>
      </c>
    </row>
    <row r="656" spans="1:5" x14ac:dyDescent="0.35">
      <c r="A656" s="1">
        <v>253</v>
      </c>
      <c r="B656" s="4" t="str">
        <f>HYPERLINK("https://doi.org/10.1186/s13063-018-2448-3","Bregenhof (2018)")</f>
        <v>Bregenhof (2018)</v>
      </c>
      <c r="C656" t="s">
        <v>668</v>
      </c>
      <c r="D656" t="s">
        <v>669</v>
      </c>
      <c r="E656" s="1" t="s">
        <v>7</v>
      </c>
    </row>
    <row r="657" spans="1:5" x14ac:dyDescent="0.35">
      <c r="A657" s="1">
        <v>72</v>
      </c>
      <c r="B657" s="4" t="str">
        <f>HYPERLINK("https://doi.org/10.1007/s00167-010-1225-y","Zaffagnini (2011)")</f>
        <v>Zaffagnini (2011)</v>
      </c>
      <c r="C657" t="s">
        <v>4041</v>
      </c>
      <c r="D657" t="s">
        <v>4042</v>
      </c>
      <c r="E657" s="1" t="s">
        <v>4</v>
      </c>
    </row>
    <row r="658" spans="1:5" x14ac:dyDescent="0.35">
      <c r="A658" s="1">
        <v>74</v>
      </c>
      <c r="B658" s="4" t="str">
        <f>HYPERLINK("https://doi.org/10.1177/19417381231155120","Zarzycki (2024)")</f>
        <v>Zarzycki (2024)</v>
      </c>
      <c r="C658" t="s">
        <v>4045</v>
      </c>
      <c r="D658" t="s">
        <v>4046</v>
      </c>
      <c r="E658" s="1" t="s">
        <v>15</v>
      </c>
    </row>
    <row r="659" spans="1:5" x14ac:dyDescent="0.35">
      <c r="A659" s="1">
        <v>80</v>
      </c>
      <c r="B659" s="4" t="str">
        <f>HYPERLINK("https://doi.org/10.55095/achot2014/004","Zeman (2014)")</f>
        <v>Zeman (2014)</v>
      </c>
      <c r="C659" t="s">
        <v>4049</v>
      </c>
      <c r="D659" t="s">
        <v>4050</v>
      </c>
      <c r="E659" s="1" t="s">
        <v>4</v>
      </c>
    </row>
    <row r="660" spans="1:5" x14ac:dyDescent="0.35">
      <c r="A660" s="1">
        <v>81</v>
      </c>
      <c r="B660" s="4" t="str">
        <f>HYPERLINK("https://doi.org/10.1590/s0102-86502012000800010","Zhang (2012)")</f>
        <v>Zhang (2012)</v>
      </c>
      <c r="C660" t="s">
        <v>4053</v>
      </c>
      <c r="D660" t="s">
        <v>4054</v>
      </c>
      <c r="E660" s="1" t="s">
        <v>4</v>
      </c>
    </row>
    <row r="661" spans="1:5" x14ac:dyDescent="0.35">
      <c r="A661" s="1">
        <v>82</v>
      </c>
      <c r="B661" s="4" t="str">
        <f>HYPERLINK("https://doi.org/10.1007/s00167-012-2341-7","Zhang (2014)")</f>
        <v>Zhang (2014)</v>
      </c>
      <c r="C661" t="s">
        <v>4057</v>
      </c>
      <c r="D661" t="s">
        <v>4058</v>
      </c>
      <c r="E661" s="1" t="s">
        <v>4</v>
      </c>
    </row>
    <row r="662" spans="1:5" x14ac:dyDescent="0.35">
      <c r="A662" s="1">
        <v>113</v>
      </c>
      <c r="B662" s="4" t="str">
        <f>HYPERLINK("https://doi.org/10.3881/j.issn.1000-503X.2017.06.010","Zhang (2017)")</f>
        <v>Zhang (2017)</v>
      </c>
      <c r="C662" t="s">
        <v>4061</v>
      </c>
      <c r="D662" t="s">
        <v>4062</v>
      </c>
      <c r="E662" s="1" t="s">
        <v>7</v>
      </c>
    </row>
    <row r="663" spans="1:5" x14ac:dyDescent="0.35">
      <c r="A663" s="1">
        <v>118</v>
      </c>
      <c r="B663" s="4" t="str">
        <f>HYPERLINK("https://doi.org/10.1016/j.arthro.2018.03.011","Zhang (2018)")</f>
        <v>Zhang (2018)</v>
      </c>
      <c r="C663" t="s">
        <v>4065</v>
      </c>
      <c r="D663" t="s">
        <v>4066</v>
      </c>
      <c r="E663" s="1" t="s">
        <v>4</v>
      </c>
    </row>
    <row r="664" spans="1:5" x14ac:dyDescent="0.35">
      <c r="A664" s="1">
        <v>126</v>
      </c>
      <c r="B664" s="4" t="str">
        <f>HYPERLINK("https://doi.org/10.1177/0363546520951507","Zhang (2020)")</f>
        <v>Zhang (2020)</v>
      </c>
      <c r="C664" t="s">
        <v>4069</v>
      </c>
      <c r="D664" t="s">
        <v>4070</v>
      </c>
      <c r="E664" s="1" t="s">
        <v>4</v>
      </c>
    </row>
    <row r="665" spans="1:5" x14ac:dyDescent="0.35">
      <c r="A665" s="1">
        <v>264</v>
      </c>
      <c r="B665" s="4" t="str">
        <f>HYPERLINK("https://doi.org/10.69605/ijlbpr_14.7.2025.278","Kadivar (2025)")</f>
        <v>Kadivar (2025)</v>
      </c>
      <c r="C665" t="s">
        <v>2851</v>
      </c>
      <c r="D665" t="s">
        <v>2852</v>
      </c>
      <c r="E665" s="1" t="s">
        <v>7</v>
      </c>
    </row>
    <row r="666" spans="1:5" x14ac:dyDescent="0.35">
      <c r="A666" s="1">
        <v>266</v>
      </c>
      <c r="B666" s="4" t="str">
        <f>HYPERLINK("https://doi.org/10.1016/j.otsr.2016.06.011","Cantin (2016)")</f>
        <v>Cantin (2016)</v>
      </c>
      <c r="C666" t="s">
        <v>710</v>
      </c>
      <c r="D666" t="s">
        <v>711</v>
      </c>
      <c r="E666" s="1" t="s">
        <v>7</v>
      </c>
    </row>
    <row r="667" spans="1:5" x14ac:dyDescent="0.35">
      <c r="A667" s="1">
        <v>295</v>
      </c>
      <c r="B667" s="4" t="str">
        <f>HYPERLINK("https://doi.org/10.1016/j.arthro.2005.08.023","Fauno (2005)")</f>
        <v>Fauno (2005)</v>
      </c>
      <c r="C667" t="s">
        <v>1056</v>
      </c>
      <c r="D667" t="s">
        <v>1057</v>
      </c>
      <c r="E667" s="1" t="s">
        <v>7</v>
      </c>
    </row>
    <row r="668" spans="1:5" x14ac:dyDescent="0.35">
      <c r="A668" s="1">
        <v>307</v>
      </c>
      <c r="B668" s="4" t="str">
        <f>HYPERLINK("https://doi.org/10.1016/j.knee.2005.05.001","Zhao (2006)")</f>
        <v>Zhao (2006)</v>
      </c>
      <c r="C668" t="s">
        <v>4088</v>
      </c>
      <c r="D668" t="s">
        <v>4089</v>
      </c>
      <c r="E668" s="1" t="s">
        <v>15</v>
      </c>
    </row>
    <row r="669" spans="1:5" x14ac:dyDescent="0.35">
      <c r="A669" s="1">
        <v>306</v>
      </c>
      <c r="B669" s="4" t="str">
        <f>HYPERLINK("https://doi.org/10.1177/0363546510396180","Feil (2011)")</f>
        <v>Feil (2011)</v>
      </c>
      <c r="C669" t="s">
        <v>1064</v>
      </c>
      <c r="D669" t="s">
        <v>1065</v>
      </c>
      <c r="E669" s="1" t="s">
        <v>7</v>
      </c>
    </row>
  </sheetData>
  <autoFilter ref="A1:E669" xr:uid="{FFDD22A2-3832-469A-BF47-CBEF6BAB571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3F581-8E23-4B47-9239-DB996D2C1F3A}">
  <dimension ref="A1"/>
  <sheetViews>
    <sheetView tabSelected="1"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0C474-4DD7-402E-AE12-3C2B8CC53CD8}">
  <dimension ref="A1:L669"/>
  <sheetViews>
    <sheetView topLeftCell="A31" zoomScale="95" zoomScaleNormal="70" workbookViewId="0">
      <selection activeCell="L31" sqref="A1:L1048576"/>
    </sheetView>
  </sheetViews>
  <sheetFormatPr defaultRowHeight="14.5" x14ac:dyDescent="0.35"/>
  <cols>
    <col min="1" max="1" width="13.1796875" bestFit="1" customWidth="1"/>
    <col min="2" max="5" width="24.1796875" bestFit="1" customWidth="1"/>
    <col min="6" max="6" width="6.6328125" bestFit="1" customWidth="1"/>
    <col min="7" max="7" width="24.1796875" bestFit="1" customWidth="1"/>
    <col min="8" max="8" width="20.54296875" bestFit="1" customWidth="1"/>
    <col min="9" max="10" width="24.1796875" bestFit="1" customWidth="1"/>
    <col min="11" max="11" width="40.54296875" style="4" customWidth="1"/>
    <col min="12" max="12" width="21.1796875" style="1" bestFit="1" customWidth="1"/>
  </cols>
  <sheetData>
    <row r="1" spans="1:12" x14ac:dyDescent="0.35">
      <c r="A1" t="s">
        <v>35</v>
      </c>
      <c r="B1" t="s">
        <v>0</v>
      </c>
      <c r="C1" t="s">
        <v>36</v>
      </c>
      <c r="D1" t="s">
        <v>37</v>
      </c>
      <c r="E1" t="s">
        <v>38</v>
      </c>
      <c r="F1" t="s">
        <v>39</v>
      </c>
      <c r="G1" t="s">
        <v>40</v>
      </c>
      <c r="H1" t="s">
        <v>41</v>
      </c>
      <c r="I1" t="s">
        <v>42</v>
      </c>
      <c r="J1" t="s">
        <v>43</v>
      </c>
      <c r="K1" s="3" t="s">
        <v>33</v>
      </c>
      <c r="L1" s="2" t="s">
        <v>1</v>
      </c>
    </row>
    <row r="2" spans="1:12" x14ac:dyDescent="0.35">
      <c r="A2">
        <v>10</v>
      </c>
      <c r="B2" t="s">
        <v>44</v>
      </c>
      <c r="C2" t="s">
        <v>45</v>
      </c>
      <c r="D2" t="s">
        <v>46</v>
      </c>
      <c r="E2" t="s">
        <v>47</v>
      </c>
      <c r="F2">
        <v>2019</v>
      </c>
      <c r="G2" t="s">
        <v>48</v>
      </c>
      <c r="H2" t="s">
        <v>49</v>
      </c>
      <c r="I2" t="s">
        <v>50</v>
      </c>
      <c r="J2" t="s">
        <v>51</v>
      </c>
      <c r="K2" s="4" t="str">
        <f>HYPERLINK("11374431")</f>
        <v>11374431</v>
      </c>
    </row>
    <row r="3" spans="1:12" x14ac:dyDescent="0.35">
      <c r="A3">
        <v>11</v>
      </c>
      <c r="B3" t="s">
        <v>52</v>
      </c>
      <c r="C3" t="s">
        <v>53</v>
      </c>
      <c r="D3" t="s">
        <v>54</v>
      </c>
      <c r="E3" t="s">
        <v>55</v>
      </c>
      <c r="F3">
        <v>2019</v>
      </c>
      <c r="G3" t="s">
        <v>56</v>
      </c>
      <c r="H3" t="s">
        <v>57</v>
      </c>
      <c r="I3" t="s">
        <v>58</v>
      </c>
      <c r="J3" t="s">
        <v>59</v>
      </c>
      <c r="K3" s="4" t="str">
        <f>HYPERLINK("11401167")</f>
        <v>11401167</v>
      </c>
    </row>
    <row r="4" spans="1:12" x14ac:dyDescent="0.35">
      <c r="A4">
        <v>39</v>
      </c>
      <c r="B4" t="s">
        <v>60</v>
      </c>
      <c r="C4" t="s">
        <v>61</v>
      </c>
      <c r="D4" t="s">
        <v>62</v>
      </c>
      <c r="E4" t="s">
        <v>63</v>
      </c>
      <c r="F4">
        <v>2013</v>
      </c>
      <c r="G4" t="s">
        <v>64</v>
      </c>
      <c r="H4" t="s">
        <v>65</v>
      </c>
      <c r="I4" t="s">
        <v>66</v>
      </c>
      <c r="J4" t="s">
        <v>67</v>
      </c>
      <c r="K4" s="4" t="str">
        <f>HYPERLINK("11973544")</f>
        <v>11973544</v>
      </c>
    </row>
    <row r="5" spans="1:12" x14ac:dyDescent="0.35">
      <c r="A5">
        <v>45</v>
      </c>
      <c r="B5" t="s">
        <v>68</v>
      </c>
      <c r="C5" t="s">
        <v>69</v>
      </c>
      <c r="D5" t="s">
        <v>70</v>
      </c>
      <c r="E5" t="s">
        <v>71</v>
      </c>
      <c r="F5">
        <v>2012</v>
      </c>
      <c r="G5" t="s">
        <v>72</v>
      </c>
      <c r="H5" t="s">
        <v>73</v>
      </c>
      <c r="I5" t="s">
        <v>74</v>
      </c>
      <c r="J5" t="s">
        <v>75</v>
      </c>
      <c r="K5" s="4" t="str">
        <f>HYPERLINK("12148189")</f>
        <v>12148189</v>
      </c>
    </row>
    <row r="6" spans="1:12" x14ac:dyDescent="0.35">
      <c r="A6">
        <v>48</v>
      </c>
      <c r="B6" t="s">
        <v>76</v>
      </c>
      <c r="C6" t="s">
        <v>77</v>
      </c>
      <c r="D6" t="s">
        <v>78</v>
      </c>
      <c r="E6" t="s">
        <v>79</v>
      </c>
      <c r="F6">
        <v>2011</v>
      </c>
      <c r="G6" t="s">
        <v>80</v>
      </c>
      <c r="H6" t="s">
        <v>65</v>
      </c>
      <c r="I6" t="s">
        <v>81</v>
      </c>
      <c r="J6" t="s">
        <v>82</v>
      </c>
      <c r="K6" s="4" t="str">
        <f>HYPERLINK("13679741")</f>
        <v>13679741</v>
      </c>
    </row>
    <row r="7" spans="1:12" x14ac:dyDescent="0.35">
      <c r="A7">
        <v>49</v>
      </c>
      <c r="B7" t="s">
        <v>83</v>
      </c>
      <c r="C7" t="s">
        <v>84</v>
      </c>
      <c r="D7" t="s">
        <v>85</v>
      </c>
      <c r="E7" t="s">
        <v>86</v>
      </c>
      <c r="F7">
        <v>2011</v>
      </c>
      <c r="G7" t="s">
        <v>87</v>
      </c>
      <c r="H7" t="s">
        <v>88</v>
      </c>
      <c r="I7" t="s">
        <v>89</v>
      </c>
      <c r="J7" t="s">
        <v>90</v>
      </c>
      <c r="K7" s="4" t="str">
        <f>HYPERLINK("15174545")</f>
        <v>15174545</v>
      </c>
    </row>
    <row r="8" spans="1:12" x14ac:dyDescent="0.35">
      <c r="A8">
        <v>51</v>
      </c>
      <c r="B8" t="s">
        <v>91</v>
      </c>
      <c r="C8" t="s">
        <v>92</v>
      </c>
      <c r="D8" t="s">
        <v>93</v>
      </c>
      <c r="E8" t="s">
        <v>94</v>
      </c>
      <c r="F8">
        <v>2010</v>
      </c>
      <c r="G8" t="s">
        <v>95</v>
      </c>
      <c r="H8" t="s">
        <v>96</v>
      </c>
      <c r="I8" t="s">
        <v>97</v>
      </c>
      <c r="J8" t="s">
        <v>98</v>
      </c>
      <c r="K8" s="4" t="str">
        <f>HYPERLINK("15466722")</f>
        <v>15466722</v>
      </c>
    </row>
    <row r="9" spans="1:12" x14ac:dyDescent="0.35">
      <c r="A9">
        <v>67</v>
      </c>
      <c r="B9" t="s">
        <v>99</v>
      </c>
      <c r="C9" t="s">
        <v>100</v>
      </c>
      <c r="D9" t="s">
        <v>101</v>
      </c>
      <c r="E9" t="s">
        <v>79</v>
      </c>
      <c r="F9">
        <v>2007</v>
      </c>
      <c r="G9" t="s">
        <v>102</v>
      </c>
      <c r="H9" t="s">
        <v>65</v>
      </c>
      <c r="I9" t="s">
        <v>103</v>
      </c>
      <c r="J9" t="s">
        <v>104</v>
      </c>
      <c r="K9" s="4" t="str">
        <f>HYPERLINK("15516013")</f>
        <v>15516013</v>
      </c>
    </row>
    <row r="10" spans="1:12" x14ac:dyDescent="0.35">
      <c r="A10">
        <v>76</v>
      </c>
      <c r="B10" t="s">
        <v>105</v>
      </c>
      <c r="C10" t="s">
        <v>106</v>
      </c>
      <c r="D10" t="s">
        <v>107</v>
      </c>
      <c r="E10" t="s">
        <v>71</v>
      </c>
      <c r="F10">
        <v>2006</v>
      </c>
      <c r="G10" t="s">
        <v>108</v>
      </c>
      <c r="H10" t="s">
        <v>109</v>
      </c>
      <c r="I10" t="s">
        <v>110</v>
      </c>
      <c r="J10" t="s">
        <v>111</v>
      </c>
      <c r="K10" s="4" t="str">
        <f>HYPERLINK("18630561")</f>
        <v>18630561</v>
      </c>
    </row>
    <row r="11" spans="1:12" x14ac:dyDescent="0.35">
      <c r="A11">
        <v>85</v>
      </c>
      <c r="B11" t="s">
        <v>112</v>
      </c>
      <c r="C11" t="s">
        <v>113</v>
      </c>
      <c r="D11" t="s">
        <v>114</v>
      </c>
      <c r="E11" t="s">
        <v>115</v>
      </c>
      <c r="F11">
        <v>2005</v>
      </c>
      <c r="G11" t="s">
        <v>116</v>
      </c>
      <c r="H11" t="s">
        <v>117</v>
      </c>
      <c r="I11" t="s">
        <v>118</v>
      </c>
      <c r="J11" t="s">
        <v>119</v>
      </c>
      <c r="K11" s="4" t="str">
        <f>HYPERLINK("19102185")</f>
        <v>19102185</v>
      </c>
    </row>
    <row r="12" spans="1:12" x14ac:dyDescent="0.35">
      <c r="A12">
        <v>97</v>
      </c>
      <c r="B12" t="s">
        <v>120</v>
      </c>
      <c r="C12" t="s">
        <v>121</v>
      </c>
      <c r="D12" t="s">
        <v>122</v>
      </c>
      <c r="E12" t="s">
        <v>71</v>
      </c>
      <c r="F12">
        <v>2003</v>
      </c>
      <c r="G12" t="s">
        <v>123</v>
      </c>
      <c r="H12" t="s">
        <v>124</v>
      </c>
      <c r="I12" t="s">
        <v>125</v>
      </c>
      <c r="J12" t="s">
        <v>126</v>
      </c>
      <c r="K12" s="4" t="str">
        <f>HYPERLINK("19323939")</f>
        <v>19323939</v>
      </c>
    </row>
    <row r="13" spans="1:12" x14ac:dyDescent="0.35">
      <c r="A13">
        <v>100</v>
      </c>
      <c r="B13" t="s">
        <v>127</v>
      </c>
      <c r="C13" t="s">
        <v>128</v>
      </c>
      <c r="D13" t="s">
        <v>129</v>
      </c>
      <c r="E13" t="s">
        <v>130</v>
      </c>
      <c r="F13">
        <v>2003</v>
      </c>
      <c r="G13" t="s">
        <v>131</v>
      </c>
      <c r="H13" t="s">
        <v>132</v>
      </c>
      <c r="I13" t="s">
        <v>133</v>
      </c>
      <c r="J13" t="s">
        <v>134</v>
      </c>
      <c r="K13" s="4" t="str">
        <f>HYPERLINK("19374299")</f>
        <v>19374299</v>
      </c>
    </row>
    <row r="14" spans="1:12" x14ac:dyDescent="0.35">
      <c r="A14">
        <v>104</v>
      </c>
      <c r="B14" t="s">
        <v>135</v>
      </c>
      <c r="C14" t="s">
        <v>136</v>
      </c>
      <c r="D14" t="s">
        <v>137</v>
      </c>
      <c r="E14" t="s">
        <v>115</v>
      </c>
      <c r="F14">
        <v>2002</v>
      </c>
      <c r="G14" t="s">
        <v>138</v>
      </c>
      <c r="H14" t="s">
        <v>139</v>
      </c>
      <c r="I14" t="s">
        <v>140</v>
      </c>
      <c r="J14" t="s">
        <v>141</v>
      </c>
      <c r="K14" s="4" t="str">
        <f>HYPERLINK("22816221")</f>
        <v>22816221</v>
      </c>
    </row>
    <row r="15" spans="1:12" x14ac:dyDescent="0.35">
      <c r="A15">
        <v>109</v>
      </c>
      <c r="B15" t="s">
        <v>142</v>
      </c>
      <c r="C15" t="s">
        <v>143</v>
      </c>
      <c r="D15" t="s">
        <v>144</v>
      </c>
      <c r="E15" t="s">
        <v>145</v>
      </c>
      <c r="F15">
        <v>2002</v>
      </c>
      <c r="G15" t="s">
        <v>146</v>
      </c>
      <c r="H15" t="s">
        <v>147</v>
      </c>
      <c r="I15" t="s">
        <v>148</v>
      </c>
      <c r="J15" t="s">
        <v>149</v>
      </c>
      <c r="K15" s="4" t="str">
        <f>HYPERLINK("23145756")</f>
        <v>23145756</v>
      </c>
    </row>
    <row r="16" spans="1:12" x14ac:dyDescent="0.35">
      <c r="A16">
        <v>110</v>
      </c>
      <c r="B16" t="s">
        <v>150</v>
      </c>
      <c r="C16" t="s">
        <v>151</v>
      </c>
      <c r="D16" t="s">
        <v>152</v>
      </c>
      <c r="E16" t="s">
        <v>153</v>
      </c>
      <c r="F16">
        <v>2002</v>
      </c>
      <c r="G16" t="s">
        <v>154</v>
      </c>
      <c r="H16" t="s">
        <v>155</v>
      </c>
      <c r="I16" t="s">
        <v>156</v>
      </c>
      <c r="J16" t="s">
        <v>157</v>
      </c>
      <c r="K16" s="4" t="str">
        <f>HYPERLINK("2323135")</f>
        <v>2323135</v>
      </c>
    </row>
    <row r="17" spans="1:11" x14ac:dyDescent="0.35">
      <c r="A17">
        <v>114</v>
      </c>
      <c r="B17" t="s">
        <v>158</v>
      </c>
      <c r="C17" t="s">
        <v>159</v>
      </c>
      <c r="D17" t="s">
        <v>160</v>
      </c>
      <c r="E17" t="s">
        <v>161</v>
      </c>
      <c r="F17">
        <v>2001</v>
      </c>
      <c r="G17" t="s">
        <v>162</v>
      </c>
      <c r="H17" t="s">
        <v>163</v>
      </c>
      <c r="I17" t="s">
        <v>164</v>
      </c>
      <c r="J17" t="s">
        <v>165</v>
      </c>
      <c r="K17" s="4" t="str">
        <f>HYPERLINK("24755056")</f>
        <v>24755056</v>
      </c>
    </row>
    <row r="18" spans="1:11" x14ac:dyDescent="0.35">
      <c r="A18">
        <v>118</v>
      </c>
      <c r="B18" t="s">
        <v>166</v>
      </c>
      <c r="C18" t="s">
        <v>167</v>
      </c>
      <c r="D18" t="s">
        <v>168</v>
      </c>
      <c r="E18" t="s">
        <v>130</v>
      </c>
      <c r="F18">
        <v>2001</v>
      </c>
      <c r="G18" t="s">
        <v>169</v>
      </c>
      <c r="H18" t="s">
        <v>170</v>
      </c>
      <c r="I18" t="s">
        <v>171</v>
      </c>
      <c r="J18" t="s">
        <v>172</v>
      </c>
      <c r="K18" s="4" t="str">
        <f>HYPERLINK("26039020")</f>
        <v>26039020</v>
      </c>
    </row>
    <row r="19" spans="1:11" x14ac:dyDescent="0.35">
      <c r="A19">
        <v>122</v>
      </c>
      <c r="B19" t="s">
        <v>173</v>
      </c>
      <c r="C19" t="s">
        <v>174</v>
      </c>
      <c r="D19" t="s">
        <v>175</v>
      </c>
      <c r="E19" t="s">
        <v>71</v>
      </c>
      <c r="F19">
        <v>2001</v>
      </c>
      <c r="G19" t="s">
        <v>176</v>
      </c>
      <c r="H19" t="s">
        <v>177</v>
      </c>
      <c r="I19" t="s">
        <v>178</v>
      </c>
      <c r="J19" t="s">
        <v>179</v>
      </c>
      <c r="K19" s="4" t="str">
        <f>HYPERLINK("26875887")</f>
        <v>26875887</v>
      </c>
    </row>
    <row r="20" spans="1:11" x14ac:dyDescent="0.35">
      <c r="A20">
        <v>123</v>
      </c>
      <c r="B20" t="s">
        <v>180</v>
      </c>
      <c r="C20" t="s">
        <v>181</v>
      </c>
      <c r="D20" t="s">
        <v>182</v>
      </c>
      <c r="E20" t="s">
        <v>153</v>
      </c>
      <c r="F20">
        <v>2001</v>
      </c>
      <c r="G20" t="s">
        <v>183</v>
      </c>
      <c r="H20" t="s">
        <v>184</v>
      </c>
      <c r="I20" t="s">
        <v>185</v>
      </c>
      <c r="J20" t="s">
        <v>186</v>
      </c>
      <c r="K20" s="4" t="str">
        <f>HYPERLINK("27682300")</f>
        <v>27682300</v>
      </c>
    </row>
    <row r="21" spans="1:11" x14ac:dyDescent="0.35">
      <c r="A21">
        <v>124</v>
      </c>
      <c r="B21" t="s">
        <v>187</v>
      </c>
      <c r="C21" t="s">
        <v>188</v>
      </c>
      <c r="D21" t="s">
        <v>189</v>
      </c>
      <c r="E21" t="s">
        <v>115</v>
      </c>
      <c r="F21">
        <v>2000</v>
      </c>
      <c r="G21" t="s">
        <v>190</v>
      </c>
      <c r="H21" t="s">
        <v>191</v>
      </c>
      <c r="I21" t="s">
        <v>192</v>
      </c>
      <c r="J21" t="s">
        <v>193</v>
      </c>
      <c r="K21" s="4" t="str">
        <f>HYPERLINK("28327683")</f>
        <v>28327683</v>
      </c>
    </row>
    <row r="22" spans="1:11" x14ac:dyDescent="0.35">
      <c r="A22">
        <v>127</v>
      </c>
      <c r="B22" t="s">
        <v>194</v>
      </c>
      <c r="C22" t="s">
        <v>195</v>
      </c>
      <c r="D22" t="s">
        <v>196</v>
      </c>
      <c r="E22" t="s">
        <v>79</v>
      </c>
      <c r="F22">
        <v>2000</v>
      </c>
      <c r="G22" t="s">
        <v>197</v>
      </c>
      <c r="H22" t="s">
        <v>198</v>
      </c>
      <c r="I22" t="s">
        <v>199</v>
      </c>
      <c r="J22" t="s">
        <v>200</v>
      </c>
      <c r="K22" s="4" t="str">
        <f>HYPERLINK("36055668")</f>
        <v>36055668</v>
      </c>
    </row>
    <row r="23" spans="1:11" x14ac:dyDescent="0.35">
      <c r="A23">
        <v>128</v>
      </c>
      <c r="B23" t="s">
        <v>201</v>
      </c>
      <c r="C23" t="s">
        <v>202</v>
      </c>
      <c r="D23" t="s">
        <v>203</v>
      </c>
      <c r="E23" t="s">
        <v>86</v>
      </c>
      <c r="F23">
        <v>1999</v>
      </c>
      <c r="G23" t="s">
        <v>204</v>
      </c>
      <c r="H23" t="s">
        <v>205</v>
      </c>
      <c r="I23" t="s">
        <v>206</v>
      </c>
      <c r="J23" t="s">
        <v>207</v>
      </c>
      <c r="K23" s="4" t="str">
        <f>HYPERLINK("37499157")</f>
        <v>37499157</v>
      </c>
    </row>
    <row r="24" spans="1:11" x14ac:dyDescent="0.35">
      <c r="A24">
        <v>129</v>
      </c>
      <c r="B24" t="s">
        <v>208</v>
      </c>
      <c r="C24" t="s">
        <v>209</v>
      </c>
      <c r="D24" t="s">
        <v>210</v>
      </c>
      <c r="E24" t="s">
        <v>145</v>
      </c>
      <c r="F24">
        <v>1999</v>
      </c>
      <c r="G24" t="s">
        <v>211</v>
      </c>
      <c r="H24" t="s">
        <v>212</v>
      </c>
      <c r="I24" t="s">
        <v>213</v>
      </c>
      <c r="J24" t="s">
        <v>214</v>
      </c>
      <c r="K24" s="4" t="str">
        <f>HYPERLINK("3896609")</f>
        <v>3896609</v>
      </c>
    </row>
    <row r="25" spans="1:11" x14ac:dyDescent="0.35">
      <c r="A25">
        <v>132</v>
      </c>
      <c r="B25" t="s">
        <v>215</v>
      </c>
      <c r="C25" t="s">
        <v>216</v>
      </c>
      <c r="D25" t="s">
        <v>217</v>
      </c>
      <c r="E25" t="s">
        <v>71</v>
      </c>
      <c r="F25">
        <v>1999</v>
      </c>
      <c r="G25" t="s">
        <v>218</v>
      </c>
      <c r="H25" t="s">
        <v>219</v>
      </c>
      <c r="I25" t="s">
        <v>220</v>
      </c>
      <c r="J25" t="s">
        <v>221</v>
      </c>
      <c r="K25" s="4" t="str">
        <f>HYPERLINK("39855903")</f>
        <v>39855903</v>
      </c>
    </row>
    <row r="26" spans="1:11" x14ac:dyDescent="0.35">
      <c r="A26">
        <v>133</v>
      </c>
      <c r="B26" t="s">
        <v>222</v>
      </c>
      <c r="C26" t="s">
        <v>223</v>
      </c>
      <c r="D26" t="s">
        <v>224</v>
      </c>
      <c r="E26" t="s">
        <v>71</v>
      </c>
      <c r="F26">
        <v>1999</v>
      </c>
      <c r="G26" t="s">
        <v>225</v>
      </c>
      <c r="H26" t="s">
        <v>155</v>
      </c>
      <c r="I26" t="s">
        <v>226</v>
      </c>
      <c r="J26" t="s">
        <v>227</v>
      </c>
      <c r="K26" s="4" t="str">
        <f>HYPERLINK("7899626")</f>
        <v>7899626</v>
      </c>
    </row>
    <row r="27" spans="1:11" x14ac:dyDescent="0.35">
      <c r="A27">
        <v>134</v>
      </c>
      <c r="B27" t="s">
        <v>228</v>
      </c>
      <c r="C27" t="s">
        <v>229</v>
      </c>
      <c r="D27" t="s">
        <v>230</v>
      </c>
      <c r="E27" t="s">
        <v>79</v>
      </c>
      <c r="F27">
        <v>1998</v>
      </c>
      <c r="G27" t="s">
        <v>231</v>
      </c>
      <c r="H27" t="s">
        <v>232</v>
      </c>
      <c r="I27" t="s">
        <v>233</v>
      </c>
      <c r="J27" t="s">
        <v>234</v>
      </c>
      <c r="K27" s="4" t="str">
        <f>HYPERLINK("8165955")</f>
        <v>8165955</v>
      </c>
    </row>
    <row r="28" spans="1:11" x14ac:dyDescent="0.35">
      <c r="A28">
        <v>135</v>
      </c>
      <c r="B28" t="s">
        <v>235</v>
      </c>
      <c r="C28" t="s">
        <v>236</v>
      </c>
      <c r="D28" t="s">
        <v>237</v>
      </c>
      <c r="E28" t="s">
        <v>115</v>
      </c>
      <c r="F28">
        <v>1998</v>
      </c>
      <c r="G28" t="s">
        <v>238</v>
      </c>
      <c r="H28" t="s">
        <v>239</v>
      </c>
      <c r="I28" t="s">
        <v>240</v>
      </c>
      <c r="J28" t="s">
        <v>241</v>
      </c>
      <c r="K28" s="4" t="str">
        <f>HYPERLINK("8300688")</f>
        <v>8300688</v>
      </c>
    </row>
    <row r="29" spans="1:11" x14ac:dyDescent="0.35">
      <c r="A29">
        <v>136</v>
      </c>
      <c r="B29" t="s">
        <v>242</v>
      </c>
      <c r="C29" t="s">
        <v>243</v>
      </c>
      <c r="D29" t="s">
        <v>244</v>
      </c>
      <c r="E29" t="s">
        <v>71</v>
      </c>
      <c r="F29">
        <v>1998</v>
      </c>
      <c r="G29" t="s">
        <v>245</v>
      </c>
      <c r="H29" t="s">
        <v>246</v>
      </c>
      <c r="I29" t="s">
        <v>247</v>
      </c>
      <c r="J29" t="s">
        <v>248</v>
      </c>
      <c r="K29" s="4" t="str">
        <f>HYPERLINK("8403647")</f>
        <v>8403647</v>
      </c>
    </row>
    <row r="30" spans="1:11" x14ac:dyDescent="0.35">
      <c r="A30">
        <v>137</v>
      </c>
      <c r="B30" t="s">
        <v>249</v>
      </c>
      <c r="C30" t="s">
        <v>250</v>
      </c>
      <c r="D30" t="s">
        <v>251</v>
      </c>
      <c r="E30" t="s">
        <v>71</v>
      </c>
      <c r="F30">
        <v>1998</v>
      </c>
      <c r="G30" t="s">
        <v>252</v>
      </c>
      <c r="H30" t="s">
        <v>184</v>
      </c>
      <c r="I30" t="s">
        <v>253</v>
      </c>
      <c r="J30" t="s">
        <v>254</v>
      </c>
      <c r="K30" s="4" t="str">
        <f>HYPERLINK("8666597")</f>
        <v>8666597</v>
      </c>
    </row>
    <row r="31" spans="1:11" x14ac:dyDescent="0.35">
      <c r="A31">
        <v>141</v>
      </c>
      <c r="B31" t="s">
        <v>255</v>
      </c>
      <c r="C31" t="s">
        <v>256</v>
      </c>
      <c r="D31" t="s">
        <v>257</v>
      </c>
      <c r="E31" t="s">
        <v>71</v>
      </c>
      <c r="F31">
        <v>1997</v>
      </c>
      <c r="G31" t="s">
        <v>258</v>
      </c>
      <c r="H31" t="s">
        <v>239</v>
      </c>
      <c r="I31" t="s">
        <v>259</v>
      </c>
      <c r="J31" t="s">
        <v>260</v>
      </c>
      <c r="K31" s="4" t="str">
        <f>HYPERLINK("9377970")</f>
        <v>9377970</v>
      </c>
    </row>
    <row r="32" spans="1:11" x14ac:dyDescent="0.35">
      <c r="A32">
        <v>143</v>
      </c>
      <c r="B32" t="s">
        <v>261</v>
      </c>
      <c r="C32" t="s">
        <v>262</v>
      </c>
      <c r="D32" t="s">
        <v>263</v>
      </c>
      <c r="E32" t="s">
        <v>86</v>
      </c>
      <c r="F32">
        <v>1997</v>
      </c>
      <c r="G32" t="s">
        <v>264</v>
      </c>
      <c r="H32" t="s">
        <v>265</v>
      </c>
      <c r="I32" t="s">
        <v>266</v>
      </c>
      <c r="J32" t="s">
        <v>267</v>
      </c>
      <c r="K32" s="4" t="str">
        <f>HYPERLINK("9520889")</f>
        <v>9520889</v>
      </c>
    </row>
    <row r="33" spans="1:12" x14ac:dyDescent="0.35">
      <c r="A33">
        <v>146</v>
      </c>
      <c r="B33" t="s">
        <v>268</v>
      </c>
      <c r="C33" t="s">
        <v>269</v>
      </c>
      <c r="D33" t="s">
        <v>270</v>
      </c>
      <c r="E33" t="s">
        <v>153</v>
      </c>
      <c r="F33">
        <v>1996</v>
      </c>
      <c r="G33" t="s">
        <v>271</v>
      </c>
      <c r="H33" t="s">
        <v>272</v>
      </c>
      <c r="I33" t="s">
        <v>273</v>
      </c>
      <c r="J33" t="s">
        <v>274</v>
      </c>
      <c r="K33" s="4" t="str">
        <f>HYPERLINK("9533048")</f>
        <v>9533048</v>
      </c>
    </row>
    <row r="34" spans="1:12" x14ac:dyDescent="0.35">
      <c r="A34">
        <v>147</v>
      </c>
      <c r="B34" t="s">
        <v>275</v>
      </c>
      <c r="C34" t="s">
        <v>276</v>
      </c>
      <c r="D34" t="s">
        <v>277</v>
      </c>
      <c r="E34" t="s">
        <v>153</v>
      </c>
      <c r="F34">
        <v>1995</v>
      </c>
      <c r="G34" t="s">
        <v>278</v>
      </c>
      <c r="H34" t="s">
        <v>279</v>
      </c>
      <c r="I34" t="s">
        <v>280</v>
      </c>
      <c r="J34" t="s">
        <v>281</v>
      </c>
      <c r="K34" s="4" t="str">
        <f>HYPERLINK("https://doi.org/10.1302/0301-620x.86b4.14856","Adachi (2004)")</f>
        <v>Adachi (2004)</v>
      </c>
      <c r="L34" s="1" t="s">
        <v>4</v>
      </c>
    </row>
    <row r="35" spans="1:12" x14ac:dyDescent="0.35">
      <c r="A35">
        <v>148</v>
      </c>
      <c r="B35" t="s">
        <v>282</v>
      </c>
      <c r="C35" t="s">
        <v>283</v>
      </c>
      <c r="D35" t="s">
        <v>284</v>
      </c>
      <c r="E35" t="s">
        <v>79</v>
      </c>
      <c r="F35">
        <v>1995</v>
      </c>
      <c r="G35" t="s">
        <v>285</v>
      </c>
      <c r="H35" t="s">
        <v>65</v>
      </c>
      <c r="I35" t="s">
        <v>286</v>
      </c>
      <c r="J35" t="s">
        <v>287</v>
      </c>
      <c r="K35" s="4" t="str">
        <f>HYPERLINK("https://doi.org/10.2106/00004623-200410000-00004","Aglietti (2004)")</f>
        <v>Aglietti (2004)</v>
      </c>
    </row>
    <row r="36" spans="1:12" x14ac:dyDescent="0.35">
      <c r="A36">
        <v>149</v>
      </c>
      <c r="B36" t="s">
        <v>288</v>
      </c>
      <c r="C36" t="s">
        <v>289</v>
      </c>
      <c r="D36" t="s">
        <v>290</v>
      </c>
      <c r="E36" t="s">
        <v>291</v>
      </c>
      <c r="F36">
        <v>1995</v>
      </c>
      <c r="G36" t="s">
        <v>292</v>
      </c>
      <c r="H36" t="s">
        <v>293</v>
      </c>
      <c r="I36" t="s">
        <v>294</v>
      </c>
      <c r="J36" t="s">
        <v>295</v>
      </c>
      <c r="K36" s="4" t="str">
        <f>HYPERLINK("https://doi.org/10.1177/0363546509347096","Aglietti (2010)")</f>
        <v>Aglietti (2010)</v>
      </c>
      <c r="L36" s="1" t="s">
        <v>4</v>
      </c>
    </row>
    <row r="37" spans="1:12" x14ac:dyDescent="0.35">
      <c r="A37">
        <v>152</v>
      </c>
      <c r="B37" t="s">
        <v>296</v>
      </c>
      <c r="C37" t="s">
        <v>297</v>
      </c>
      <c r="D37" t="s">
        <v>298</v>
      </c>
      <c r="E37" t="s">
        <v>130</v>
      </c>
      <c r="F37">
        <v>1992</v>
      </c>
      <c r="G37" t="s">
        <v>299</v>
      </c>
      <c r="H37" t="s">
        <v>300</v>
      </c>
      <c r="I37" t="s">
        <v>301</v>
      </c>
      <c r="J37" t="s">
        <v>302</v>
      </c>
      <c r="K37" s="4" t="str">
        <f>HYPERLINK("https://doi.org/10.1007/s00167-009-0846-5","Ahldén (2009)")</f>
        <v>Ahldén (2009)</v>
      </c>
      <c r="L37" s="1" t="s">
        <v>4</v>
      </c>
    </row>
    <row r="38" spans="1:12" x14ac:dyDescent="0.35">
      <c r="A38">
        <v>153</v>
      </c>
      <c r="B38" t="s">
        <v>303</v>
      </c>
      <c r="C38" t="s">
        <v>304</v>
      </c>
      <c r="D38" t="s">
        <v>305</v>
      </c>
      <c r="E38" t="s">
        <v>79</v>
      </c>
      <c r="F38">
        <v>1991</v>
      </c>
      <c r="G38" t="s">
        <v>306</v>
      </c>
      <c r="H38" t="s">
        <v>307</v>
      </c>
      <c r="I38" t="s">
        <v>308</v>
      </c>
      <c r="J38" t="s">
        <v>309</v>
      </c>
      <c r="K38" s="4" t="str">
        <f>HYPERLINK("https://doi.org/10.1177/0363546513497926","Ahldén (2013)")</f>
        <v>Ahldén (2013)</v>
      </c>
      <c r="L38" s="1" t="s">
        <v>4</v>
      </c>
    </row>
    <row r="39" spans="1:12" x14ac:dyDescent="0.35">
      <c r="A39">
        <v>154</v>
      </c>
      <c r="B39" t="s">
        <v>310</v>
      </c>
      <c r="C39" t="s">
        <v>311</v>
      </c>
      <c r="D39" t="s">
        <v>312</v>
      </c>
      <c r="E39" t="s">
        <v>130</v>
      </c>
      <c r="F39">
        <v>1990</v>
      </c>
      <c r="G39" t="s">
        <v>313</v>
      </c>
      <c r="H39" t="s">
        <v>314</v>
      </c>
      <c r="I39" t="s">
        <v>315</v>
      </c>
      <c r="J39" t="s">
        <v>316</v>
      </c>
      <c r="K39" s="4" t="str">
        <f>HYPERLINK("https://doi.org/10.1177/03635465010290031501","Ahmad (2001)")</f>
        <v>Ahmad (2001)</v>
      </c>
      <c r="L39" s="1" t="s">
        <v>7</v>
      </c>
    </row>
    <row r="40" spans="1:12" x14ac:dyDescent="0.35">
      <c r="A40">
        <v>11</v>
      </c>
      <c r="B40" t="s">
        <v>317</v>
      </c>
      <c r="C40" t="s">
        <v>318</v>
      </c>
      <c r="D40" t="s">
        <v>319</v>
      </c>
      <c r="E40" t="s">
        <v>320</v>
      </c>
      <c r="F40">
        <v>2024</v>
      </c>
      <c r="G40" t="s">
        <v>321</v>
      </c>
      <c r="H40" t="s">
        <v>322</v>
      </c>
      <c r="I40" t="s">
        <v>323</v>
      </c>
      <c r="J40" t="s">
        <v>324</v>
      </c>
      <c r="K40" s="4" t="str">
        <f>HYPERLINK("https://doi.org/10.1177/0363546516638387","Akelman (2016)")</f>
        <v>Akelman (2016)</v>
      </c>
      <c r="L40" s="1" t="s">
        <v>4</v>
      </c>
    </row>
    <row r="41" spans="1:12" x14ac:dyDescent="0.35">
      <c r="A41">
        <v>23</v>
      </c>
      <c r="B41" t="s">
        <v>325</v>
      </c>
      <c r="C41" t="s">
        <v>326</v>
      </c>
      <c r="D41" t="s">
        <v>327</v>
      </c>
      <c r="E41" t="s">
        <v>79</v>
      </c>
      <c r="F41">
        <v>2023</v>
      </c>
      <c r="G41" t="s">
        <v>328</v>
      </c>
      <c r="H41" t="s">
        <v>329</v>
      </c>
      <c r="I41" t="s">
        <v>330</v>
      </c>
      <c r="J41" t="s">
        <v>331</v>
      </c>
      <c r="K41" s="4" t="str">
        <f>HYPERLINK("https://doi.org/10.1007/s00264-010-1000-1","Alentorn-Geli (2010)")</f>
        <v>Alentorn-Geli (2010)</v>
      </c>
      <c r="L41" s="1" t="s">
        <v>4</v>
      </c>
    </row>
    <row r="42" spans="1:12" x14ac:dyDescent="0.35">
      <c r="A42">
        <v>26</v>
      </c>
      <c r="B42" t="s">
        <v>332</v>
      </c>
      <c r="C42" t="s">
        <v>333</v>
      </c>
      <c r="D42" t="s">
        <v>334</v>
      </c>
      <c r="E42" t="s">
        <v>130</v>
      </c>
      <c r="F42">
        <v>2022</v>
      </c>
      <c r="G42" t="s">
        <v>335</v>
      </c>
      <c r="H42" t="s">
        <v>336</v>
      </c>
      <c r="I42" t="s">
        <v>337</v>
      </c>
      <c r="J42" t="s">
        <v>338</v>
      </c>
      <c r="K42" s="4" t="str">
        <f>HYPERLINK("https://doi.org/10.1177/2309499019867580","Alentorn-Geli (2019)")</f>
        <v>Alentorn-Geli (2019)</v>
      </c>
      <c r="L42" s="1" t="s">
        <v>7</v>
      </c>
    </row>
    <row r="43" spans="1:12" x14ac:dyDescent="0.35">
      <c r="A43">
        <v>28</v>
      </c>
      <c r="B43" t="s">
        <v>339</v>
      </c>
      <c r="C43" t="s">
        <v>340</v>
      </c>
      <c r="D43" t="s">
        <v>341</v>
      </c>
      <c r="E43" t="s">
        <v>342</v>
      </c>
      <c r="F43">
        <v>2022</v>
      </c>
      <c r="G43" t="s">
        <v>343</v>
      </c>
      <c r="H43" t="s">
        <v>344</v>
      </c>
      <c r="I43" t="s">
        <v>345</v>
      </c>
      <c r="J43" t="s">
        <v>346</v>
      </c>
      <c r="K43" s="4" t="str">
        <f>HYPERLINK("https://doi.org/10.1007/s002640050141","al-Zarahini (1997)")</f>
        <v>al-Zarahini (1997)</v>
      </c>
      <c r="L43" s="1" t="s">
        <v>7</v>
      </c>
    </row>
    <row r="44" spans="1:12" x14ac:dyDescent="0.35">
      <c r="A44">
        <v>31</v>
      </c>
      <c r="B44" t="s">
        <v>347</v>
      </c>
      <c r="C44" t="s">
        <v>348</v>
      </c>
      <c r="D44" t="s">
        <v>349</v>
      </c>
      <c r="E44" t="s">
        <v>350</v>
      </c>
      <c r="F44">
        <v>2022</v>
      </c>
      <c r="G44" t="s">
        <v>351</v>
      </c>
      <c r="H44" t="s">
        <v>352</v>
      </c>
      <c r="I44" t="s">
        <v>353</v>
      </c>
      <c r="J44" t="s">
        <v>354</v>
      </c>
      <c r="K44" s="4" t="str">
        <f>HYPERLINK("https://doi.org/10.47750/pnr.2022.13.S09.975","Amr (2022)")</f>
        <v>Amr (2022)</v>
      </c>
    </row>
    <row r="45" spans="1:12" x14ac:dyDescent="0.35">
      <c r="A45">
        <v>33</v>
      </c>
      <c r="B45" t="s">
        <v>355</v>
      </c>
      <c r="C45" t="s">
        <v>356</v>
      </c>
      <c r="D45" t="s">
        <v>357</v>
      </c>
      <c r="E45" t="s">
        <v>358</v>
      </c>
      <c r="F45">
        <v>2022</v>
      </c>
      <c r="G45" t="s">
        <v>359</v>
      </c>
      <c r="H45" t="s">
        <v>360</v>
      </c>
      <c r="I45" t="s">
        <v>361</v>
      </c>
      <c r="J45" t="s">
        <v>362</v>
      </c>
      <c r="K45" s="4" t="str">
        <f>HYPERLINK("https://doi.org/10.1177/036354659402200509","Anderson (1994)")</f>
        <v>Anderson (1994)</v>
      </c>
      <c r="L45" s="1" t="s">
        <v>15</v>
      </c>
    </row>
    <row r="46" spans="1:12" x14ac:dyDescent="0.35">
      <c r="A46">
        <v>34</v>
      </c>
      <c r="B46" t="s">
        <v>363</v>
      </c>
      <c r="C46" t="s">
        <v>364</v>
      </c>
      <c r="D46" t="s">
        <v>365</v>
      </c>
      <c r="E46" t="s">
        <v>130</v>
      </c>
      <c r="F46">
        <v>2022</v>
      </c>
      <c r="G46" t="s">
        <v>366</v>
      </c>
      <c r="H46" t="s">
        <v>367</v>
      </c>
      <c r="I46" t="s">
        <v>368</v>
      </c>
      <c r="J46" t="s">
        <v>369</v>
      </c>
      <c r="K46" s="4" t="str">
        <f>HYPERLINK("https://doi.org/10.1177/03635465010290030201","Anderson (2001)")</f>
        <v>Anderson (2001)</v>
      </c>
      <c r="L46" s="1" t="s">
        <v>4</v>
      </c>
    </row>
    <row r="47" spans="1:12" x14ac:dyDescent="0.35">
      <c r="A47">
        <v>51</v>
      </c>
      <c r="B47" t="s">
        <v>370</v>
      </c>
      <c r="C47" t="s">
        <v>371</v>
      </c>
      <c r="D47" t="s">
        <v>372</v>
      </c>
      <c r="E47" t="s">
        <v>130</v>
      </c>
      <c r="F47">
        <v>2020</v>
      </c>
      <c r="G47" t="s">
        <v>373</v>
      </c>
      <c r="H47" t="s">
        <v>322</v>
      </c>
      <c r="I47" t="s">
        <v>374</v>
      </c>
      <c r="J47" t="s">
        <v>375</v>
      </c>
      <c r="K47" s="4" t="str">
        <f>HYPERLINK("https://doi.org/10.1177/23259671231210035","Anz (2023)")</f>
        <v>Anz (2023)</v>
      </c>
    </row>
    <row r="48" spans="1:12" x14ac:dyDescent="0.35">
      <c r="A48">
        <v>56</v>
      </c>
      <c r="B48" t="s">
        <v>376</v>
      </c>
      <c r="C48" t="s">
        <v>377</v>
      </c>
      <c r="D48" t="s">
        <v>378</v>
      </c>
      <c r="E48" t="s">
        <v>379</v>
      </c>
      <c r="F48">
        <v>2019</v>
      </c>
      <c r="G48" t="s">
        <v>380</v>
      </c>
      <c r="H48" t="s">
        <v>381</v>
      </c>
      <c r="I48" t="s">
        <v>382</v>
      </c>
      <c r="J48" t="s">
        <v>383</v>
      </c>
      <c r="K48" s="4" t="str">
        <f>HYPERLINK("https://doi.org/10.1177/0363546515588926","Arama (2015)")</f>
        <v>Arama (2015)</v>
      </c>
      <c r="L48" s="1" t="s">
        <v>7</v>
      </c>
    </row>
    <row r="49" spans="1:12" x14ac:dyDescent="0.35">
      <c r="A49">
        <v>61</v>
      </c>
      <c r="B49" t="s">
        <v>384</v>
      </c>
      <c r="C49" t="s">
        <v>385</v>
      </c>
      <c r="D49" t="s">
        <v>386</v>
      </c>
      <c r="E49" t="s">
        <v>79</v>
      </c>
      <c r="F49">
        <v>2018</v>
      </c>
      <c r="G49" t="s">
        <v>387</v>
      </c>
      <c r="H49" t="s">
        <v>388</v>
      </c>
      <c r="I49" t="s">
        <v>389</v>
      </c>
      <c r="J49" t="s">
        <v>390</v>
      </c>
      <c r="K49" s="4" t="str">
        <f>HYPERLINK("https://doi.org/10.1177/036354659602400610","Arciero (1996)")</f>
        <v>Arciero (1996)</v>
      </c>
    </row>
    <row r="50" spans="1:12" x14ac:dyDescent="0.35">
      <c r="A50">
        <v>76</v>
      </c>
      <c r="B50" t="s">
        <v>391</v>
      </c>
      <c r="C50" t="s">
        <v>392</v>
      </c>
      <c r="D50" t="s">
        <v>393</v>
      </c>
      <c r="E50" t="s">
        <v>161</v>
      </c>
      <c r="F50">
        <v>2016</v>
      </c>
      <c r="G50" t="s">
        <v>394</v>
      </c>
      <c r="H50" t="s">
        <v>395</v>
      </c>
      <c r="I50" t="s">
        <v>396</v>
      </c>
      <c r="J50" t="s">
        <v>397</v>
      </c>
      <c r="K50" s="4" t="str">
        <f>HYPERLINK("https://doi.org/10.1177/0095399703258675","Arneja (2004)")</f>
        <v>Arneja (2004)</v>
      </c>
    </row>
    <row r="51" spans="1:12" x14ac:dyDescent="0.35">
      <c r="A51">
        <v>94</v>
      </c>
      <c r="B51" t="s">
        <v>398</v>
      </c>
      <c r="C51" t="s">
        <v>399</v>
      </c>
      <c r="D51" t="s">
        <v>400</v>
      </c>
      <c r="E51" t="s">
        <v>71</v>
      </c>
      <c r="F51">
        <v>2016</v>
      </c>
      <c r="G51" t="s">
        <v>401</v>
      </c>
      <c r="H51" t="s">
        <v>402</v>
      </c>
      <c r="I51" t="s">
        <v>403</v>
      </c>
      <c r="J51" t="s">
        <v>404</v>
      </c>
      <c r="K51" s="4" t="str">
        <f>HYPERLINK("https://doi.org/10.1007/s11999-017-5280-2","Arundale (2017)")</f>
        <v>Arundale (2017)</v>
      </c>
    </row>
    <row r="52" spans="1:12" x14ac:dyDescent="0.35">
      <c r="A52">
        <v>95</v>
      </c>
      <c r="B52" t="s">
        <v>405</v>
      </c>
      <c r="C52" t="s">
        <v>406</v>
      </c>
      <c r="D52" t="s">
        <v>407</v>
      </c>
      <c r="E52" t="s">
        <v>408</v>
      </c>
      <c r="F52">
        <v>2015</v>
      </c>
      <c r="G52" t="s">
        <v>409</v>
      </c>
      <c r="H52" t="s">
        <v>410</v>
      </c>
      <c r="I52" t="s">
        <v>411</v>
      </c>
      <c r="J52" t="s">
        <v>412</v>
      </c>
      <c r="K52" s="4" t="str">
        <f>HYPERLINK("https://doi.org/10.1302/2633-1462.111.BJO-2020.0012.R1","Ashraf (2020)")</f>
        <v>Ashraf (2020)</v>
      </c>
    </row>
    <row r="53" spans="1:12" x14ac:dyDescent="0.35">
      <c r="A53">
        <v>113</v>
      </c>
      <c r="B53" t="s">
        <v>413</v>
      </c>
      <c r="C53" t="s">
        <v>414</v>
      </c>
      <c r="D53" t="s">
        <v>407</v>
      </c>
      <c r="E53" t="s">
        <v>115</v>
      </c>
      <c r="F53">
        <v>2014</v>
      </c>
      <c r="G53" t="s">
        <v>415</v>
      </c>
      <c r="H53" t="s">
        <v>410</v>
      </c>
      <c r="I53" t="s">
        <v>416</v>
      </c>
      <c r="J53" t="s">
        <v>417</v>
      </c>
      <c r="K53" s="4" t="str">
        <f>HYPERLINK("https://doi.org/10.1007/s00402-016-2497-6","Ateschrang (2016)")</f>
        <v>Ateschrang (2016)</v>
      </c>
      <c r="L53" s="1" t="s">
        <v>7</v>
      </c>
    </row>
    <row r="54" spans="1:12" x14ac:dyDescent="0.35">
      <c r="A54">
        <v>114</v>
      </c>
      <c r="B54" t="s">
        <v>418</v>
      </c>
      <c r="C54" t="s">
        <v>419</v>
      </c>
      <c r="D54" t="s">
        <v>420</v>
      </c>
      <c r="E54" t="s">
        <v>130</v>
      </c>
      <c r="F54">
        <v>2013</v>
      </c>
      <c r="G54" t="s">
        <v>421</v>
      </c>
      <c r="H54" t="s">
        <v>422</v>
      </c>
      <c r="I54" t="s">
        <v>423</v>
      </c>
      <c r="J54" t="s">
        <v>424</v>
      </c>
      <c r="K54" s="4" t="str">
        <f>HYPERLINK("https://doi.org/10.1177/03635465010290060901","Aune (2001)")</f>
        <v>Aune (2001)</v>
      </c>
      <c r="L54" s="1" t="s">
        <v>4</v>
      </c>
    </row>
    <row r="55" spans="1:12" x14ac:dyDescent="0.35">
      <c r="A55">
        <v>116</v>
      </c>
      <c r="B55" t="s">
        <v>425</v>
      </c>
      <c r="C55" t="s">
        <v>426</v>
      </c>
      <c r="D55" t="s">
        <v>427</v>
      </c>
      <c r="E55" t="s">
        <v>428</v>
      </c>
      <c r="F55">
        <v>2013</v>
      </c>
      <c r="G55" t="s">
        <v>429</v>
      </c>
      <c r="H55" t="s">
        <v>430</v>
      </c>
      <c r="I55" t="s">
        <v>431</v>
      </c>
      <c r="J55" t="s">
        <v>432</v>
      </c>
      <c r="K55" s="4" t="str">
        <f>HYPERLINK("https://doi.org/10.1136/bmjopen-2021-057465","Bade (2022)")</f>
        <v>Bade (2022)</v>
      </c>
      <c r="L55" s="1" t="s">
        <v>4</v>
      </c>
    </row>
    <row r="56" spans="1:12" x14ac:dyDescent="0.35">
      <c r="A56">
        <v>123</v>
      </c>
      <c r="B56" t="s">
        <v>433</v>
      </c>
      <c r="C56" t="s">
        <v>434</v>
      </c>
      <c r="D56" t="s">
        <v>435</v>
      </c>
      <c r="E56" t="s">
        <v>436</v>
      </c>
      <c r="F56">
        <v>2012</v>
      </c>
      <c r="G56" t="s">
        <v>437</v>
      </c>
      <c r="H56" t="s">
        <v>438</v>
      </c>
      <c r="I56" t="s">
        <v>439</v>
      </c>
      <c r="J56" t="s">
        <v>440</v>
      </c>
      <c r="K56" s="4" t="str">
        <f>HYPERLINK("https://doi.org/10.1016/j.arthro.2018.10.149","Bailey (2019)")</f>
        <v>Bailey (2019)</v>
      </c>
      <c r="L56" s="1" t="s">
        <v>4</v>
      </c>
    </row>
    <row r="57" spans="1:12" x14ac:dyDescent="0.35">
      <c r="A57">
        <v>125</v>
      </c>
      <c r="B57" t="s">
        <v>441</v>
      </c>
      <c r="C57" t="s">
        <v>442</v>
      </c>
      <c r="D57" t="s">
        <v>443</v>
      </c>
      <c r="E57" t="s">
        <v>71</v>
      </c>
      <c r="F57">
        <v>2013</v>
      </c>
      <c r="G57" t="s">
        <v>444</v>
      </c>
      <c r="H57" t="s">
        <v>445</v>
      </c>
      <c r="I57" t="s">
        <v>446</v>
      </c>
      <c r="J57" t="s">
        <v>447</v>
      </c>
      <c r="K57" s="4" t="str">
        <f>HYPERLINK("https://doi.org/10.1177/03635465221128566","Balasingam (2022)")</f>
        <v>Balasingam (2022)</v>
      </c>
    </row>
    <row r="58" spans="1:12" x14ac:dyDescent="0.35">
      <c r="A58">
        <v>127</v>
      </c>
      <c r="B58" t="s">
        <v>448</v>
      </c>
      <c r="C58" t="s">
        <v>449</v>
      </c>
      <c r="D58" t="s">
        <v>450</v>
      </c>
      <c r="E58" t="s">
        <v>451</v>
      </c>
      <c r="F58">
        <v>2012</v>
      </c>
      <c r="G58" t="s">
        <v>452</v>
      </c>
      <c r="H58" t="s">
        <v>453</v>
      </c>
      <c r="I58" t="s">
        <v>454</v>
      </c>
      <c r="J58" t="s">
        <v>455</v>
      </c>
      <c r="K58" s="4" t="str">
        <f>HYPERLINK("https://doi.org/10.1016/j.aott.2016.03.005","Balki (2016)")</f>
        <v>Balki (2016)</v>
      </c>
      <c r="L58" s="1" t="s">
        <v>4</v>
      </c>
    </row>
    <row r="59" spans="1:12" x14ac:dyDescent="0.35">
      <c r="A59">
        <v>130</v>
      </c>
      <c r="B59" t="s">
        <v>456</v>
      </c>
      <c r="C59" t="s">
        <v>457</v>
      </c>
      <c r="D59" t="s">
        <v>458</v>
      </c>
      <c r="E59" t="s">
        <v>130</v>
      </c>
      <c r="F59">
        <v>2012</v>
      </c>
      <c r="G59" t="s">
        <v>459</v>
      </c>
      <c r="H59" t="s">
        <v>460</v>
      </c>
      <c r="I59" t="s">
        <v>461</v>
      </c>
      <c r="J59" t="s">
        <v>462</v>
      </c>
      <c r="K59" s="4" t="str">
        <f>HYPERLINK("https://doi.org/10.1016/0749-8063(95)90129-9","Barber (1995)")</f>
        <v>Barber (1995)</v>
      </c>
      <c r="L59" s="1" t="s">
        <v>4</v>
      </c>
    </row>
    <row r="60" spans="1:12" x14ac:dyDescent="0.35">
      <c r="A60">
        <v>133</v>
      </c>
      <c r="B60" t="s">
        <v>463</v>
      </c>
      <c r="C60" t="s">
        <v>464</v>
      </c>
      <c r="D60" t="s">
        <v>465</v>
      </c>
      <c r="E60" t="s">
        <v>408</v>
      </c>
      <c r="F60">
        <v>2012</v>
      </c>
      <c r="G60" t="s">
        <v>466</v>
      </c>
      <c r="H60" t="s">
        <v>467</v>
      </c>
      <c r="I60" t="s">
        <v>468</v>
      </c>
      <c r="J60" t="s">
        <v>469</v>
      </c>
      <c r="K60" s="4" t="str">
        <f>HYPERLINK("https://doi.org/10.1016/j.arthro.2006.12.026","Barber (2007)")</f>
        <v>Barber (2007)</v>
      </c>
      <c r="L60" s="1" t="s">
        <v>7</v>
      </c>
    </row>
    <row r="61" spans="1:12" x14ac:dyDescent="0.35">
      <c r="A61">
        <v>136</v>
      </c>
      <c r="B61" t="s">
        <v>470</v>
      </c>
      <c r="C61" t="s">
        <v>471</v>
      </c>
      <c r="D61" t="s">
        <v>472</v>
      </c>
      <c r="E61" t="s">
        <v>79</v>
      </c>
      <c r="F61">
        <v>2012</v>
      </c>
      <c r="G61" t="s">
        <v>473</v>
      </c>
      <c r="H61" t="s">
        <v>474</v>
      </c>
      <c r="I61" t="s">
        <v>475</v>
      </c>
      <c r="J61" t="s">
        <v>476</v>
      </c>
      <c r="K61" s="4" t="str">
        <f>HYPERLINK("https://doi.org/10.1016/j.arthro.2010.11.056","Barber (2011)")</f>
        <v>Barber (2011)</v>
      </c>
      <c r="L61" s="1" t="s">
        <v>7</v>
      </c>
    </row>
    <row r="62" spans="1:12" x14ac:dyDescent="0.35">
      <c r="A62">
        <v>137</v>
      </c>
      <c r="B62" t="s">
        <v>477</v>
      </c>
      <c r="C62" t="s">
        <v>478</v>
      </c>
      <c r="D62" t="s">
        <v>479</v>
      </c>
      <c r="E62" t="s">
        <v>130</v>
      </c>
      <c r="F62">
        <v>2012</v>
      </c>
      <c r="G62" t="s">
        <v>480</v>
      </c>
      <c r="H62" t="s">
        <v>481</v>
      </c>
      <c r="I62" t="s">
        <v>482</v>
      </c>
      <c r="J62" t="s">
        <v>483</v>
      </c>
      <c r="K62" s="4" t="str">
        <f>HYPERLINK("https://doi.org/10.1055/s-0033-1343614","Barber (2013)")</f>
        <v>Barber (2013)</v>
      </c>
      <c r="L62" s="1" t="s">
        <v>7</v>
      </c>
    </row>
    <row r="63" spans="1:12" x14ac:dyDescent="0.35">
      <c r="A63">
        <v>138</v>
      </c>
      <c r="B63" t="s">
        <v>484</v>
      </c>
      <c r="C63" t="s">
        <v>485</v>
      </c>
      <c r="D63" t="s">
        <v>486</v>
      </c>
      <c r="E63" t="s">
        <v>79</v>
      </c>
      <c r="F63">
        <v>2011</v>
      </c>
      <c r="G63" t="s">
        <v>487</v>
      </c>
      <c r="H63" t="s">
        <v>488</v>
      </c>
      <c r="I63" t="s">
        <v>489</v>
      </c>
      <c r="J63" t="s">
        <v>490</v>
      </c>
      <c r="K63" s="4" t="str">
        <f>HYPERLINK("https://doi.org/10.1177/0363546510369549","Barenius (2010)")</f>
        <v>Barenius (2010)</v>
      </c>
      <c r="L63" s="1" t="s">
        <v>4</v>
      </c>
    </row>
    <row r="64" spans="1:12" x14ac:dyDescent="0.35">
      <c r="A64">
        <v>141</v>
      </c>
      <c r="B64" t="s">
        <v>491</v>
      </c>
      <c r="C64" t="s">
        <v>492</v>
      </c>
      <c r="D64" t="s">
        <v>493</v>
      </c>
      <c r="E64" t="s">
        <v>494</v>
      </c>
      <c r="F64">
        <v>2012</v>
      </c>
      <c r="G64" t="s">
        <v>495</v>
      </c>
      <c r="H64" t="s">
        <v>496</v>
      </c>
      <c r="I64" t="s">
        <v>497</v>
      </c>
      <c r="J64" t="s">
        <v>498</v>
      </c>
      <c r="K64" s="4" t="str">
        <f>HYPERLINK("https://doi.org/10.1177/0363546514526139","Barenius (2014)")</f>
        <v>Barenius (2014)</v>
      </c>
      <c r="L64" s="1" t="s">
        <v>4</v>
      </c>
    </row>
    <row r="65" spans="1:12" x14ac:dyDescent="0.35">
      <c r="A65">
        <v>144</v>
      </c>
      <c r="B65" t="s">
        <v>499</v>
      </c>
      <c r="C65" t="s">
        <v>500</v>
      </c>
      <c r="D65" t="s">
        <v>501</v>
      </c>
      <c r="E65" t="s">
        <v>130</v>
      </c>
      <c r="F65">
        <v>2011</v>
      </c>
      <c r="G65" t="s">
        <v>502</v>
      </c>
      <c r="H65" t="s">
        <v>503</v>
      </c>
      <c r="I65" t="s">
        <v>504</v>
      </c>
      <c r="J65" t="s">
        <v>505</v>
      </c>
      <c r="K65" s="4" t="str">
        <f>HYPERLINK("https://doi.org/10.1007/s00402-020-03508-1","Barié (2020)")</f>
        <v>Barié (2020)</v>
      </c>
      <c r="L65" s="1" t="s">
        <v>4</v>
      </c>
    </row>
    <row r="66" spans="1:12" x14ac:dyDescent="0.35">
      <c r="A66">
        <v>145</v>
      </c>
      <c r="B66" t="s">
        <v>506</v>
      </c>
      <c r="C66" t="s">
        <v>507</v>
      </c>
      <c r="D66" t="s">
        <v>508</v>
      </c>
      <c r="E66" t="s">
        <v>130</v>
      </c>
      <c r="F66">
        <v>2011</v>
      </c>
      <c r="G66" t="s">
        <v>509</v>
      </c>
      <c r="H66" t="s">
        <v>460</v>
      </c>
      <c r="I66" t="s">
        <v>510</v>
      </c>
      <c r="J66" t="s">
        <v>511</v>
      </c>
      <c r="K66" s="4" t="str">
        <f>HYPERLINK("https://doi.org/10.1089/ten.tea.2020.0057","Barnett (2020)")</f>
        <v>Barnett (2020)</v>
      </c>
      <c r="L66" s="1" t="s">
        <v>7</v>
      </c>
    </row>
    <row r="67" spans="1:12" x14ac:dyDescent="0.35">
      <c r="A67">
        <v>146</v>
      </c>
      <c r="B67" t="s">
        <v>512</v>
      </c>
      <c r="C67" t="s">
        <v>513</v>
      </c>
      <c r="D67" t="s">
        <v>514</v>
      </c>
      <c r="E67" t="s">
        <v>71</v>
      </c>
      <c r="F67">
        <v>2011</v>
      </c>
      <c r="G67" t="s">
        <v>515</v>
      </c>
      <c r="H67" t="s">
        <v>109</v>
      </c>
      <c r="I67" t="s">
        <v>516</v>
      </c>
      <c r="J67" t="s">
        <v>517</v>
      </c>
      <c r="K67" s="4" t="str">
        <f>HYPERLINK("https://doi.org/10.1055/s-0029-1240737","Basad (2010)")</f>
        <v>Basad (2010)</v>
      </c>
      <c r="L67" s="1" t="s">
        <v>7</v>
      </c>
    </row>
    <row r="68" spans="1:12" x14ac:dyDescent="0.35">
      <c r="A68">
        <v>147</v>
      </c>
      <c r="B68" t="s">
        <v>518</v>
      </c>
      <c r="C68" t="s">
        <v>519</v>
      </c>
      <c r="D68" t="s">
        <v>520</v>
      </c>
      <c r="E68" t="s">
        <v>130</v>
      </c>
      <c r="F68">
        <v>2011</v>
      </c>
      <c r="G68" t="s">
        <v>521</v>
      </c>
      <c r="H68" t="s">
        <v>522</v>
      </c>
      <c r="I68" t="s">
        <v>523</v>
      </c>
      <c r="J68" t="s">
        <v>524</v>
      </c>
      <c r="K68" s="4" t="str">
        <f>HYPERLINK("https://doi.org/10.1016/s0968-0160(01)00062-x","Beard (2001)")</f>
        <v>Beard (2001)</v>
      </c>
      <c r="L68" s="1" t="s">
        <v>4</v>
      </c>
    </row>
    <row r="69" spans="1:12" x14ac:dyDescent="0.35">
      <c r="A69">
        <v>148</v>
      </c>
      <c r="B69" t="s">
        <v>525</v>
      </c>
      <c r="C69" t="s">
        <v>526</v>
      </c>
      <c r="D69" t="s">
        <v>527</v>
      </c>
      <c r="E69" t="s">
        <v>528</v>
      </c>
      <c r="F69">
        <v>2011</v>
      </c>
      <c r="G69" t="s">
        <v>529</v>
      </c>
      <c r="H69" t="s">
        <v>530</v>
      </c>
      <c r="I69" t="s">
        <v>531</v>
      </c>
      <c r="J69" t="s">
        <v>532</v>
      </c>
      <c r="K69" s="4" t="str">
        <f>HYPERLINK("https://doi.org/10.1016/S0968-0160(01)00062-X","Beard (2001)")</f>
        <v>Beard (2001)</v>
      </c>
      <c r="L69" s="1" t="s">
        <v>4</v>
      </c>
    </row>
    <row r="70" spans="1:12" x14ac:dyDescent="0.35">
      <c r="A70">
        <v>149</v>
      </c>
      <c r="B70" t="s">
        <v>533</v>
      </c>
      <c r="C70" t="s">
        <v>534</v>
      </c>
      <c r="D70" t="s">
        <v>535</v>
      </c>
      <c r="E70" t="s">
        <v>79</v>
      </c>
      <c r="F70">
        <v>2010</v>
      </c>
      <c r="G70" t="s">
        <v>536</v>
      </c>
      <c r="H70" t="s">
        <v>537</v>
      </c>
      <c r="I70" t="s">
        <v>538</v>
      </c>
      <c r="J70" t="s">
        <v>539</v>
      </c>
      <c r="K70" s="4" t="str">
        <f>HYPERLINK("https://doi.org/10.1007/s00167-022-06980-x","Beaudoin (2022)")</f>
        <v>Beaudoin (2022)</v>
      </c>
      <c r="L70" s="1" t="s">
        <v>4</v>
      </c>
    </row>
    <row r="71" spans="1:12" x14ac:dyDescent="0.35">
      <c r="A71">
        <v>157</v>
      </c>
      <c r="B71" t="s">
        <v>540</v>
      </c>
      <c r="C71" t="s">
        <v>541</v>
      </c>
      <c r="D71" t="s">
        <v>542</v>
      </c>
      <c r="E71" t="s">
        <v>543</v>
      </c>
      <c r="F71">
        <v>2010</v>
      </c>
      <c r="G71" t="s">
        <v>544</v>
      </c>
      <c r="H71" t="s">
        <v>545</v>
      </c>
      <c r="I71" t="s">
        <v>546</v>
      </c>
      <c r="J71" t="s">
        <v>547</v>
      </c>
      <c r="K71" s="4" t="str">
        <f>HYPERLINK("https://doi.org/10.1016/j.clinbiomech.2020.105231","Behnke (2021)")</f>
        <v>Behnke (2021)</v>
      </c>
      <c r="L71" s="1" t="s">
        <v>7</v>
      </c>
    </row>
    <row r="72" spans="1:12" x14ac:dyDescent="0.35">
      <c r="A72">
        <v>161</v>
      </c>
      <c r="B72" t="s">
        <v>548</v>
      </c>
      <c r="C72" t="s">
        <v>549</v>
      </c>
      <c r="D72" t="s">
        <v>550</v>
      </c>
      <c r="E72" t="s">
        <v>145</v>
      </c>
      <c r="F72">
        <v>2009</v>
      </c>
      <c r="G72" t="s">
        <v>551</v>
      </c>
      <c r="H72" t="s">
        <v>552</v>
      </c>
      <c r="I72" t="s">
        <v>553</v>
      </c>
      <c r="J72" t="s">
        <v>554</v>
      </c>
      <c r="K72" s="4" t="str">
        <f>HYPERLINK("https://doi.org/10.1007/s00167-008-0519-9","Benazzo (2008)")</f>
        <v>Benazzo (2008)</v>
      </c>
    </row>
    <row r="73" spans="1:12" x14ac:dyDescent="0.35">
      <c r="A73">
        <v>162</v>
      </c>
      <c r="B73" t="s">
        <v>555</v>
      </c>
      <c r="C73" t="s">
        <v>556</v>
      </c>
      <c r="D73" t="s">
        <v>557</v>
      </c>
      <c r="E73" t="s">
        <v>130</v>
      </c>
      <c r="F73">
        <v>2010</v>
      </c>
      <c r="G73" t="s">
        <v>558</v>
      </c>
      <c r="H73" t="s">
        <v>559</v>
      </c>
      <c r="I73" t="s">
        <v>560</v>
      </c>
      <c r="J73" t="s">
        <v>561</v>
      </c>
      <c r="K73" s="4" t="str">
        <f>HYPERLINK("https://doi.org/10.1007/s00402-017-2774-z","Beyaz (2017)")</f>
        <v>Beyaz (2017)</v>
      </c>
      <c r="L73" s="1" t="s">
        <v>4</v>
      </c>
    </row>
    <row r="74" spans="1:12" x14ac:dyDescent="0.35">
      <c r="A74">
        <v>168</v>
      </c>
      <c r="B74" t="s">
        <v>562</v>
      </c>
      <c r="C74" t="s">
        <v>563</v>
      </c>
      <c r="D74" t="s">
        <v>564</v>
      </c>
      <c r="E74" t="s">
        <v>565</v>
      </c>
      <c r="F74">
        <v>2009</v>
      </c>
      <c r="G74" t="s">
        <v>566</v>
      </c>
      <c r="H74" t="s">
        <v>567</v>
      </c>
      <c r="I74" t="s">
        <v>568</v>
      </c>
      <c r="J74" t="s">
        <v>569</v>
      </c>
      <c r="K74" s="4" t="str">
        <f>HYPERLINK("https://doi.org/10.2106/00004623-200209000-00001","Beynnon (2002)")</f>
        <v>Beynnon (2002)</v>
      </c>
      <c r="L74" s="1" t="s">
        <v>4</v>
      </c>
    </row>
    <row r="75" spans="1:12" x14ac:dyDescent="0.35">
      <c r="A75">
        <v>171</v>
      </c>
      <c r="B75" t="s">
        <v>570</v>
      </c>
      <c r="C75" t="s">
        <v>571</v>
      </c>
      <c r="D75" t="s">
        <v>572</v>
      </c>
      <c r="E75" t="s">
        <v>130</v>
      </c>
      <c r="F75">
        <v>2009</v>
      </c>
      <c r="G75" t="s">
        <v>573</v>
      </c>
      <c r="H75" t="s">
        <v>574</v>
      </c>
      <c r="I75" t="s">
        <v>575</v>
      </c>
      <c r="J75" t="s">
        <v>576</v>
      </c>
      <c r="K75" s="4" t="str">
        <f>HYPERLINK("https://doi.org/10.1177/0363546504268406","Beynnon (2005)")</f>
        <v>Beynnon (2005)</v>
      </c>
      <c r="L75" s="1" t="s">
        <v>4</v>
      </c>
    </row>
    <row r="76" spans="1:12" x14ac:dyDescent="0.35">
      <c r="A76">
        <v>172</v>
      </c>
      <c r="B76" t="s">
        <v>577</v>
      </c>
      <c r="C76" t="s">
        <v>578</v>
      </c>
      <c r="D76" t="s">
        <v>579</v>
      </c>
      <c r="E76" t="s">
        <v>580</v>
      </c>
      <c r="F76">
        <v>2008</v>
      </c>
      <c r="G76" t="s">
        <v>581</v>
      </c>
      <c r="H76" t="s">
        <v>582</v>
      </c>
      <c r="I76" t="s">
        <v>583</v>
      </c>
      <c r="J76" t="s">
        <v>584</v>
      </c>
      <c r="K76" s="4" t="str">
        <f>HYPERLINK("https://doi.org/10.1055/s-0038-1627466","Bi (2018)")</f>
        <v>Bi (2018)</v>
      </c>
      <c r="L76" s="1" t="s">
        <v>4</v>
      </c>
    </row>
    <row r="77" spans="1:12" x14ac:dyDescent="0.35">
      <c r="A77">
        <v>202</v>
      </c>
      <c r="B77" t="s">
        <v>585</v>
      </c>
      <c r="C77" t="s">
        <v>586</v>
      </c>
      <c r="D77" t="s">
        <v>587</v>
      </c>
      <c r="E77" t="s">
        <v>494</v>
      </c>
      <c r="F77">
        <v>2007</v>
      </c>
      <c r="G77" t="s">
        <v>588</v>
      </c>
      <c r="H77" t="s">
        <v>589</v>
      </c>
      <c r="I77" t="s">
        <v>590</v>
      </c>
      <c r="J77" t="s">
        <v>591</v>
      </c>
      <c r="K77" s="4" t="str">
        <f>HYPERLINK("https://doi.org/10.3928/0147-7447-19970201-08","Billotti (1997)")</f>
        <v>Billotti (1997)</v>
      </c>
      <c r="L77" s="1" t="s">
        <v>15</v>
      </c>
    </row>
    <row r="78" spans="1:12" x14ac:dyDescent="0.35">
      <c r="A78">
        <v>213</v>
      </c>
      <c r="B78" t="s">
        <v>592</v>
      </c>
      <c r="C78" t="s">
        <v>593</v>
      </c>
      <c r="D78" t="s">
        <v>594</v>
      </c>
      <c r="E78" t="s">
        <v>55</v>
      </c>
      <c r="F78">
        <v>2005</v>
      </c>
      <c r="G78" t="s">
        <v>595</v>
      </c>
      <c r="H78" t="s">
        <v>596</v>
      </c>
      <c r="I78" t="s">
        <v>597</v>
      </c>
      <c r="J78" t="s">
        <v>598</v>
      </c>
      <c r="K78" s="4" t="str">
        <f>HYPERLINK("https://doi.org/10.1177/0363546507311601","Birmingham (2008)")</f>
        <v>Birmingham (2008)</v>
      </c>
    </row>
    <row r="79" spans="1:12" x14ac:dyDescent="0.35">
      <c r="A79">
        <v>214</v>
      </c>
      <c r="B79" t="s">
        <v>599</v>
      </c>
      <c r="C79" t="s">
        <v>600</v>
      </c>
      <c r="D79" t="s">
        <v>601</v>
      </c>
      <c r="E79" t="s">
        <v>528</v>
      </c>
      <c r="F79">
        <v>2006</v>
      </c>
      <c r="G79" t="s">
        <v>602</v>
      </c>
      <c r="H79" t="s">
        <v>603</v>
      </c>
      <c r="I79" t="s">
        <v>604</v>
      </c>
      <c r="J79" t="s">
        <v>605</v>
      </c>
      <c r="K79" s="4" t="str">
        <f>HYPERLINK("https://doi.org/10.1007/s00590-016-1809-4","Biswal (2016)")</f>
        <v>Biswal (2016)</v>
      </c>
      <c r="L79" s="1" t="s">
        <v>15</v>
      </c>
    </row>
    <row r="80" spans="1:12" x14ac:dyDescent="0.35">
      <c r="A80">
        <v>216</v>
      </c>
      <c r="B80" t="s">
        <v>606</v>
      </c>
      <c r="C80" t="s">
        <v>607</v>
      </c>
      <c r="D80" t="s">
        <v>608</v>
      </c>
      <c r="E80" t="s">
        <v>71</v>
      </c>
      <c r="F80">
        <v>2005</v>
      </c>
      <c r="G80" t="s">
        <v>609</v>
      </c>
      <c r="H80" t="s">
        <v>610</v>
      </c>
      <c r="I80" t="s">
        <v>611</v>
      </c>
      <c r="J80" t="s">
        <v>612</v>
      </c>
      <c r="K80" s="4" t="str">
        <f>HYPERLINK("https://doi.org/10.1177/0363546516646378","Björnsson (2016)")</f>
        <v>Björnsson (2016)</v>
      </c>
      <c r="L80" s="1" t="s">
        <v>4</v>
      </c>
    </row>
    <row r="81" spans="1:12" x14ac:dyDescent="0.35">
      <c r="A81">
        <v>225</v>
      </c>
      <c r="B81" t="s">
        <v>613</v>
      </c>
      <c r="C81" t="s">
        <v>614</v>
      </c>
      <c r="D81" t="s">
        <v>615</v>
      </c>
      <c r="E81" t="s">
        <v>115</v>
      </c>
      <c r="F81">
        <v>2004</v>
      </c>
      <c r="G81" t="s">
        <v>616</v>
      </c>
      <c r="H81" t="s">
        <v>617</v>
      </c>
      <c r="I81" t="s">
        <v>618</v>
      </c>
      <c r="J81" t="s">
        <v>619</v>
      </c>
      <c r="K81" s="4" t="str">
        <f>HYPERLINK("https://doi.org/10.1186/s12891-018-2028-4","Boer (2018)")</f>
        <v>Boer (2018)</v>
      </c>
      <c r="L81" s="1" t="s">
        <v>4</v>
      </c>
    </row>
    <row r="82" spans="1:12" x14ac:dyDescent="0.35">
      <c r="A82">
        <v>227</v>
      </c>
      <c r="B82" t="s">
        <v>620</v>
      </c>
      <c r="C82" t="s">
        <v>621</v>
      </c>
      <c r="D82" t="s">
        <v>622</v>
      </c>
      <c r="E82" t="s">
        <v>71</v>
      </c>
      <c r="F82">
        <v>2004</v>
      </c>
      <c r="G82" t="s">
        <v>623</v>
      </c>
      <c r="H82" t="s">
        <v>624</v>
      </c>
      <c r="I82" t="s">
        <v>625</v>
      </c>
      <c r="J82" t="s">
        <v>626</v>
      </c>
      <c r="K82" s="4" t="str">
        <f>HYPERLINK("https://doi.org/10.1007/s00167-014-3156-5","Bohn (2015)")</f>
        <v>Bohn (2015)</v>
      </c>
      <c r="L82" s="1" t="s">
        <v>4</v>
      </c>
    </row>
    <row r="83" spans="1:12" x14ac:dyDescent="0.35">
      <c r="A83">
        <v>229</v>
      </c>
      <c r="B83" t="s">
        <v>627</v>
      </c>
      <c r="C83" t="s">
        <v>628</v>
      </c>
      <c r="D83" t="s">
        <v>629</v>
      </c>
      <c r="E83" t="s">
        <v>71</v>
      </c>
      <c r="F83">
        <v>2004</v>
      </c>
      <c r="G83" t="s">
        <v>630</v>
      </c>
      <c r="H83" t="s">
        <v>567</v>
      </c>
      <c r="I83" t="s">
        <v>631</v>
      </c>
      <c r="J83" t="s">
        <v>632</v>
      </c>
      <c r="K83" s="4" t="str">
        <f>HYPERLINK("https://doi.org/10.1177/0363546507312164","Bottoni (2008)")</f>
        <v>Bottoni (2008)</v>
      </c>
    </row>
    <row r="84" spans="1:12" x14ac:dyDescent="0.35">
      <c r="A84">
        <v>231</v>
      </c>
      <c r="B84" t="s">
        <v>633</v>
      </c>
      <c r="C84" t="s">
        <v>634</v>
      </c>
      <c r="D84" t="s">
        <v>635</v>
      </c>
      <c r="E84" t="s">
        <v>130</v>
      </c>
      <c r="F84">
        <v>2003</v>
      </c>
      <c r="G84" t="s">
        <v>636</v>
      </c>
      <c r="H84" t="s">
        <v>637</v>
      </c>
      <c r="I84" t="s">
        <v>638</v>
      </c>
      <c r="J84" t="s">
        <v>639</v>
      </c>
      <c r="K84" s="7" t="str">
        <f>HYPERLINK("https://doi.org/10.1016/j.arthro.2012.10.021","Bourke (2013)")</f>
        <v>Bourke (2013)</v>
      </c>
      <c r="L84" s="8" t="s">
        <v>7</v>
      </c>
    </row>
    <row r="85" spans="1:12" x14ac:dyDescent="0.35">
      <c r="A85">
        <v>243</v>
      </c>
      <c r="B85" t="s">
        <v>640</v>
      </c>
      <c r="C85" t="s">
        <v>641</v>
      </c>
      <c r="D85" t="s">
        <v>642</v>
      </c>
      <c r="E85" t="s">
        <v>79</v>
      </c>
      <c r="F85">
        <v>2001</v>
      </c>
      <c r="G85" t="s">
        <v>643</v>
      </c>
      <c r="H85" t="s">
        <v>644</v>
      </c>
      <c r="I85" t="s">
        <v>645</v>
      </c>
      <c r="J85" t="s">
        <v>646</v>
      </c>
      <c r="K85" s="4" t="str">
        <f>HYPERLINK("https://doi.org/10.1177/0363546518784005","Boutsiadis (2018)")</f>
        <v>Boutsiadis (2018)</v>
      </c>
    </row>
    <row r="86" spans="1:12" x14ac:dyDescent="0.35">
      <c r="A86">
        <v>248</v>
      </c>
      <c r="B86" t="s">
        <v>647</v>
      </c>
      <c r="C86" t="s">
        <v>648</v>
      </c>
      <c r="D86" t="s">
        <v>649</v>
      </c>
      <c r="E86" t="s">
        <v>115</v>
      </c>
      <c r="F86">
        <v>2001</v>
      </c>
      <c r="G86" t="s">
        <v>650</v>
      </c>
      <c r="H86" t="s">
        <v>651</v>
      </c>
      <c r="I86" t="s">
        <v>652</v>
      </c>
      <c r="J86" t="s">
        <v>653</v>
      </c>
      <c r="K86" s="4" t="str">
        <f>HYPERLINK("https://doi.org/10.1016/s0035-1040(04)70756-4","Boyer (2004)")</f>
        <v>Boyer (2004)</v>
      </c>
      <c r="L86" s="1" t="s">
        <v>7</v>
      </c>
    </row>
    <row r="87" spans="1:12" x14ac:dyDescent="0.35">
      <c r="A87">
        <v>250</v>
      </c>
      <c r="B87" t="s">
        <v>654</v>
      </c>
      <c r="C87" t="s">
        <v>655</v>
      </c>
      <c r="D87" t="s">
        <v>656</v>
      </c>
      <c r="E87" t="s">
        <v>528</v>
      </c>
      <c r="F87">
        <v>2001</v>
      </c>
      <c r="G87" t="s">
        <v>657</v>
      </c>
      <c r="H87" t="s">
        <v>658</v>
      </c>
      <c r="I87" t="s">
        <v>659</v>
      </c>
      <c r="J87" t="s">
        <v>660</v>
      </c>
      <c r="K87" s="4" t="str">
        <f>HYPERLINK("https://doi.org/10.1007/s001670050077","Brandsson (1998)")</f>
        <v>Brandsson (1998)</v>
      </c>
      <c r="L87" s="1" t="s">
        <v>4</v>
      </c>
    </row>
    <row r="88" spans="1:12" x14ac:dyDescent="0.35">
      <c r="A88">
        <v>252</v>
      </c>
      <c r="B88" t="s">
        <v>661</v>
      </c>
      <c r="C88" t="s">
        <v>662</v>
      </c>
      <c r="D88" t="s">
        <v>663</v>
      </c>
      <c r="E88" t="s">
        <v>79</v>
      </c>
      <c r="F88">
        <v>2000</v>
      </c>
      <c r="G88" t="s">
        <v>664</v>
      </c>
      <c r="H88" t="s">
        <v>665</v>
      </c>
      <c r="I88" t="s">
        <v>666</v>
      </c>
      <c r="J88" t="s">
        <v>667</v>
      </c>
      <c r="K88" s="4" t="str">
        <f>HYPERLINK("https://doi.org/10.1034/j.1600-0838.2001.011002110.x","Brandsson (2001)")</f>
        <v>Brandsson (2001)</v>
      </c>
      <c r="L88" s="1" t="s">
        <v>7</v>
      </c>
    </row>
    <row r="89" spans="1:12" x14ac:dyDescent="0.35">
      <c r="A89">
        <v>253</v>
      </c>
      <c r="B89" t="s">
        <v>668</v>
      </c>
      <c r="C89" t="s">
        <v>669</v>
      </c>
      <c r="D89" t="s">
        <v>670</v>
      </c>
      <c r="E89" t="s">
        <v>71</v>
      </c>
      <c r="F89">
        <v>2000</v>
      </c>
      <c r="G89" t="s">
        <v>671</v>
      </c>
      <c r="H89" t="s">
        <v>672</v>
      </c>
      <c r="I89" t="s">
        <v>673</v>
      </c>
      <c r="J89" t="s">
        <v>674</v>
      </c>
      <c r="K89" s="4" t="str">
        <f>HYPERLINK("https://doi.org/10.1186/s13063-018-2448-3","Bregenhof (2018)")</f>
        <v>Bregenhof (2018)</v>
      </c>
    </row>
    <row r="90" spans="1:12" x14ac:dyDescent="0.35">
      <c r="A90">
        <v>255</v>
      </c>
      <c r="B90" t="s">
        <v>675</v>
      </c>
      <c r="C90" t="s">
        <v>676</v>
      </c>
      <c r="D90" t="s">
        <v>677</v>
      </c>
      <c r="E90" t="s">
        <v>71</v>
      </c>
      <c r="F90">
        <v>1999</v>
      </c>
      <c r="G90" t="s">
        <v>678</v>
      </c>
      <c r="H90" t="s">
        <v>679</v>
      </c>
      <c r="I90" t="s">
        <v>680</v>
      </c>
      <c r="J90" t="s">
        <v>681</v>
      </c>
      <c r="K90" s="4" t="str">
        <f>HYPERLINK("https://doi.org/10.1016/j.otsr.2016.08.011","Bressy (2016)")</f>
        <v>Bressy (2016)</v>
      </c>
      <c r="L90" s="1" t="s">
        <v>7</v>
      </c>
    </row>
    <row r="91" spans="1:12" x14ac:dyDescent="0.35">
      <c r="A91">
        <v>257</v>
      </c>
      <c r="B91" t="s">
        <v>682</v>
      </c>
      <c r="C91" t="s">
        <v>683</v>
      </c>
      <c r="D91" t="s">
        <v>684</v>
      </c>
      <c r="E91" t="s">
        <v>291</v>
      </c>
      <c r="F91">
        <v>1998</v>
      </c>
      <c r="G91" t="s">
        <v>685</v>
      </c>
      <c r="H91" t="s">
        <v>686</v>
      </c>
      <c r="I91" t="s">
        <v>687</v>
      </c>
      <c r="J91" t="s">
        <v>688</v>
      </c>
      <c r="K91" s="4" t="str">
        <f>HYPERLINK("https://doi.org/10.1007/s00402-024-05639-1","Butt (2024)")</f>
        <v>Butt (2024)</v>
      </c>
      <c r="L91" s="1" t="s">
        <v>4</v>
      </c>
    </row>
    <row r="92" spans="1:12" x14ac:dyDescent="0.35">
      <c r="A92">
        <v>258</v>
      </c>
      <c r="B92" t="s">
        <v>689</v>
      </c>
      <c r="C92" t="s">
        <v>690</v>
      </c>
      <c r="D92" t="s">
        <v>691</v>
      </c>
      <c r="E92" t="s">
        <v>291</v>
      </c>
      <c r="F92">
        <v>1997</v>
      </c>
      <c r="G92" t="s">
        <v>692</v>
      </c>
      <c r="H92" t="s">
        <v>693</v>
      </c>
      <c r="I92" t="s">
        <v>694</v>
      </c>
      <c r="J92" t="s">
        <v>695</v>
      </c>
      <c r="K92" s="4" t="str">
        <f>HYPERLINK("https://doi.org/10.3389/fsurg.2023.1003022","Cai (2023)")</f>
        <v>Cai (2023)</v>
      </c>
      <c r="L92" s="1" t="s">
        <v>4</v>
      </c>
    </row>
    <row r="93" spans="1:12" x14ac:dyDescent="0.35">
      <c r="A93">
        <v>263</v>
      </c>
      <c r="B93" t="s">
        <v>696</v>
      </c>
      <c r="C93" t="s">
        <v>697</v>
      </c>
      <c r="D93" t="s">
        <v>698</v>
      </c>
      <c r="E93" t="s">
        <v>130</v>
      </c>
      <c r="F93">
        <v>1995</v>
      </c>
      <c r="G93" t="s">
        <v>699</v>
      </c>
      <c r="H93" t="s">
        <v>700</v>
      </c>
      <c r="I93" t="s">
        <v>701</v>
      </c>
      <c r="J93" t="s">
        <v>702</v>
      </c>
      <c r="K93" s="4" t="str">
        <f>HYPERLINK("https://doi.org/10.1002/ksa.12583","Calvert (2025)")</f>
        <v>Calvert (2025)</v>
      </c>
      <c r="L93" s="1" t="s">
        <v>4</v>
      </c>
    </row>
    <row r="94" spans="1:12" x14ac:dyDescent="0.35">
      <c r="A94">
        <v>265</v>
      </c>
      <c r="B94" t="s">
        <v>703</v>
      </c>
      <c r="C94" t="s">
        <v>704</v>
      </c>
      <c r="D94" t="s">
        <v>705</v>
      </c>
      <c r="E94" t="s">
        <v>130</v>
      </c>
      <c r="F94">
        <v>1994</v>
      </c>
      <c r="G94" t="s">
        <v>706</v>
      </c>
      <c r="H94" t="s">
        <v>707</v>
      </c>
      <c r="I94" t="s">
        <v>708</v>
      </c>
      <c r="J94" t="s">
        <v>709</v>
      </c>
      <c r="K94" s="4" t="str">
        <f>HYPERLINK("https://doi.org/10.3928/0147-7447-19950301-06","Cameron (1995)")</f>
        <v>Cameron (1995)</v>
      </c>
      <c r="L94" s="1" t="s">
        <v>4</v>
      </c>
    </row>
    <row r="95" spans="1:12" x14ac:dyDescent="0.35">
      <c r="A95">
        <v>266</v>
      </c>
      <c r="B95" t="s">
        <v>710</v>
      </c>
      <c r="C95" t="s">
        <v>711</v>
      </c>
      <c r="D95" t="s">
        <v>712</v>
      </c>
      <c r="E95" t="s">
        <v>130</v>
      </c>
      <c r="F95">
        <v>1994</v>
      </c>
      <c r="G95" t="s">
        <v>713</v>
      </c>
      <c r="H95" t="s">
        <v>714</v>
      </c>
      <c r="I95" t="s">
        <v>715</v>
      </c>
      <c r="J95" t="s">
        <v>716</v>
      </c>
      <c r="K95" s="4" t="str">
        <f>HYPERLINK("https://doi.org/10.1016/j.otsr.2016.06.011","Cantin (2016)")</f>
        <v>Cantin (2016)</v>
      </c>
    </row>
    <row r="96" spans="1:12" x14ac:dyDescent="0.35">
      <c r="A96">
        <v>267</v>
      </c>
      <c r="B96" t="s">
        <v>717</v>
      </c>
      <c r="C96" t="s">
        <v>718</v>
      </c>
      <c r="D96" t="s">
        <v>719</v>
      </c>
      <c r="E96" t="s">
        <v>130</v>
      </c>
      <c r="F96">
        <v>1994</v>
      </c>
      <c r="G96" t="s">
        <v>720</v>
      </c>
      <c r="H96" t="s">
        <v>721</v>
      </c>
      <c r="I96" t="s">
        <v>722</v>
      </c>
      <c r="J96" t="s">
        <v>723</v>
      </c>
      <c r="K96" s="4" t="str">
        <f>HYPERLINK("https://doi.org/10.1123/jsr.2024-0160","Cao (2025)")</f>
        <v>Cao (2025)</v>
      </c>
      <c r="L96" s="1" t="s">
        <v>7</v>
      </c>
    </row>
    <row r="97" spans="1:12" x14ac:dyDescent="0.35">
      <c r="A97">
        <v>2</v>
      </c>
      <c r="B97" t="s">
        <v>724</v>
      </c>
      <c r="C97" t="s">
        <v>725</v>
      </c>
      <c r="D97" t="s">
        <v>726</v>
      </c>
      <c r="E97" t="s">
        <v>727</v>
      </c>
      <c r="F97">
        <v>2025</v>
      </c>
      <c r="G97" t="s">
        <v>728</v>
      </c>
      <c r="H97" t="s">
        <v>729</v>
      </c>
      <c r="I97" t="s">
        <v>730</v>
      </c>
      <c r="J97" t="s">
        <v>731</v>
      </c>
      <c r="K97" s="4" t="str">
        <f>HYPERLINK("https://doi.org/10.1016/j.knee.2008.02.003","Capuano (2008)")</f>
        <v>Capuano (2008)</v>
      </c>
    </row>
    <row r="98" spans="1:12" x14ac:dyDescent="0.35">
      <c r="A98">
        <v>32</v>
      </c>
      <c r="B98" t="s">
        <v>732</v>
      </c>
      <c r="C98" t="s">
        <v>733</v>
      </c>
      <c r="D98" t="s">
        <v>734</v>
      </c>
      <c r="E98" t="s">
        <v>71</v>
      </c>
      <c r="F98">
        <v>2018</v>
      </c>
      <c r="G98" t="s">
        <v>735</v>
      </c>
      <c r="H98" t="s">
        <v>736</v>
      </c>
      <c r="I98" t="s">
        <v>737</v>
      </c>
      <c r="J98" t="s">
        <v>738</v>
      </c>
      <c r="K98" s="4" t="str">
        <f>HYPERLINK("https://doi.org/10.1007/s00167-016-4135-9","Carulli (2017)")</f>
        <v>Carulli (2017)</v>
      </c>
      <c r="L98" s="1" t="s">
        <v>15</v>
      </c>
    </row>
    <row r="99" spans="1:12" x14ac:dyDescent="0.35">
      <c r="A99">
        <v>39</v>
      </c>
      <c r="B99" t="s">
        <v>739</v>
      </c>
      <c r="C99" t="s">
        <v>740</v>
      </c>
      <c r="D99" t="s">
        <v>741</v>
      </c>
      <c r="E99" t="s">
        <v>71</v>
      </c>
      <c r="F99">
        <v>2016</v>
      </c>
      <c r="G99" t="s">
        <v>742</v>
      </c>
      <c r="H99" t="s">
        <v>743</v>
      </c>
      <c r="I99" t="s">
        <v>744</v>
      </c>
      <c r="J99" t="s">
        <v>745</v>
      </c>
      <c r="K99" s="4" t="str">
        <f>HYPERLINK("https://doi.org/10.1186/s12891-025-09183-w","Castellanos (2025)")</f>
        <v>Castellanos (2025)</v>
      </c>
    </row>
    <row r="100" spans="1:12" x14ac:dyDescent="0.35">
      <c r="A100">
        <v>42</v>
      </c>
      <c r="B100" t="s">
        <v>746</v>
      </c>
      <c r="C100" t="s">
        <v>747</v>
      </c>
      <c r="D100" t="s">
        <v>748</v>
      </c>
      <c r="E100" t="s">
        <v>580</v>
      </c>
      <c r="F100">
        <v>2014</v>
      </c>
      <c r="G100" t="s">
        <v>749</v>
      </c>
      <c r="H100" t="s">
        <v>750</v>
      </c>
      <c r="I100" t="s">
        <v>751</v>
      </c>
      <c r="J100" t="s">
        <v>752</v>
      </c>
      <c r="K100" s="4" t="str">
        <f>HYPERLINK("https://doi.org/10.1177/0363546520914936","Castoldi (2020)")</f>
        <v>Castoldi (2020)</v>
      </c>
      <c r="L100" s="1" t="s">
        <v>4</v>
      </c>
    </row>
    <row r="101" spans="1:12" x14ac:dyDescent="0.35">
      <c r="A101">
        <v>53</v>
      </c>
      <c r="B101" t="s">
        <v>753</v>
      </c>
      <c r="C101" t="s">
        <v>754</v>
      </c>
      <c r="D101" t="s">
        <v>755</v>
      </c>
      <c r="E101" t="s">
        <v>756</v>
      </c>
      <c r="F101">
        <v>2005</v>
      </c>
      <c r="G101" t="s">
        <v>757</v>
      </c>
      <c r="H101" t="s">
        <v>758</v>
      </c>
      <c r="I101" t="s">
        <v>759</v>
      </c>
      <c r="J101" t="s">
        <v>760</v>
      </c>
      <c r="K101" s="4" t="str">
        <f>HYPERLINK("https://doi.org/10.1007/s00167-015-3718-1","Çelik (2017)")</f>
        <v>Çelik (2017)</v>
      </c>
      <c r="L101" s="1" t="s">
        <v>7</v>
      </c>
    </row>
    <row r="102" spans="1:12" x14ac:dyDescent="0.35">
      <c r="A102">
        <v>60</v>
      </c>
      <c r="B102" t="s">
        <v>761</v>
      </c>
      <c r="C102" t="s">
        <v>762</v>
      </c>
      <c r="D102" t="s">
        <v>763</v>
      </c>
      <c r="E102" t="s">
        <v>71</v>
      </c>
      <c r="F102">
        <v>2002</v>
      </c>
      <c r="G102" t="s">
        <v>764</v>
      </c>
      <c r="H102" t="s">
        <v>765</v>
      </c>
      <c r="I102" t="s">
        <v>766</v>
      </c>
      <c r="J102" t="s">
        <v>767</v>
      </c>
      <c r="K102" s="4" t="str">
        <f>HYPERLINK("https://doi.org/10.1016/j.arthro.2021.12.018","Chahal (2022)")</f>
        <v>Chahal (2022)</v>
      </c>
      <c r="L102" s="1" t="s">
        <v>4</v>
      </c>
    </row>
    <row r="103" spans="1:12" x14ac:dyDescent="0.35">
      <c r="A103">
        <v>65</v>
      </c>
      <c r="B103" t="s">
        <v>768</v>
      </c>
      <c r="C103" t="s">
        <v>769</v>
      </c>
      <c r="D103" t="s">
        <v>770</v>
      </c>
      <c r="E103" t="s">
        <v>494</v>
      </c>
      <c r="F103">
        <v>1998</v>
      </c>
      <c r="G103" t="s">
        <v>771</v>
      </c>
      <c r="H103" t="s">
        <v>772</v>
      </c>
      <c r="I103" t="s">
        <v>773</v>
      </c>
      <c r="J103" t="s">
        <v>774</v>
      </c>
      <c r="K103" s="4" t="str">
        <f>HYPERLINK("https://doi.org/10.12998/wjcc.v10.i24.8463","Chalidis (2022)")</f>
        <v>Chalidis (2022)</v>
      </c>
      <c r="L103" s="1" t="s">
        <v>7</v>
      </c>
    </row>
    <row r="104" spans="1:12" x14ac:dyDescent="0.35">
      <c r="A104">
        <v>71</v>
      </c>
      <c r="B104" t="s">
        <v>775</v>
      </c>
      <c r="C104" t="s">
        <v>776</v>
      </c>
      <c r="D104" t="s">
        <v>777</v>
      </c>
      <c r="E104" t="s">
        <v>79</v>
      </c>
      <c r="F104">
        <v>1988</v>
      </c>
      <c r="G104" t="s">
        <v>778</v>
      </c>
      <c r="H104" t="s">
        <v>779</v>
      </c>
      <c r="I104" t="s">
        <v>780</v>
      </c>
      <c r="J104" t="s">
        <v>781</v>
      </c>
      <c r="K104" s="4" t="str">
        <f>HYPERLINK("https://doi.org/10.1177/03635465030310040701","Charlton (2003)")</f>
        <v>Charlton (2003)</v>
      </c>
      <c r="L104" s="1" t="s">
        <v>7</v>
      </c>
    </row>
    <row r="105" spans="1:12" x14ac:dyDescent="0.35">
      <c r="A105">
        <v>1</v>
      </c>
      <c r="B105" t="s">
        <v>782</v>
      </c>
      <c r="C105" t="s">
        <v>783</v>
      </c>
      <c r="D105" t="s">
        <v>784</v>
      </c>
      <c r="E105" t="s">
        <v>79</v>
      </c>
      <c r="F105">
        <v>2013</v>
      </c>
      <c r="G105" t="s">
        <v>785</v>
      </c>
      <c r="H105" t="s">
        <v>488</v>
      </c>
      <c r="I105" t="s">
        <v>786</v>
      </c>
      <c r="J105" t="s">
        <v>787</v>
      </c>
      <c r="K105" s="4" t="str">
        <f>HYPERLINK("https://doi.org/10.1007/s00167-004-0498-4","Chen (2004)")</f>
        <v>Chen (2004)</v>
      </c>
      <c r="L105" s="1" t="s">
        <v>7</v>
      </c>
    </row>
    <row r="106" spans="1:12" x14ac:dyDescent="0.35">
      <c r="A106">
        <v>54</v>
      </c>
      <c r="B106" t="s">
        <v>788</v>
      </c>
      <c r="C106" t="s">
        <v>789</v>
      </c>
      <c r="D106" t="s">
        <v>790</v>
      </c>
      <c r="E106" t="s">
        <v>791</v>
      </c>
      <c r="F106">
        <v>2016</v>
      </c>
      <c r="G106" t="s">
        <v>792</v>
      </c>
      <c r="H106" t="s">
        <v>793</v>
      </c>
      <c r="I106" t="s">
        <v>794</v>
      </c>
      <c r="J106" t="s">
        <v>795</v>
      </c>
      <c r="K106" s="4" t="str">
        <f>HYPERLINK("https://doi.org/10.1007/s00402-014-2108-3","Chen (2015)")</f>
        <v>Chen (2015)</v>
      </c>
      <c r="L106" s="1" t="s">
        <v>4</v>
      </c>
    </row>
    <row r="107" spans="1:12" x14ac:dyDescent="0.35">
      <c r="A107">
        <v>117</v>
      </c>
      <c r="B107" t="s">
        <v>796</v>
      </c>
      <c r="C107" t="s">
        <v>797</v>
      </c>
      <c r="D107" t="s">
        <v>798</v>
      </c>
      <c r="E107" t="s">
        <v>799</v>
      </c>
      <c r="F107">
        <v>2001</v>
      </c>
      <c r="G107" t="s">
        <v>800</v>
      </c>
      <c r="H107" t="s">
        <v>801</v>
      </c>
      <c r="I107" t="s">
        <v>802</v>
      </c>
      <c r="J107" t="s">
        <v>803</v>
      </c>
      <c r="K107" s="4" t="str">
        <f>HYPERLINK("https://doi.org/10.1371/journal.pone.0183095","Chen (2017)")</f>
        <v>Chen (2017)</v>
      </c>
      <c r="L107" s="1" t="s">
        <v>7</v>
      </c>
    </row>
    <row r="108" spans="1:12" x14ac:dyDescent="0.35">
      <c r="A108">
        <v>128</v>
      </c>
      <c r="B108" t="s">
        <v>804</v>
      </c>
      <c r="C108" t="s">
        <v>805</v>
      </c>
      <c r="D108" t="s">
        <v>806</v>
      </c>
      <c r="E108" t="s">
        <v>807</v>
      </c>
      <c r="F108">
        <v>1998</v>
      </c>
      <c r="G108" t="s">
        <v>808</v>
      </c>
      <c r="H108" t="s">
        <v>809</v>
      </c>
      <c r="I108" t="s">
        <v>233</v>
      </c>
      <c r="J108" t="s">
        <v>810</v>
      </c>
      <c r="K108" s="4" t="str">
        <f>HYPERLINK("https://doi.org/10.1177/0363546517721692","Chen (2017)")</f>
        <v>Chen (2017)</v>
      </c>
    </row>
    <row r="109" spans="1:12" x14ac:dyDescent="0.35">
      <c r="A109">
        <v>137</v>
      </c>
      <c r="B109" t="s">
        <v>811</v>
      </c>
      <c r="C109" t="s">
        <v>812</v>
      </c>
      <c r="D109" t="s">
        <v>813</v>
      </c>
      <c r="E109" t="s">
        <v>814</v>
      </c>
      <c r="F109">
        <v>1993</v>
      </c>
      <c r="G109" t="s">
        <v>815</v>
      </c>
      <c r="H109" t="s">
        <v>816</v>
      </c>
      <c r="I109" t="s">
        <v>817</v>
      </c>
      <c r="J109" t="s">
        <v>818</v>
      </c>
      <c r="K109" s="4" t="str">
        <f>HYPERLINK("https://doi.org/10.1038/s41598-023-45817-6","Chen (2023)")</f>
        <v>Chen (2023)</v>
      </c>
      <c r="L109" s="1" t="s">
        <v>4</v>
      </c>
    </row>
    <row r="110" spans="1:12" x14ac:dyDescent="0.35">
      <c r="A110">
        <v>8</v>
      </c>
      <c r="B110" t="s">
        <v>819</v>
      </c>
      <c r="C110" t="s">
        <v>820</v>
      </c>
      <c r="D110" t="s">
        <v>821</v>
      </c>
      <c r="E110" t="s">
        <v>822</v>
      </c>
      <c r="F110">
        <v>2025</v>
      </c>
      <c r="G110" t="s">
        <v>823</v>
      </c>
      <c r="H110" t="s">
        <v>824</v>
      </c>
      <c r="I110" t="s">
        <v>825</v>
      </c>
      <c r="J110" t="s">
        <v>826</v>
      </c>
      <c r="K110" s="4" t="str">
        <f>HYPERLINK("https://doi.org/10.1177/0363546515620583","Chmielewski (2016)")</f>
        <v>Chmielewski (2016)</v>
      </c>
    </row>
    <row r="111" spans="1:12" x14ac:dyDescent="0.35">
      <c r="A111">
        <v>21</v>
      </c>
      <c r="B111" t="s">
        <v>827</v>
      </c>
      <c r="C111" t="s">
        <v>828</v>
      </c>
      <c r="D111" t="s">
        <v>829</v>
      </c>
      <c r="E111" t="s">
        <v>830</v>
      </c>
      <c r="F111">
        <v>2025</v>
      </c>
      <c r="G111" t="s">
        <v>831</v>
      </c>
      <c r="H111" t="s">
        <v>832</v>
      </c>
      <c r="I111" t="s">
        <v>833</v>
      </c>
      <c r="J111" t="s">
        <v>834</v>
      </c>
      <c r="K111" s="4" t="str">
        <f>HYPERLINK("https://doi.org/10.1177/0363546506296040","Chouliaras (2007)")</f>
        <v>Chouliaras (2007)</v>
      </c>
    </row>
    <row r="112" spans="1:12" x14ac:dyDescent="0.35">
      <c r="A112">
        <v>49</v>
      </c>
      <c r="B112" t="s">
        <v>835</v>
      </c>
      <c r="C112" t="s">
        <v>836</v>
      </c>
      <c r="D112" t="s">
        <v>837</v>
      </c>
      <c r="E112" t="s">
        <v>838</v>
      </c>
      <c r="F112">
        <v>2023</v>
      </c>
      <c r="G112" t="s">
        <v>839</v>
      </c>
      <c r="H112" t="s">
        <v>840</v>
      </c>
      <c r="I112" t="s">
        <v>841</v>
      </c>
      <c r="J112" t="s">
        <v>842</v>
      </c>
      <c r="K112" s="4" t="str">
        <f>HYPERLINK("https://doi.org/10.1123/jsr.22.3.191","Christensen (2013)")</f>
        <v>Christensen (2013)</v>
      </c>
      <c r="L112" s="1" t="s">
        <v>4</v>
      </c>
    </row>
    <row r="113" spans="1:12" x14ac:dyDescent="0.35">
      <c r="A113">
        <v>50</v>
      </c>
      <c r="B113" t="s">
        <v>843</v>
      </c>
      <c r="C113" t="s">
        <v>844</v>
      </c>
      <c r="D113" t="s">
        <v>845</v>
      </c>
      <c r="E113" t="s">
        <v>846</v>
      </c>
      <c r="F113">
        <v>2023</v>
      </c>
      <c r="G113" t="s">
        <v>847</v>
      </c>
      <c r="H113" t="s">
        <v>848</v>
      </c>
      <c r="I113" t="s">
        <v>849</v>
      </c>
      <c r="J113" t="s">
        <v>850</v>
      </c>
      <c r="K113" s="4" t="str">
        <f>HYPERLINK("https://doi.org/10.4085/1062-6050-49.3.95","Christensen (2015)")</f>
        <v>Christensen (2015)</v>
      </c>
    </row>
    <row r="114" spans="1:12" x14ac:dyDescent="0.35">
      <c r="A114">
        <v>52</v>
      </c>
      <c r="B114" t="s">
        <v>851</v>
      </c>
      <c r="C114" t="s">
        <v>852</v>
      </c>
      <c r="D114" t="s">
        <v>853</v>
      </c>
      <c r="E114" t="s">
        <v>854</v>
      </c>
      <c r="F114">
        <v>2023</v>
      </c>
      <c r="G114" t="s">
        <v>855</v>
      </c>
      <c r="H114" t="s">
        <v>856</v>
      </c>
      <c r="I114" t="s">
        <v>857</v>
      </c>
      <c r="J114" t="s">
        <v>858</v>
      </c>
      <c r="K114" s="4" t="str">
        <f>HYPERLINK("https://doi.org/10.1007/s001670050138","Clatworthy (1999)")</f>
        <v>Clatworthy (1999)</v>
      </c>
      <c r="L114" s="1" t="s">
        <v>7</v>
      </c>
    </row>
    <row r="115" spans="1:12" x14ac:dyDescent="0.35">
      <c r="A115">
        <v>56</v>
      </c>
      <c r="B115" t="s">
        <v>859</v>
      </c>
      <c r="C115" t="s">
        <v>860</v>
      </c>
      <c r="D115" t="s">
        <v>861</v>
      </c>
      <c r="E115" t="s">
        <v>862</v>
      </c>
      <c r="F115">
        <v>2023</v>
      </c>
      <c r="G115" t="s">
        <v>863</v>
      </c>
      <c r="H115" t="s">
        <v>864</v>
      </c>
      <c r="I115" t="s">
        <v>865</v>
      </c>
      <c r="J115" t="s">
        <v>866</v>
      </c>
      <c r="K115" s="4" t="str">
        <f>HYPERLINK("https://doi.org/10.1053/jars.2002.30637","Colombet (2002)")</f>
        <v>Colombet (2002)</v>
      </c>
    </row>
    <row r="116" spans="1:12" x14ac:dyDescent="0.35">
      <c r="A116">
        <v>71</v>
      </c>
      <c r="B116" t="s">
        <v>867</v>
      </c>
      <c r="C116" t="s">
        <v>868</v>
      </c>
      <c r="D116" t="s">
        <v>869</v>
      </c>
      <c r="E116" t="s">
        <v>870</v>
      </c>
      <c r="F116">
        <v>2022</v>
      </c>
      <c r="G116" t="s">
        <v>871</v>
      </c>
      <c r="H116" t="s">
        <v>872</v>
      </c>
      <c r="I116" t="s">
        <v>873</v>
      </c>
      <c r="J116" t="s">
        <v>874</v>
      </c>
      <c r="K116" s="4" t="str">
        <f>HYPERLINK("https://doi.org/10.1177/03635465221124917","Costa (2022)")</f>
        <v>Costa (2022)</v>
      </c>
    </row>
    <row r="117" spans="1:12" x14ac:dyDescent="0.35">
      <c r="A117">
        <v>72</v>
      </c>
      <c r="B117" t="s">
        <v>875</v>
      </c>
      <c r="C117" t="s">
        <v>876</v>
      </c>
      <c r="D117" t="s">
        <v>877</v>
      </c>
      <c r="E117" t="s">
        <v>878</v>
      </c>
      <c r="F117">
        <v>2022</v>
      </c>
      <c r="G117" t="s">
        <v>879</v>
      </c>
      <c r="H117" t="s">
        <v>880</v>
      </c>
      <c r="I117" t="s">
        <v>881</v>
      </c>
      <c r="J117" t="s">
        <v>882</v>
      </c>
      <c r="K117" s="4" t="str">
        <f>HYPERLINK("https://doi.org/10.1016/j.jisako.2022.04.002","Cruz (2022)")</f>
        <v>Cruz (2022)</v>
      </c>
      <c r="L117" s="1" t="s">
        <v>4</v>
      </c>
    </row>
    <row r="118" spans="1:12" x14ac:dyDescent="0.35">
      <c r="A118">
        <v>80</v>
      </c>
      <c r="B118" t="s">
        <v>883</v>
      </c>
      <c r="C118" t="s">
        <v>884</v>
      </c>
      <c r="D118" t="s">
        <v>885</v>
      </c>
      <c r="E118" t="s">
        <v>886</v>
      </c>
      <c r="F118">
        <v>2022</v>
      </c>
      <c r="G118" t="s">
        <v>887</v>
      </c>
      <c r="H118" t="s">
        <v>888</v>
      </c>
      <c r="I118" t="s">
        <v>889</v>
      </c>
      <c r="J118" t="s">
        <v>890</v>
      </c>
      <c r="K118" s="4" t="str">
        <f>HYPERLINK("https://doi.org/10.1007/s00167-011-1458-4","Darabos (2011)")</f>
        <v>Darabos (2011)</v>
      </c>
    </row>
    <row r="119" spans="1:12" x14ac:dyDescent="0.35">
      <c r="A119">
        <v>86</v>
      </c>
      <c r="B119" t="s">
        <v>891</v>
      </c>
      <c r="C119" t="s">
        <v>892</v>
      </c>
      <c r="D119" t="s">
        <v>893</v>
      </c>
      <c r="E119" t="s">
        <v>894</v>
      </c>
      <c r="F119">
        <v>2021</v>
      </c>
      <c r="G119" t="s">
        <v>895</v>
      </c>
      <c r="H119" t="s">
        <v>896</v>
      </c>
      <c r="I119" t="s">
        <v>897</v>
      </c>
      <c r="J119" t="s">
        <v>898</v>
      </c>
      <c r="K119" s="4" t="str">
        <f>HYPERLINK("https://doi.org/10.1177/0363546511406234","De (2011)")</f>
        <v>De (2011)</v>
      </c>
      <c r="L119" s="1" t="s">
        <v>4</v>
      </c>
    </row>
    <row r="120" spans="1:12" x14ac:dyDescent="0.35">
      <c r="A120">
        <v>92</v>
      </c>
      <c r="B120" t="s">
        <v>899</v>
      </c>
      <c r="C120" t="s">
        <v>900</v>
      </c>
      <c r="D120" t="s">
        <v>901</v>
      </c>
      <c r="E120" t="s">
        <v>902</v>
      </c>
      <c r="F120">
        <v>2021</v>
      </c>
      <c r="G120" t="s">
        <v>903</v>
      </c>
      <c r="H120" t="s">
        <v>904</v>
      </c>
      <c r="I120" t="s">
        <v>905</v>
      </c>
      <c r="J120" t="s">
        <v>906</v>
      </c>
      <c r="K120" s="4" t="str">
        <f>HYPERLINK("https://doi.org/10.1016/j.knee.2022.03.015","de (2022)")</f>
        <v>de (2022)</v>
      </c>
      <c r="L120" s="1" t="s">
        <v>4</v>
      </c>
    </row>
    <row r="121" spans="1:12" x14ac:dyDescent="0.35">
      <c r="A121">
        <v>95</v>
      </c>
      <c r="B121" t="s">
        <v>907</v>
      </c>
      <c r="C121" t="s">
        <v>908</v>
      </c>
      <c r="D121" t="s">
        <v>909</v>
      </c>
      <c r="E121" t="s">
        <v>910</v>
      </c>
      <c r="F121">
        <v>2021</v>
      </c>
      <c r="G121" t="s">
        <v>911</v>
      </c>
      <c r="H121" t="s">
        <v>912</v>
      </c>
      <c r="I121" t="s">
        <v>913</v>
      </c>
      <c r="J121" t="s">
        <v>914</v>
      </c>
      <c r="K121" s="4" t="str">
        <f>HYPERLINK("https://doi.org/10.1007/s00264-012-1718-z","Dejour (2013)")</f>
        <v>Dejour (2013)</v>
      </c>
    </row>
    <row r="122" spans="1:12" x14ac:dyDescent="0.35">
      <c r="A122">
        <v>97</v>
      </c>
      <c r="B122" t="s">
        <v>915</v>
      </c>
      <c r="C122" t="s">
        <v>916</v>
      </c>
      <c r="D122" t="s">
        <v>917</v>
      </c>
      <c r="E122" t="s">
        <v>918</v>
      </c>
      <c r="F122">
        <v>2021</v>
      </c>
      <c r="G122" t="s">
        <v>919</v>
      </c>
      <c r="H122" t="s">
        <v>920</v>
      </c>
      <c r="I122" t="s">
        <v>921</v>
      </c>
      <c r="J122" t="s">
        <v>922</v>
      </c>
      <c r="K122" s="4" t="str">
        <f>HYPERLINK("https://doi.org/10.2298/VSP200128026D","Djordjevi? (2021)")</f>
        <v>Djordjevi? (2021)</v>
      </c>
    </row>
    <row r="123" spans="1:12" x14ac:dyDescent="0.35">
      <c r="A123">
        <v>107</v>
      </c>
      <c r="B123" t="s">
        <v>923</v>
      </c>
      <c r="C123" t="s">
        <v>924</v>
      </c>
      <c r="D123" t="s">
        <v>925</v>
      </c>
      <c r="E123" t="s">
        <v>926</v>
      </c>
      <c r="F123">
        <v>2020</v>
      </c>
      <c r="G123" t="s">
        <v>927</v>
      </c>
      <c r="H123" t="s">
        <v>530</v>
      </c>
      <c r="I123" t="s">
        <v>928</v>
      </c>
      <c r="J123" t="s">
        <v>929</v>
      </c>
      <c r="K123" s="4" t="str">
        <f>HYPERLINK("https://doi.org/10.11138/mltj/2017.7.4.564","Drocco (2017)")</f>
        <v>Drocco (2017)</v>
      </c>
    </row>
    <row r="124" spans="1:12" x14ac:dyDescent="0.35">
      <c r="A124">
        <v>126</v>
      </c>
      <c r="B124" t="s">
        <v>930</v>
      </c>
      <c r="C124" t="s">
        <v>931</v>
      </c>
      <c r="D124" t="s">
        <v>932</v>
      </c>
      <c r="E124" t="s">
        <v>933</v>
      </c>
      <c r="F124">
        <v>2019</v>
      </c>
      <c r="G124" t="s">
        <v>934</v>
      </c>
      <c r="H124" t="s">
        <v>322</v>
      </c>
      <c r="I124" t="s">
        <v>935</v>
      </c>
      <c r="J124" t="s">
        <v>936</v>
      </c>
      <c r="K124" s="4" t="str">
        <f>HYPERLINK("https://doi.org/10.1177/03635465020300061601","Drogset (2002)")</f>
        <v>Drogset (2002)</v>
      </c>
      <c r="L124" s="1" t="s">
        <v>15</v>
      </c>
    </row>
    <row r="125" spans="1:12" x14ac:dyDescent="0.35">
      <c r="A125">
        <v>130</v>
      </c>
      <c r="B125" t="s">
        <v>937</v>
      </c>
      <c r="C125" t="s">
        <v>938</v>
      </c>
      <c r="D125" t="s">
        <v>939</v>
      </c>
      <c r="E125" t="s">
        <v>940</v>
      </c>
      <c r="F125">
        <v>2019</v>
      </c>
      <c r="G125" t="s">
        <v>941</v>
      </c>
      <c r="H125" t="s">
        <v>942</v>
      </c>
      <c r="I125" t="s">
        <v>943</v>
      </c>
      <c r="J125" t="s">
        <v>944</v>
      </c>
      <c r="K125" s="4" t="str">
        <f>HYPERLINK("https://doi.org/10.1177/0363546504272264","Drogset (2005)")</f>
        <v>Drogset (2005)</v>
      </c>
      <c r="L125" s="1" t="s">
        <v>4</v>
      </c>
    </row>
    <row r="126" spans="1:12" x14ac:dyDescent="0.35">
      <c r="A126">
        <v>141</v>
      </c>
      <c r="B126" t="s">
        <v>945</v>
      </c>
      <c r="C126" t="s">
        <v>946</v>
      </c>
      <c r="D126" t="s">
        <v>947</v>
      </c>
      <c r="E126" t="s">
        <v>948</v>
      </c>
      <c r="F126">
        <v>2018</v>
      </c>
      <c r="G126" t="s">
        <v>949</v>
      </c>
      <c r="H126" t="s">
        <v>950</v>
      </c>
      <c r="I126" t="s">
        <v>951</v>
      </c>
      <c r="J126" t="s">
        <v>952</v>
      </c>
      <c r="K126" s="4" t="str">
        <f>HYPERLINK("https://doi.org/10.1007/s00167-009-0996-5","Drogset (2010)")</f>
        <v>Drogset (2010)</v>
      </c>
      <c r="L126" s="1" t="s">
        <v>4</v>
      </c>
    </row>
    <row r="127" spans="1:12" x14ac:dyDescent="0.35">
      <c r="A127">
        <v>152</v>
      </c>
      <c r="B127" t="s">
        <v>953</v>
      </c>
      <c r="C127" t="s">
        <v>954</v>
      </c>
      <c r="D127" t="s">
        <v>955</v>
      </c>
      <c r="E127" t="s">
        <v>956</v>
      </c>
      <c r="F127">
        <v>2017</v>
      </c>
      <c r="G127" t="s">
        <v>957</v>
      </c>
      <c r="H127" t="s">
        <v>958</v>
      </c>
      <c r="I127" t="s">
        <v>959</v>
      </c>
      <c r="J127" t="s">
        <v>960</v>
      </c>
      <c r="K127" s="4" t="str">
        <f>HYPERLINK("https://doi.org/10.1007/s00167-010-1353-4","Drogset (2011)")</f>
        <v>Drogset (2011)</v>
      </c>
      <c r="L127" s="1" t="s">
        <v>4</v>
      </c>
    </row>
    <row r="128" spans="1:12" x14ac:dyDescent="0.35">
      <c r="A128">
        <v>157</v>
      </c>
      <c r="B128" t="s">
        <v>961</v>
      </c>
      <c r="C128" t="s">
        <v>962</v>
      </c>
      <c r="D128" t="s">
        <v>963</v>
      </c>
      <c r="E128" t="s">
        <v>964</v>
      </c>
      <c r="F128">
        <v>2017</v>
      </c>
      <c r="G128" t="s">
        <v>965</v>
      </c>
      <c r="H128" t="s">
        <v>966</v>
      </c>
      <c r="I128" t="s">
        <v>967</v>
      </c>
      <c r="J128" t="s">
        <v>968</v>
      </c>
      <c r="K128" s="4" t="str">
        <f>HYPERLINK("https://doi.org/10.1016/j.jcot.2024.102865","Duraiswamy (2025)")</f>
        <v>Duraiswamy (2025)</v>
      </c>
      <c r="L128" s="1" t="s">
        <v>4</v>
      </c>
    </row>
    <row r="129" spans="1:12" x14ac:dyDescent="0.35">
      <c r="A129">
        <v>159</v>
      </c>
      <c r="B129" t="s">
        <v>969</v>
      </c>
      <c r="C129" t="s">
        <v>970</v>
      </c>
      <c r="D129" t="s">
        <v>971</v>
      </c>
      <c r="E129" t="s">
        <v>972</v>
      </c>
      <c r="F129">
        <v>2017</v>
      </c>
      <c r="G129" t="s">
        <v>973</v>
      </c>
      <c r="H129" t="s">
        <v>824</v>
      </c>
      <c r="I129" t="s">
        <v>974</v>
      </c>
      <c r="J129" t="s">
        <v>975</v>
      </c>
      <c r="K129" s="4" t="str">
        <f>HYPERLINK("https://doi.org/10.1177/03635465231222279","Ebert (2024)")</f>
        <v>Ebert (2024)</v>
      </c>
      <c r="L129" s="1" t="s">
        <v>4</v>
      </c>
    </row>
    <row r="130" spans="1:12" x14ac:dyDescent="0.35">
      <c r="A130">
        <v>180</v>
      </c>
      <c r="B130" t="s">
        <v>976</v>
      </c>
      <c r="C130" t="s">
        <v>977</v>
      </c>
      <c r="D130" t="s">
        <v>978</v>
      </c>
      <c r="E130" t="s">
        <v>979</v>
      </c>
      <c r="F130">
        <v>2016</v>
      </c>
      <c r="G130" t="s">
        <v>980</v>
      </c>
      <c r="H130" t="s">
        <v>981</v>
      </c>
      <c r="I130" t="s">
        <v>977</v>
      </c>
      <c r="J130" t="s">
        <v>977</v>
      </c>
      <c r="K130" s="4" t="str">
        <f>HYPERLINK("https://doi.org/10.1007/s001670000179","Ejerhed (2001)")</f>
        <v>Ejerhed (2001)</v>
      </c>
      <c r="L130" s="1" t="s">
        <v>4</v>
      </c>
    </row>
    <row r="131" spans="1:12" x14ac:dyDescent="0.35">
      <c r="A131">
        <v>185</v>
      </c>
      <c r="B131" t="s">
        <v>982</v>
      </c>
      <c r="C131" t="s">
        <v>983</v>
      </c>
      <c r="D131" t="s">
        <v>984</v>
      </c>
      <c r="E131" t="s">
        <v>985</v>
      </c>
      <c r="F131">
        <v>2015</v>
      </c>
      <c r="G131" t="s">
        <v>986</v>
      </c>
      <c r="H131" t="s">
        <v>987</v>
      </c>
      <c r="I131" t="s">
        <v>988</v>
      </c>
      <c r="J131" t="s">
        <v>989</v>
      </c>
      <c r="K131" s="4" t="str">
        <f>HYPERLINK("https://doi.org/10.1177/03635465030310011401","Ejerhed (2003)")</f>
        <v>Ejerhed (2003)</v>
      </c>
      <c r="L131" s="1" t="s">
        <v>4</v>
      </c>
    </row>
    <row r="132" spans="1:12" x14ac:dyDescent="0.35">
      <c r="A132">
        <v>192</v>
      </c>
      <c r="B132" t="s">
        <v>990</v>
      </c>
      <c r="C132" t="s">
        <v>991</v>
      </c>
      <c r="D132" t="s">
        <v>992</v>
      </c>
      <c r="E132" t="s">
        <v>993</v>
      </c>
      <c r="F132">
        <v>2015</v>
      </c>
      <c r="G132" t="s">
        <v>994</v>
      </c>
      <c r="H132" t="s">
        <v>995</v>
      </c>
      <c r="I132" t="s">
        <v>996</v>
      </c>
      <c r="J132" t="s">
        <v>997</v>
      </c>
      <c r="K132" s="4" t="str">
        <f>HYPERLINK("https://doi.org/10.1016/j.injury.2023.01.033","El-Azab (2023)")</f>
        <v>El-Azab (2023)</v>
      </c>
      <c r="L132" s="1" t="s">
        <v>4</v>
      </c>
    </row>
    <row r="133" spans="1:12" x14ac:dyDescent="0.35">
      <c r="A133">
        <v>198</v>
      </c>
      <c r="B133" t="s">
        <v>998</v>
      </c>
      <c r="C133" t="s">
        <v>999</v>
      </c>
      <c r="D133" t="s">
        <v>1000</v>
      </c>
      <c r="E133" t="s">
        <v>1001</v>
      </c>
      <c r="F133">
        <v>2014</v>
      </c>
      <c r="G133" t="s">
        <v>1002</v>
      </c>
      <c r="H133" t="s">
        <v>1003</v>
      </c>
      <c r="I133" t="s">
        <v>1004</v>
      </c>
      <c r="J133" t="s">
        <v>1005</v>
      </c>
      <c r="K133" s="4" t="str">
        <f>HYPERLINK("https://doi.org/10.1016/j.apunsm.2025.100507","Elazab (2025)")</f>
        <v>Elazab (2025)</v>
      </c>
    </row>
    <row r="134" spans="1:12" x14ac:dyDescent="0.35">
      <c r="A134">
        <v>199</v>
      </c>
      <c r="B134" t="s">
        <v>1006</v>
      </c>
      <c r="C134" t="s">
        <v>1007</v>
      </c>
      <c r="D134" t="s">
        <v>1008</v>
      </c>
      <c r="E134" t="s">
        <v>1009</v>
      </c>
      <c r="F134">
        <v>2014</v>
      </c>
      <c r="G134" t="s">
        <v>1010</v>
      </c>
      <c r="H134" t="s">
        <v>1011</v>
      </c>
      <c r="I134" t="s">
        <v>1012</v>
      </c>
      <c r="J134" t="s">
        <v>1013</v>
      </c>
      <c r="K134" s="4" t="str">
        <f>HYPERLINK("https://doi.org/10.1177/2325967118808778","Elveos (2018)")</f>
        <v>Elveos (2018)</v>
      </c>
    </row>
    <row r="135" spans="1:12" x14ac:dyDescent="0.35">
      <c r="A135">
        <v>200</v>
      </c>
      <c r="B135" t="s">
        <v>1014</v>
      </c>
      <c r="C135" t="s">
        <v>1015</v>
      </c>
      <c r="D135" t="s">
        <v>1016</v>
      </c>
      <c r="E135" t="s">
        <v>1017</v>
      </c>
      <c r="F135">
        <v>2014</v>
      </c>
      <c r="G135" t="s">
        <v>1018</v>
      </c>
      <c r="H135" t="s">
        <v>1019</v>
      </c>
      <c r="I135" t="s">
        <v>1020</v>
      </c>
      <c r="J135" t="s">
        <v>1021</v>
      </c>
      <c r="K135" s="4" t="str">
        <f>HYPERLINK("https://doi.org/10.1016/j.arthro.2009.05.016","Endele (2009)")</f>
        <v>Endele (2009)</v>
      </c>
      <c r="L135" s="1" t="s">
        <v>4</v>
      </c>
    </row>
    <row r="136" spans="1:12" x14ac:dyDescent="0.35">
      <c r="A136">
        <v>217</v>
      </c>
      <c r="B136" t="s">
        <v>1022</v>
      </c>
      <c r="C136" t="s">
        <v>434</v>
      </c>
      <c r="D136" t="s">
        <v>435</v>
      </c>
      <c r="E136" t="s">
        <v>1023</v>
      </c>
      <c r="F136">
        <v>2012</v>
      </c>
      <c r="G136" t="s">
        <v>1024</v>
      </c>
      <c r="H136" t="s">
        <v>438</v>
      </c>
      <c r="I136" t="s">
        <v>439</v>
      </c>
      <c r="J136" t="s">
        <v>440</v>
      </c>
      <c r="K136" s="4" t="str">
        <f>HYPERLINK("https://doi.org/10.1177/036354659001800605","Engebretsen (1990)")</f>
        <v>Engebretsen (1990)</v>
      </c>
      <c r="L136" s="1" t="s">
        <v>7</v>
      </c>
    </row>
    <row r="137" spans="1:12" x14ac:dyDescent="0.35">
      <c r="A137">
        <v>225</v>
      </c>
      <c r="B137" t="s">
        <v>1025</v>
      </c>
      <c r="C137" t="s">
        <v>1026</v>
      </c>
      <c r="D137" t="s">
        <v>1027</v>
      </c>
      <c r="E137" t="s">
        <v>1028</v>
      </c>
      <c r="F137">
        <v>2012</v>
      </c>
      <c r="G137" t="s">
        <v>1029</v>
      </c>
      <c r="H137" t="s">
        <v>1030</v>
      </c>
      <c r="I137" t="s">
        <v>1031</v>
      </c>
      <c r="J137" t="s">
        <v>1032</v>
      </c>
      <c r="K137" s="4" t="str">
        <f>HYPERLINK("https://doi.org/10.5606/ehc.2020.78201","Erden (2021)")</f>
        <v>Erden (2021)</v>
      </c>
      <c r="L137" s="1" t="s">
        <v>7</v>
      </c>
    </row>
    <row r="138" spans="1:12" x14ac:dyDescent="0.35">
      <c r="A138">
        <v>230</v>
      </c>
      <c r="B138" t="s">
        <v>1033</v>
      </c>
      <c r="C138" t="s">
        <v>1034</v>
      </c>
      <c r="D138" t="s">
        <v>1035</v>
      </c>
      <c r="E138" t="s">
        <v>1036</v>
      </c>
      <c r="F138">
        <v>2011</v>
      </c>
      <c r="G138" t="s">
        <v>1037</v>
      </c>
      <c r="H138" t="s">
        <v>1038</v>
      </c>
      <c r="I138" t="s">
        <v>1039</v>
      </c>
      <c r="J138" t="s">
        <v>1040</v>
      </c>
      <c r="K138" s="4" t="str">
        <f>HYPERLINK("https://doi.org/10.1302/0301-620x.83b3.11685","Eriksson (2001)")</f>
        <v>Eriksson (2001)</v>
      </c>
      <c r="L138" s="1" t="s">
        <v>4</v>
      </c>
    </row>
    <row r="139" spans="1:12" x14ac:dyDescent="0.35">
      <c r="A139">
        <v>252</v>
      </c>
      <c r="B139" t="s">
        <v>1041</v>
      </c>
      <c r="C139" t="s">
        <v>1042</v>
      </c>
      <c r="D139" t="s">
        <v>1043</v>
      </c>
      <c r="E139" t="s">
        <v>1044</v>
      </c>
      <c r="F139">
        <v>2009</v>
      </c>
      <c r="G139" t="s">
        <v>1045</v>
      </c>
      <c r="H139" t="s">
        <v>987</v>
      </c>
      <c r="I139" t="s">
        <v>1046</v>
      </c>
      <c r="J139" t="s">
        <v>1047</v>
      </c>
      <c r="K139" s="4" t="str">
        <f>HYPERLINK("https://doi.org/10.1302/0301-620X.83B3.11685","Eriksson (2001)")</f>
        <v>Eriksson (2001)</v>
      </c>
    </row>
    <row r="140" spans="1:12" x14ac:dyDescent="0.35">
      <c r="A140">
        <v>259</v>
      </c>
      <c r="B140" t="s">
        <v>1048</v>
      </c>
      <c r="C140" t="s">
        <v>1049</v>
      </c>
      <c r="D140" t="s">
        <v>1050</v>
      </c>
      <c r="E140" t="s">
        <v>1051</v>
      </c>
      <c r="F140">
        <v>2008</v>
      </c>
      <c r="G140" t="s">
        <v>1052</v>
      </c>
      <c r="H140" t="s">
        <v>1053</v>
      </c>
      <c r="I140" t="s">
        <v>1054</v>
      </c>
      <c r="J140" t="s">
        <v>1055</v>
      </c>
      <c r="K140" s="4" t="str">
        <f>HYPERLINK("https://doi.org/10.1007/s00590-022-03406-9","Fares (2023)")</f>
        <v>Fares (2023)</v>
      </c>
      <c r="L140" s="1" t="s">
        <v>7</v>
      </c>
    </row>
    <row r="141" spans="1:12" x14ac:dyDescent="0.35">
      <c r="A141">
        <v>295</v>
      </c>
      <c r="B141" t="s">
        <v>1056</v>
      </c>
      <c r="C141" t="s">
        <v>1057</v>
      </c>
      <c r="D141" t="s">
        <v>1058</v>
      </c>
      <c r="E141" t="s">
        <v>1059</v>
      </c>
      <c r="F141">
        <v>2004</v>
      </c>
      <c r="G141" t="s">
        <v>1060</v>
      </c>
      <c r="H141" t="s">
        <v>1061</v>
      </c>
      <c r="I141" t="s">
        <v>1062</v>
      </c>
      <c r="J141" t="s">
        <v>1063</v>
      </c>
      <c r="K141" s="4" t="str">
        <f>HYPERLINK("https://doi.org/10.1016/j.arthro.2005.08.023","Fauno (2005)")</f>
        <v>Fauno (2005)</v>
      </c>
    </row>
    <row r="142" spans="1:12" x14ac:dyDescent="0.35">
      <c r="A142">
        <v>306</v>
      </c>
      <c r="B142" t="s">
        <v>1064</v>
      </c>
      <c r="C142" t="s">
        <v>1065</v>
      </c>
      <c r="D142" t="s">
        <v>1066</v>
      </c>
      <c r="E142" t="s">
        <v>1067</v>
      </c>
      <c r="F142">
        <v>2001</v>
      </c>
      <c r="G142" t="s">
        <v>1068</v>
      </c>
      <c r="H142" t="s">
        <v>658</v>
      </c>
      <c r="I142" t="s">
        <v>659</v>
      </c>
      <c r="J142" t="s">
        <v>660</v>
      </c>
      <c r="K142" s="4" t="str">
        <f>HYPERLINK("https://doi.org/10.1177/0363546510396180","Feil (2011)")</f>
        <v>Feil (2011)</v>
      </c>
    </row>
    <row r="143" spans="1:12" x14ac:dyDescent="0.35">
      <c r="A143">
        <v>12</v>
      </c>
      <c r="B143" t="s">
        <v>1069</v>
      </c>
      <c r="C143" t="s">
        <v>1070</v>
      </c>
      <c r="D143" t="s">
        <v>1071</v>
      </c>
      <c r="E143" t="s">
        <v>1072</v>
      </c>
      <c r="F143">
        <v>2025</v>
      </c>
      <c r="G143" t="s">
        <v>1073</v>
      </c>
      <c r="H143" t="s">
        <v>1074</v>
      </c>
      <c r="I143" t="s">
        <v>1075</v>
      </c>
      <c r="J143" t="s">
        <v>1076</v>
      </c>
      <c r="K143" s="4" t="str">
        <f>HYPERLINK("https://doi.org/10.1007/s001670050016","Feller (1997)")</f>
        <v>Feller (1997)</v>
      </c>
      <c r="L143" s="1" t="s">
        <v>4</v>
      </c>
    </row>
    <row r="144" spans="1:12" x14ac:dyDescent="0.35">
      <c r="A144">
        <v>14</v>
      </c>
      <c r="B144" t="s">
        <v>1077</v>
      </c>
      <c r="C144" t="s">
        <v>1078</v>
      </c>
      <c r="D144" t="s">
        <v>1079</v>
      </c>
      <c r="E144" t="s">
        <v>1080</v>
      </c>
      <c r="F144">
        <v>2025</v>
      </c>
      <c r="G144" t="s">
        <v>1081</v>
      </c>
      <c r="H144" t="s">
        <v>1082</v>
      </c>
      <c r="I144" t="s">
        <v>1083</v>
      </c>
      <c r="J144" t="s">
        <v>1084</v>
      </c>
      <c r="K144" s="4" t="str">
        <f>HYPERLINK("https://doi.org/10.1007/s001670100216","Feller (2001)")</f>
        <v>Feller (2001)</v>
      </c>
      <c r="L144" s="1" t="s">
        <v>4</v>
      </c>
    </row>
    <row r="145" spans="1:12" x14ac:dyDescent="0.35">
      <c r="A145">
        <v>16</v>
      </c>
      <c r="B145" t="s">
        <v>1085</v>
      </c>
      <c r="C145" t="s">
        <v>1086</v>
      </c>
      <c r="D145" t="s">
        <v>1087</v>
      </c>
      <c r="E145" t="s">
        <v>1088</v>
      </c>
      <c r="F145">
        <v>2024</v>
      </c>
      <c r="G145" t="s">
        <v>1089</v>
      </c>
      <c r="H145" t="s">
        <v>1090</v>
      </c>
      <c r="I145" t="s">
        <v>1091</v>
      </c>
      <c r="J145" t="s">
        <v>1092</v>
      </c>
      <c r="K145" s="4" t="str">
        <f>HYPERLINK("https://doi.org/10.1177/03635465030310041501","Feller (2003)")</f>
        <v>Feller (2003)</v>
      </c>
      <c r="L145" s="1" t="s">
        <v>4</v>
      </c>
    </row>
    <row r="146" spans="1:12" x14ac:dyDescent="0.35">
      <c r="A146">
        <v>19</v>
      </c>
      <c r="B146" t="s">
        <v>1093</v>
      </c>
      <c r="C146" t="s">
        <v>1094</v>
      </c>
      <c r="D146" t="s">
        <v>1095</v>
      </c>
      <c r="E146" t="s">
        <v>1096</v>
      </c>
      <c r="F146">
        <v>2024</v>
      </c>
      <c r="G146" t="s">
        <v>1097</v>
      </c>
      <c r="H146" t="s">
        <v>1098</v>
      </c>
      <c r="I146" t="s">
        <v>1099</v>
      </c>
      <c r="J146" t="s">
        <v>1100</v>
      </c>
      <c r="K146" s="4" t="str">
        <f>HYPERLINK("https://doi.org/10.1007/s00167-011-1585-y","Fernandes (2012)")</f>
        <v>Fernandes (2012)</v>
      </c>
      <c r="L146" s="1" t="s">
        <v>7</v>
      </c>
    </row>
    <row r="147" spans="1:12" x14ac:dyDescent="0.35">
      <c r="A147">
        <v>23</v>
      </c>
      <c r="B147" t="s">
        <v>1101</v>
      </c>
      <c r="C147" t="s">
        <v>1102</v>
      </c>
      <c r="D147" t="s">
        <v>1103</v>
      </c>
      <c r="E147" t="s">
        <v>1104</v>
      </c>
      <c r="F147">
        <v>2024</v>
      </c>
      <c r="G147" t="s">
        <v>1105</v>
      </c>
      <c r="H147" t="s">
        <v>1098</v>
      </c>
      <c r="I147" t="s">
        <v>1106</v>
      </c>
      <c r="J147" t="s">
        <v>1107</v>
      </c>
      <c r="K147" s="4" t="str">
        <f>HYPERLINK("https://doi.org/10.1016/j.arthro.2008.02.010","Ferretti (2008)")</f>
        <v>Ferretti (2008)</v>
      </c>
      <c r="L147" s="1" t="s">
        <v>4</v>
      </c>
    </row>
    <row r="148" spans="1:12" x14ac:dyDescent="0.35">
      <c r="A148">
        <v>71</v>
      </c>
      <c r="B148" t="s">
        <v>1108</v>
      </c>
      <c r="C148" t="s">
        <v>1109</v>
      </c>
      <c r="D148" t="s">
        <v>1110</v>
      </c>
      <c r="E148" t="s">
        <v>1111</v>
      </c>
      <c r="F148">
        <v>2018</v>
      </c>
      <c r="G148" t="s">
        <v>1112</v>
      </c>
      <c r="H148" t="s">
        <v>1113</v>
      </c>
      <c r="I148" t="s">
        <v>1114</v>
      </c>
      <c r="J148" t="s">
        <v>1115</v>
      </c>
      <c r="K148" s="4" t="str">
        <f>HYPERLINK("https://doi.org/10.1053/jars.2000.4633","Fink (2000)")</f>
        <v>Fink (2000)</v>
      </c>
      <c r="L148" s="1" t="s">
        <v>4</v>
      </c>
    </row>
    <row r="149" spans="1:12" x14ac:dyDescent="0.35">
      <c r="A149">
        <v>74</v>
      </c>
      <c r="B149" t="s">
        <v>1116</v>
      </c>
      <c r="C149" t="s">
        <v>1117</v>
      </c>
      <c r="D149" t="s">
        <v>1118</v>
      </c>
      <c r="E149" t="s">
        <v>1119</v>
      </c>
      <c r="F149">
        <v>2017</v>
      </c>
      <c r="G149" t="s">
        <v>1120</v>
      </c>
      <c r="H149" t="s">
        <v>453</v>
      </c>
      <c r="I149" t="s">
        <v>1121</v>
      </c>
      <c r="J149" t="s">
        <v>1122</v>
      </c>
      <c r="K149" s="4" t="str">
        <f>HYPERLINK("https://doi.org/10.1002/jeo2.70460","Firoozabadi (2025)")</f>
        <v>Firoozabadi (2025)</v>
      </c>
    </row>
    <row r="150" spans="1:12" x14ac:dyDescent="0.35">
      <c r="A150">
        <v>100</v>
      </c>
      <c r="B150" t="s">
        <v>1123</v>
      </c>
      <c r="C150" t="s">
        <v>1124</v>
      </c>
      <c r="D150" t="s">
        <v>1125</v>
      </c>
      <c r="E150" t="s">
        <v>1126</v>
      </c>
      <c r="F150">
        <v>2002</v>
      </c>
      <c r="G150" t="s">
        <v>1127</v>
      </c>
      <c r="H150" t="s">
        <v>1128</v>
      </c>
      <c r="I150" t="s">
        <v>1129</v>
      </c>
      <c r="J150" t="s">
        <v>1130</v>
      </c>
      <c r="K150" s="4" t="str">
        <f>HYPERLINK("https://doi.org/10.1177/03635465211061150","Firth (2022)")</f>
        <v>Firth (2022)</v>
      </c>
      <c r="L150" s="1" t="s">
        <v>4</v>
      </c>
    </row>
    <row r="151" spans="1:12" x14ac:dyDescent="0.35">
      <c r="A151">
        <v>107</v>
      </c>
      <c r="B151" t="s">
        <v>1131</v>
      </c>
      <c r="C151" t="s">
        <v>1132</v>
      </c>
      <c r="D151" t="s">
        <v>1133</v>
      </c>
      <c r="E151" t="s">
        <v>1134</v>
      </c>
      <c r="F151">
        <v>1985</v>
      </c>
      <c r="G151" t="s">
        <v>1135</v>
      </c>
      <c r="H151" t="s">
        <v>1136</v>
      </c>
      <c r="I151" t="s">
        <v>1137</v>
      </c>
      <c r="J151" t="s">
        <v>1138</v>
      </c>
      <c r="K151" s="4" t="str">
        <f>HYPERLINK("https://doi.org/10.1177/0363546504269590","Fithian (2005)")</f>
        <v>Fithian (2005)</v>
      </c>
      <c r="L151" s="1" t="s">
        <v>7</v>
      </c>
    </row>
    <row r="152" spans="1:12" x14ac:dyDescent="0.35">
      <c r="A152">
        <v>4</v>
      </c>
      <c r="B152" t="s">
        <v>1139</v>
      </c>
      <c r="C152" t="s">
        <v>1140</v>
      </c>
      <c r="D152" t="s">
        <v>1141</v>
      </c>
      <c r="E152" t="s">
        <v>1142</v>
      </c>
      <c r="F152">
        <v>2024</v>
      </c>
      <c r="G152" t="s">
        <v>1143</v>
      </c>
      <c r="H152" t="s">
        <v>1144</v>
      </c>
      <c r="I152" t="s">
        <v>1145</v>
      </c>
      <c r="J152" t="s">
        <v>1146</v>
      </c>
      <c r="K152" s="4" t="str">
        <f>HYPERLINK("https://doi.org/10.1177/0363546512464200","Fleming (2013)")</f>
        <v>Fleming (2013)</v>
      </c>
    </row>
    <row r="153" spans="1:12" x14ac:dyDescent="0.35">
      <c r="A153">
        <v>9</v>
      </c>
      <c r="B153" t="s">
        <v>1147</v>
      </c>
      <c r="C153" t="s">
        <v>1148</v>
      </c>
      <c r="D153" t="s">
        <v>1149</v>
      </c>
      <c r="E153" t="s">
        <v>1150</v>
      </c>
      <c r="F153">
        <v>2022</v>
      </c>
      <c r="G153" t="s">
        <v>1151</v>
      </c>
      <c r="H153" t="s">
        <v>1152</v>
      </c>
      <c r="I153" t="s">
        <v>1153</v>
      </c>
      <c r="J153" t="s">
        <v>1154</v>
      </c>
      <c r="K153" s="4" t="str">
        <f>HYPERLINK("https://doi.org/10.1002/jor.24794","Fleming (2021)")</f>
        <v>Fleming (2021)</v>
      </c>
      <c r="L153" s="1" t="s">
        <v>4</v>
      </c>
    </row>
    <row r="154" spans="1:12" x14ac:dyDescent="0.35">
      <c r="A154">
        <v>2</v>
      </c>
      <c r="B154" t="s">
        <v>1155</v>
      </c>
      <c r="C154" t="s">
        <v>1156</v>
      </c>
      <c r="D154" t="s">
        <v>1157</v>
      </c>
      <c r="E154" t="s">
        <v>1158</v>
      </c>
      <c r="F154">
        <v>2013</v>
      </c>
      <c r="G154" t="s">
        <v>1159</v>
      </c>
      <c r="H154" t="s">
        <v>1160</v>
      </c>
      <c r="I154" t="s">
        <v>1161</v>
      </c>
      <c r="J154" t="s">
        <v>1162</v>
      </c>
      <c r="K154" s="4" t="str">
        <f>HYPERLINK("https://doi.org/10.1007/s001130050634","Fremerey (2000)")</f>
        <v>Fremerey (2000)</v>
      </c>
      <c r="L154" s="1" t="s">
        <v>7</v>
      </c>
    </row>
    <row r="155" spans="1:12" x14ac:dyDescent="0.35">
      <c r="A155">
        <v>2</v>
      </c>
      <c r="B155" t="s">
        <v>1163</v>
      </c>
      <c r="C155" t="s">
        <v>1164</v>
      </c>
      <c r="D155" t="s">
        <v>1165</v>
      </c>
      <c r="E155" t="s">
        <v>1166</v>
      </c>
      <c r="F155">
        <v>2018</v>
      </c>
      <c r="G155" t="s">
        <v>1167</v>
      </c>
      <c r="H155" t="s">
        <v>1168</v>
      </c>
      <c r="I155" t="s">
        <v>1169</v>
      </c>
      <c r="J155" t="s">
        <v>1170</v>
      </c>
      <c r="K155" s="4" t="str">
        <f>HYPERLINK("https://doi.org/10.1056/NEJMoa0907797","Frobell (2010)")</f>
        <v>Frobell (2010)</v>
      </c>
    </row>
    <row r="156" spans="1:12" x14ac:dyDescent="0.35">
      <c r="A156">
        <v>64</v>
      </c>
      <c r="B156" t="s">
        <v>1171</v>
      </c>
      <c r="C156" t="s">
        <v>1172</v>
      </c>
      <c r="D156" t="s">
        <v>1173</v>
      </c>
      <c r="E156" t="s">
        <v>1174</v>
      </c>
      <c r="F156">
        <v>2005</v>
      </c>
      <c r="G156" t="s">
        <v>1175</v>
      </c>
      <c r="H156" t="s">
        <v>1176</v>
      </c>
      <c r="I156" t="s">
        <v>1177</v>
      </c>
      <c r="J156" t="s">
        <v>1178</v>
      </c>
      <c r="K156" s="7" t="str">
        <f>HYPERLINK("https://doi.org/10.1177/0363546513476473","Fu (2013)")</f>
        <v>Fu (2013)</v>
      </c>
      <c r="L156" s="8" t="s">
        <v>7</v>
      </c>
    </row>
    <row r="157" spans="1:12" x14ac:dyDescent="0.35">
      <c r="A157">
        <v>68</v>
      </c>
      <c r="B157" t="s">
        <v>1179</v>
      </c>
      <c r="C157" t="s">
        <v>1180</v>
      </c>
      <c r="D157" t="s">
        <v>1181</v>
      </c>
      <c r="E157" t="s">
        <v>1182</v>
      </c>
      <c r="F157">
        <v>2017</v>
      </c>
      <c r="G157" t="s">
        <v>1183</v>
      </c>
      <c r="H157" t="s">
        <v>624</v>
      </c>
      <c r="I157" t="s">
        <v>1184</v>
      </c>
      <c r="J157" t="s">
        <v>1185</v>
      </c>
      <c r="K157" s="4" t="str">
        <f>HYPERLINK("https://doi.org/10.1002/ksa.70170","Fu (2025)")</f>
        <v>Fu (2025)</v>
      </c>
      <c r="L157" s="1" t="s">
        <v>4</v>
      </c>
    </row>
    <row r="158" spans="1:12" x14ac:dyDescent="0.35">
      <c r="A158">
        <v>17</v>
      </c>
      <c r="B158" t="s">
        <v>1186</v>
      </c>
      <c r="C158" t="s">
        <v>1187</v>
      </c>
      <c r="D158" t="s">
        <v>1188</v>
      </c>
      <c r="E158" t="s">
        <v>1189</v>
      </c>
      <c r="F158">
        <v>2015</v>
      </c>
      <c r="G158" t="s">
        <v>1190</v>
      </c>
      <c r="H158" t="s">
        <v>1191</v>
      </c>
      <c r="I158" t="s">
        <v>1192</v>
      </c>
      <c r="J158" t="s">
        <v>1193</v>
      </c>
      <c r="K158" s="4" t="str">
        <f>HYPERLINK("https://doi.org/10.1016/j.arthro.2011.02.015","Fujita (2011)")</f>
        <v>Fujita (2011)</v>
      </c>
      <c r="L158" s="1" t="s">
        <v>4</v>
      </c>
    </row>
    <row r="159" spans="1:12" x14ac:dyDescent="0.35">
      <c r="A159">
        <v>20</v>
      </c>
      <c r="B159" t="s">
        <v>1194</v>
      </c>
      <c r="C159" t="s">
        <v>1195</v>
      </c>
      <c r="D159" t="s">
        <v>1196</v>
      </c>
      <c r="E159" t="s">
        <v>1197</v>
      </c>
      <c r="F159">
        <v>2017</v>
      </c>
      <c r="G159" t="s">
        <v>1198</v>
      </c>
      <c r="H159" t="s">
        <v>1199</v>
      </c>
      <c r="I159" t="s">
        <v>1200</v>
      </c>
      <c r="J159" t="s">
        <v>1201</v>
      </c>
      <c r="K159" s="7" t="str">
        <f>HYPERLINK("https://doi.org/10.1177/0363546513476482","Fukuda (2013)")</f>
        <v>Fukuda (2013)</v>
      </c>
      <c r="L159" s="8" t="s">
        <v>7</v>
      </c>
    </row>
    <row r="160" spans="1:12" x14ac:dyDescent="0.35">
      <c r="A160">
        <v>25</v>
      </c>
      <c r="B160" t="s">
        <v>1202</v>
      </c>
      <c r="C160" t="s">
        <v>1203</v>
      </c>
      <c r="D160" t="s">
        <v>1204</v>
      </c>
      <c r="E160" t="s">
        <v>1174</v>
      </c>
      <c r="F160">
        <v>2018</v>
      </c>
      <c r="G160" t="s">
        <v>1205</v>
      </c>
      <c r="H160" t="s">
        <v>1160</v>
      </c>
      <c r="I160" t="s">
        <v>1206</v>
      </c>
      <c r="J160" t="s">
        <v>1207</v>
      </c>
      <c r="K160" s="4" t="str">
        <f>HYPERLINK("https://doi.org/10.1007/s001670050142","Gebhard (1999)")</f>
        <v>Gebhard (1999)</v>
      </c>
      <c r="L160" s="1" t="s">
        <v>7</v>
      </c>
    </row>
    <row r="161" spans="1:12" x14ac:dyDescent="0.35">
      <c r="A161">
        <v>71</v>
      </c>
      <c r="B161" t="s">
        <v>1208</v>
      </c>
      <c r="C161" t="s">
        <v>1209</v>
      </c>
      <c r="D161" t="s">
        <v>1210</v>
      </c>
      <c r="E161" t="s">
        <v>1211</v>
      </c>
      <c r="F161">
        <v>2023</v>
      </c>
      <c r="G161" t="s">
        <v>1212</v>
      </c>
      <c r="H161" t="s">
        <v>1213</v>
      </c>
      <c r="I161" t="s">
        <v>1214</v>
      </c>
      <c r="J161" t="s">
        <v>1215</v>
      </c>
      <c r="K161" s="4" t="str">
        <f>HYPERLINK("https://doi.org/10.1007/s001670050052","Gerich (1997)")</f>
        <v>Gerich (1997)</v>
      </c>
      <c r="L161" s="1" t="s">
        <v>4</v>
      </c>
    </row>
    <row r="162" spans="1:12" x14ac:dyDescent="0.35">
      <c r="A162">
        <v>73</v>
      </c>
      <c r="B162" t="s">
        <v>1216</v>
      </c>
      <c r="C162" t="s">
        <v>1217</v>
      </c>
      <c r="D162" t="s">
        <v>1218</v>
      </c>
      <c r="E162" t="s">
        <v>1219</v>
      </c>
      <c r="F162">
        <v>2018</v>
      </c>
      <c r="G162" t="s">
        <v>1220</v>
      </c>
      <c r="H162" t="s">
        <v>1221</v>
      </c>
      <c r="I162" t="s">
        <v>1222</v>
      </c>
      <c r="J162" t="s">
        <v>1223</v>
      </c>
      <c r="K162" s="4" t="str">
        <f>HYPERLINK("https://doi.org/10.1007/s001130050308","Gerich (1998)")</f>
        <v>Gerich (1998)</v>
      </c>
      <c r="L162" s="1" t="s">
        <v>4</v>
      </c>
    </row>
    <row r="163" spans="1:12" x14ac:dyDescent="0.35">
      <c r="A163">
        <v>86</v>
      </c>
      <c r="B163" t="s">
        <v>1224</v>
      </c>
      <c r="C163" t="s">
        <v>1225</v>
      </c>
      <c r="D163" t="s">
        <v>1226</v>
      </c>
      <c r="E163" t="s">
        <v>1227</v>
      </c>
      <c r="F163">
        <v>2025</v>
      </c>
      <c r="G163" t="s">
        <v>1228</v>
      </c>
      <c r="H163" t="s">
        <v>1229</v>
      </c>
      <c r="I163" t="s">
        <v>1230</v>
      </c>
      <c r="J163" t="s">
        <v>1231</v>
      </c>
      <c r="K163" s="4" t="str">
        <f>HYPERLINK("https://doi.org/10.1186/s12891-019-2589-x","Getgood (2019)")</f>
        <v>Getgood (2019)</v>
      </c>
      <c r="L163" s="1" t="s">
        <v>4</v>
      </c>
    </row>
    <row r="164" spans="1:12" x14ac:dyDescent="0.35">
      <c r="A164">
        <v>88</v>
      </c>
      <c r="B164" t="s">
        <v>1232</v>
      </c>
      <c r="C164" t="s">
        <v>1233</v>
      </c>
      <c r="D164" t="s">
        <v>1234</v>
      </c>
      <c r="E164" t="s">
        <v>1235</v>
      </c>
      <c r="F164">
        <v>2024</v>
      </c>
      <c r="G164" t="s">
        <v>1236</v>
      </c>
      <c r="H164" t="s">
        <v>1237</v>
      </c>
      <c r="I164" t="s">
        <v>1238</v>
      </c>
      <c r="J164" t="s">
        <v>1239</v>
      </c>
      <c r="K164" s="4" t="str">
        <f>HYPERLINK("https://doi.org/10.1177/0363546519896333","Getgood (2020)")</f>
        <v>Getgood (2020)</v>
      </c>
      <c r="L164" s="1" t="s">
        <v>4</v>
      </c>
    </row>
    <row r="165" spans="1:12" x14ac:dyDescent="0.35">
      <c r="A165">
        <v>101</v>
      </c>
      <c r="B165" t="s">
        <v>1240</v>
      </c>
      <c r="C165" t="s">
        <v>1241</v>
      </c>
      <c r="D165" t="s">
        <v>1242</v>
      </c>
      <c r="E165" t="s">
        <v>1243</v>
      </c>
      <c r="F165">
        <v>2017</v>
      </c>
      <c r="G165" t="s">
        <v>1244</v>
      </c>
      <c r="H165" t="s">
        <v>1245</v>
      </c>
      <c r="I165" t="s">
        <v>1246</v>
      </c>
      <c r="J165" t="s">
        <v>1247</v>
      </c>
      <c r="K165" s="4" t="str">
        <f>HYPERLINK("https://doi.org/10.1016/j.csm.2023.08.005","Getgood (2024)")</f>
        <v>Getgood (2024)</v>
      </c>
      <c r="L165" s="1" t="s">
        <v>7</v>
      </c>
    </row>
    <row r="166" spans="1:12" x14ac:dyDescent="0.35">
      <c r="A166">
        <v>102</v>
      </c>
      <c r="B166" t="s">
        <v>1248</v>
      </c>
      <c r="C166" t="s">
        <v>1249</v>
      </c>
      <c r="D166" t="s">
        <v>1250</v>
      </c>
      <c r="E166" t="s">
        <v>1189</v>
      </c>
      <c r="F166">
        <v>2018</v>
      </c>
      <c r="G166" t="s">
        <v>1251</v>
      </c>
      <c r="H166" t="s">
        <v>1252</v>
      </c>
      <c r="I166" t="s">
        <v>1253</v>
      </c>
      <c r="J166" t="s">
        <v>1254</v>
      </c>
      <c r="K166" s="4" t="str">
        <f>HYPERLINK("https://doi.org/10.1186/s13102-021-00275-3","Ghaderi (2021)")</f>
        <v>Ghaderi (2021)</v>
      </c>
    </row>
    <row r="167" spans="1:12" x14ac:dyDescent="0.35">
      <c r="A167">
        <v>1</v>
      </c>
      <c r="B167" t="s">
        <v>1255</v>
      </c>
      <c r="C167" t="s">
        <v>1256</v>
      </c>
      <c r="D167" t="s">
        <v>1257</v>
      </c>
      <c r="E167" t="s">
        <v>1258</v>
      </c>
      <c r="F167">
        <v>2019</v>
      </c>
      <c r="G167" t="s">
        <v>1259</v>
      </c>
      <c r="H167" t="s">
        <v>1168</v>
      </c>
      <c r="I167" t="s">
        <v>1260</v>
      </c>
      <c r="J167" t="s">
        <v>1261</v>
      </c>
      <c r="K167" s="4" t="str">
        <f>HYPERLINK("https://doi.org/10.1016/j.knee.2009.09.008","Ghalayini (2010)")</f>
        <v>Ghalayini (2010)</v>
      </c>
      <c r="L167" s="1" t="s">
        <v>4</v>
      </c>
    </row>
    <row r="168" spans="1:12" x14ac:dyDescent="0.35">
      <c r="A168">
        <v>15</v>
      </c>
      <c r="B168" t="s">
        <v>1262</v>
      </c>
      <c r="C168" t="s">
        <v>1263</v>
      </c>
      <c r="D168" t="s">
        <v>1264</v>
      </c>
      <c r="E168" t="s">
        <v>1189</v>
      </c>
      <c r="F168">
        <v>2025</v>
      </c>
      <c r="G168" t="s">
        <v>1265</v>
      </c>
      <c r="H168" t="s">
        <v>1266</v>
      </c>
      <c r="I168" t="s">
        <v>1267</v>
      </c>
      <c r="J168" t="s">
        <v>1268</v>
      </c>
      <c r="K168" s="4" t="str">
        <f>HYPERLINK("https://doi.org/10.1007/s00167-012-1947-0","Gifstad (2013)")</f>
        <v>Gifstad (2013)</v>
      </c>
      <c r="L168" s="1" t="s">
        <v>4</v>
      </c>
    </row>
    <row r="169" spans="1:12" x14ac:dyDescent="0.35">
      <c r="A169">
        <v>24</v>
      </c>
      <c r="B169" t="s">
        <v>1269</v>
      </c>
      <c r="C169" t="s">
        <v>1270</v>
      </c>
      <c r="D169" t="s">
        <v>1271</v>
      </c>
      <c r="E169" t="s">
        <v>1272</v>
      </c>
      <c r="F169">
        <v>2022</v>
      </c>
      <c r="G169" t="s">
        <v>1273</v>
      </c>
      <c r="H169" t="s">
        <v>729</v>
      </c>
      <c r="I169" t="s">
        <v>1274</v>
      </c>
      <c r="J169" t="s">
        <v>1275</v>
      </c>
      <c r="K169" s="4" t="str">
        <f>HYPERLINK("https://doi.org/10.1007/s00167-013-2652-3","Gifstad (2014)")</f>
        <v>Gifstad (2014)</v>
      </c>
      <c r="L169" s="1" t="s">
        <v>4</v>
      </c>
    </row>
    <row r="170" spans="1:12" x14ac:dyDescent="0.35">
      <c r="A170">
        <v>31</v>
      </c>
      <c r="B170" t="s">
        <v>1276</v>
      </c>
      <c r="C170" t="s">
        <v>1277</v>
      </c>
      <c r="D170" t="s">
        <v>1278</v>
      </c>
      <c r="E170" t="s">
        <v>1279</v>
      </c>
      <c r="F170">
        <v>2014</v>
      </c>
      <c r="G170" t="s">
        <v>1280</v>
      </c>
      <c r="H170" t="s">
        <v>1281</v>
      </c>
      <c r="I170" t="s">
        <v>1282</v>
      </c>
      <c r="J170" t="s">
        <v>1283</v>
      </c>
      <c r="K170" s="4" t="str">
        <f>HYPERLINK("https://doi.org/10.1016/s0749-8063(88)80003-3","Gillquist (1988)")</f>
        <v>Gillquist (1988)</v>
      </c>
      <c r="L170" s="1" t="s">
        <v>7</v>
      </c>
    </row>
    <row r="171" spans="1:12" x14ac:dyDescent="0.35">
      <c r="A171">
        <v>0</v>
      </c>
      <c r="B171" t="s">
        <v>1284</v>
      </c>
      <c r="C171" t="s">
        <v>1285</v>
      </c>
      <c r="D171" t="s">
        <v>1286</v>
      </c>
      <c r="E171" t="s">
        <v>130</v>
      </c>
      <c r="F171">
        <v>2024</v>
      </c>
      <c r="G171" t="s">
        <v>1287</v>
      </c>
      <c r="H171" t="s">
        <v>1288</v>
      </c>
      <c r="I171" t="s">
        <v>1289</v>
      </c>
      <c r="J171" t="s">
        <v>1290</v>
      </c>
      <c r="K171" s="4" t="str">
        <f>HYPERLINK("https://doi.org/10.1016/s0035-1040(06)75947-5","Giraud (2006)")</f>
        <v>Giraud (2006)</v>
      </c>
      <c r="L171" s="1" t="s">
        <v>7</v>
      </c>
    </row>
    <row r="172" spans="1:12" x14ac:dyDescent="0.35">
      <c r="A172">
        <v>1</v>
      </c>
      <c r="B172" t="s">
        <v>1291</v>
      </c>
      <c r="C172" t="s">
        <v>1292</v>
      </c>
      <c r="D172" t="s">
        <v>1293</v>
      </c>
      <c r="E172" t="s">
        <v>1294</v>
      </c>
      <c r="F172">
        <v>2023</v>
      </c>
      <c r="G172" t="s">
        <v>1295</v>
      </c>
      <c r="H172" t="s">
        <v>1296</v>
      </c>
      <c r="I172" t="s">
        <v>1297</v>
      </c>
      <c r="J172" t="s">
        <v>1298</v>
      </c>
      <c r="K172" s="4" t="str">
        <f>HYPERLINK("https://doi.org/10.1007/s00167-004-0553-1","Giron (2005)")</f>
        <v>Giron (2005)</v>
      </c>
      <c r="L172" s="1" t="s">
        <v>15</v>
      </c>
    </row>
    <row r="173" spans="1:12" x14ac:dyDescent="0.35">
      <c r="A173">
        <v>2</v>
      </c>
      <c r="B173" t="s">
        <v>1299</v>
      </c>
      <c r="C173" t="s">
        <v>1300</v>
      </c>
      <c r="D173" t="s">
        <v>1301</v>
      </c>
      <c r="E173" t="s">
        <v>528</v>
      </c>
      <c r="F173">
        <v>2022</v>
      </c>
      <c r="G173" t="s">
        <v>1302</v>
      </c>
      <c r="H173" t="s">
        <v>1303</v>
      </c>
      <c r="I173" t="s">
        <v>1304</v>
      </c>
      <c r="J173" t="s">
        <v>1305</v>
      </c>
      <c r="K173" s="4" t="str">
        <f>HYPERLINK("https://doi.org/10.1177/03635465221117777","Glasbrenner (2022)")</f>
        <v>Glasbrenner (2022)</v>
      </c>
      <c r="L173" s="1" t="s">
        <v>4</v>
      </c>
    </row>
    <row r="174" spans="1:12" x14ac:dyDescent="0.35">
      <c r="A174">
        <v>3</v>
      </c>
      <c r="B174" t="s">
        <v>1306</v>
      </c>
      <c r="C174" t="s">
        <v>1307</v>
      </c>
      <c r="D174" t="s">
        <v>1308</v>
      </c>
      <c r="E174" t="s">
        <v>79</v>
      </c>
      <c r="F174">
        <v>2022</v>
      </c>
      <c r="G174" t="s">
        <v>1309</v>
      </c>
      <c r="H174" t="s">
        <v>1310</v>
      </c>
      <c r="I174" t="s">
        <v>1311</v>
      </c>
      <c r="J174" t="s">
        <v>1312</v>
      </c>
      <c r="K174" s="4" t="str">
        <f>HYPERLINK("https://doi.org/10.1016/j.arthro.2004.10.016","Gobbi (2005)")</f>
        <v>Gobbi (2005)</v>
      </c>
    </row>
    <row r="175" spans="1:12" x14ac:dyDescent="0.35">
      <c r="A175">
        <v>4</v>
      </c>
      <c r="B175" t="s">
        <v>1313</v>
      </c>
      <c r="C175" t="s">
        <v>1314</v>
      </c>
      <c r="D175" t="s">
        <v>1315</v>
      </c>
      <c r="E175" t="s">
        <v>161</v>
      </c>
      <c r="F175">
        <v>2022</v>
      </c>
      <c r="G175" t="s">
        <v>1316</v>
      </c>
      <c r="H175" t="s">
        <v>1317</v>
      </c>
      <c r="I175" t="s">
        <v>1318</v>
      </c>
      <c r="J175" t="s">
        <v>1319</v>
      </c>
      <c r="K175" s="4" t="str">
        <f>HYPERLINK("https://doi.org/10.1007/s00167-006-0050-9","Gobbi (2006)")</f>
        <v>Gobbi (2006)</v>
      </c>
      <c r="L175" s="1" t="s">
        <v>4</v>
      </c>
    </row>
    <row r="176" spans="1:12" x14ac:dyDescent="0.35">
      <c r="A176">
        <v>5</v>
      </c>
      <c r="B176" t="s">
        <v>1320</v>
      </c>
      <c r="C176" t="s">
        <v>1321</v>
      </c>
      <c r="D176" t="s">
        <v>1322</v>
      </c>
      <c r="E176" t="s">
        <v>130</v>
      </c>
      <c r="F176">
        <v>2021</v>
      </c>
      <c r="G176" t="s">
        <v>1323</v>
      </c>
      <c r="H176" t="s">
        <v>1324</v>
      </c>
      <c r="I176" t="s">
        <v>1325</v>
      </c>
      <c r="J176" t="s">
        <v>1326</v>
      </c>
      <c r="K176" s="4" t="str">
        <f>HYPERLINK("https://doi.org/10.1007/s11999-011-1940-9","Gobbi (2012)")</f>
        <v>Gobbi (2012)</v>
      </c>
      <c r="L176" s="1" t="s">
        <v>7</v>
      </c>
    </row>
    <row r="177" spans="1:12" x14ac:dyDescent="0.35">
      <c r="A177">
        <v>6</v>
      </c>
      <c r="B177" t="s">
        <v>1327</v>
      </c>
      <c r="C177" t="s">
        <v>1328</v>
      </c>
      <c r="D177" t="s">
        <v>1329</v>
      </c>
      <c r="E177" t="s">
        <v>161</v>
      </c>
      <c r="F177">
        <v>2020</v>
      </c>
      <c r="G177" t="s">
        <v>1330</v>
      </c>
      <c r="H177" t="s">
        <v>1331</v>
      </c>
      <c r="I177" t="s">
        <v>1332</v>
      </c>
      <c r="J177" t="s">
        <v>1333</v>
      </c>
      <c r="K177" s="4" t="str">
        <f>HYPERLINK("https://doi.org/10.1302/0301-620X.89B9.19339","Gohil (2007)")</f>
        <v>Gohil (2007)</v>
      </c>
    </row>
    <row r="178" spans="1:12" x14ac:dyDescent="0.35">
      <c r="A178">
        <v>7</v>
      </c>
      <c r="B178" t="s">
        <v>1334</v>
      </c>
      <c r="C178" t="s">
        <v>1335</v>
      </c>
      <c r="D178" t="s">
        <v>1336</v>
      </c>
      <c r="E178" t="s">
        <v>130</v>
      </c>
      <c r="F178">
        <v>2020</v>
      </c>
      <c r="G178" t="s">
        <v>1337</v>
      </c>
      <c r="H178" t="s">
        <v>1338</v>
      </c>
      <c r="I178" t="s">
        <v>1339</v>
      </c>
      <c r="J178" t="s">
        <v>1340</v>
      </c>
      <c r="K178" s="4" t="str">
        <f>HYPERLINK("https://doi.org/10.1007/s00113-001-0405-0","Gorschewsky (2002)")</f>
        <v>Gorschewsky (2002)</v>
      </c>
      <c r="L178" s="1" t="s">
        <v>15</v>
      </c>
    </row>
    <row r="179" spans="1:12" x14ac:dyDescent="0.35">
      <c r="A179">
        <v>8</v>
      </c>
      <c r="B179" t="s">
        <v>1341</v>
      </c>
      <c r="C179" t="s">
        <v>1342</v>
      </c>
      <c r="D179" t="s">
        <v>1343</v>
      </c>
      <c r="E179" t="s">
        <v>130</v>
      </c>
      <c r="F179">
        <v>2020</v>
      </c>
      <c r="G179" t="s">
        <v>1344</v>
      </c>
      <c r="H179" t="s">
        <v>942</v>
      </c>
      <c r="I179" t="s">
        <v>1345</v>
      </c>
      <c r="J179" t="s">
        <v>1346</v>
      </c>
      <c r="K179" s="4" t="str">
        <f>HYPERLINK("https://doi.org/10.1177/23259671231174478","Götschi (2023)")</f>
        <v>Götschi (2023)</v>
      </c>
      <c r="L179" s="1" t="s">
        <v>4</v>
      </c>
    </row>
    <row r="180" spans="1:12" x14ac:dyDescent="0.35">
      <c r="A180">
        <v>9</v>
      </c>
      <c r="B180" t="s">
        <v>1347</v>
      </c>
      <c r="C180" t="s">
        <v>1348</v>
      </c>
      <c r="D180" t="s">
        <v>1349</v>
      </c>
      <c r="E180" t="s">
        <v>79</v>
      </c>
      <c r="F180">
        <v>2020</v>
      </c>
      <c r="G180" t="s">
        <v>1350</v>
      </c>
      <c r="H180" t="s">
        <v>1351</v>
      </c>
      <c r="I180" t="s">
        <v>1352</v>
      </c>
      <c r="J180" t="s">
        <v>1353</v>
      </c>
      <c r="K180" s="4" t="str">
        <f>HYPERLINK("https://doi.org/10.1016/j.jisako.2022.04.006","Grassi (2022)")</f>
        <v>Grassi (2022)</v>
      </c>
      <c r="L180" s="1" t="s">
        <v>4</v>
      </c>
    </row>
    <row r="181" spans="1:12" x14ac:dyDescent="0.35">
      <c r="A181">
        <v>12</v>
      </c>
      <c r="B181" t="s">
        <v>1354</v>
      </c>
      <c r="C181" t="s">
        <v>1355</v>
      </c>
      <c r="D181" t="s">
        <v>1356</v>
      </c>
      <c r="E181" t="s">
        <v>47</v>
      </c>
      <c r="F181">
        <v>2019</v>
      </c>
      <c r="G181" t="s">
        <v>1357</v>
      </c>
      <c r="H181" t="s">
        <v>1358</v>
      </c>
      <c r="I181" t="s">
        <v>1359</v>
      </c>
      <c r="J181" t="s">
        <v>1360</v>
      </c>
      <c r="K181" s="4" t="str">
        <f>HYPERLINK("https://doi.org/10.1111/j.1600-0838.1995.tb00059.x","Grøntvedt (1995)")</f>
        <v>Grøntvedt (1995)</v>
      </c>
      <c r="L181" s="1" t="s">
        <v>7</v>
      </c>
    </row>
    <row r="182" spans="1:12" x14ac:dyDescent="0.35">
      <c r="A182">
        <v>13</v>
      </c>
      <c r="B182" t="s">
        <v>1361</v>
      </c>
      <c r="C182" t="s">
        <v>1362</v>
      </c>
      <c r="D182" t="s">
        <v>1363</v>
      </c>
      <c r="E182" t="s">
        <v>79</v>
      </c>
      <c r="F182">
        <v>2019</v>
      </c>
      <c r="G182" t="s">
        <v>1364</v>
      </c>
      <c r="H182" t="s">
        <v>1365</v>
      </c>
      <c r="I182" t="s">
        <v>1366</v>
      </c>
      <c r="J182" t="s">
        <v>1367</v>
      </c>
      <c r="K182" s="4" t="str">
        <f>HYPERLINK("https://doi.org/10.1177/0363546516634021","Grunau (2016)")</f>
        <v>Grunau (2016)</v>
      </c>
      <c r="L182" s="1" t="s">
        <v>4</v>
      </c>
    </row>
    <row r="183" spans="1:12" x14ac:dyDescent="0.35">
      <c r="A183">
        <v>14</v>
      </c>
      <c r="B183" t="s">
        <v>1368</v>
      </c>
      <c r="C183" t="s">
        <v>1369</v>
      </c>
      <c r="D183" t="s">
        <v>1370</v>
      </c>
      <c r="E183" t="s">
        <v>130</v>
      </c>
      <c r="F183">
        <v>2018</v>
      </c>
      <c r="G183" t="s">
        <v>1371</v>
      </c>
      <c r="H183" t="s">
        <v>1372</v>
      </c>
      <c r="I183" t="s">
        <v>1373</v>
      </c>
      <c r="J183" t="s">
        <v>1374</v>
      </c>
      <c r="K183" s="4" t="str">
        <f>HYPERLINK("https://doi.org/10.1177/23259671211028168","Guglielmetti (2021)")</f>
        <v>Guglielmetti (2021)</v>
      </c>
    </row>
    <row r="184" spans="1:12" x14ac:dyDescent="0.35">
      <c r="A184">
        <v>15</v>
      </c>
      <c r="B184" t="s">
        <v>1375</v>
      </c>
      <c r="C184" t="s">
        <v>1376</v>
      </c>
      <c r="D184" t="s">
        <v>1377</v>
      </c>
      <c r="E184" t="s">
        <v>130</v>
      </c>
      <c r="F184">
        <v>2018</v>
      </c>
      <c r="G184" t="s">
        <v>1378</v>
      </c>
      <c r="H184" t="s">
        <v>1379</v>
      </c>
      <c r="I184" t="s">
        <v>1380</v>
      </c>
      <c r="J184" t="s">
        <v>1381</v>
      </c>
      <c r="K184" s="4" t="str">
        <f>HYPERLINK("https://doi.org/10.1016/j.jajs.2017.08.003","Gupta (2017)")</f>
        <v>Gupta (2017)</v>
      </c>
      <c r="L184" s="1" t="s">
        <v>4</v>
      </c>
    </row>
    <row r="185" spans="1:12" x14ac:dyDescent="0.35">
      <c r="A185">
        <v>16</v>
      </c>
      <c r="B185" t="s">
        <v>1382</v>
      </c>
      <c r="C185" t="s">
        <v>1383</v>
      </c>
      <c r="D185" t="s">
        <v>1384</v>
      </c>
      <c r="E185" t="s">
        <v>565</v>
      </c>
      <c r="F185">
        <v>2016</v>
      </c>
      <c r="G185" t="s">
        <v>1385</v>
      </c>
      <c r="H185" t="s">
        <v>1386</v>
      </c>
      <c r="I185" t="s">
        <v>1387</v>
      </c>
      <c r="J185" t="s">
        <v>1388</v>
      </c>
      <c r="K185" s="4" t="str">
        <f>HYPERLINK("https://doi.org/10.1016/j.arthro.2017.06.040","Gupta (2017)")</f>
        <v>Gupta (2017)</v>
      </c>
      <c r="L185" s="1" t="s">
        <v>4</v>
      </c>
    </row>
    <row r="186" spans="1:12" x14ac:dyDescent="0.35">
      <c r="A186">
        <v>17</v>
      </c>
      <c r="B186" t="s">
        <v>1389</v>
      </c>
      <c r="C186" t="s">
        <v>1390</v>
      </c>
      <c r="D186" t="s">
        <v>1391</v>
      </c>
      <c r="E186" t="s">
        <v>161</v>
      </c>
      <c r="F186">
        <v>2016</v>
      </c>
      <c r="G186" t="s">
        <v>1392</v>
      </c>
      <c r="H186" t="s">
        <v>1393</v>
      </c>
      <c r="I186" t="s">
        <v>1394</v>
      </c>
      <c r="J186" t="s">
        <v>1395</v>
      </c>
      <c r="K186" s="4" t="str">
        <f>HYPERLINK("https://doi.org/10.1016/j.jcot.2018.04.018","Gupta (2019)")</f>
        <v>Gupta (2019)</v>
      </c>
    </row>
    <row r="187" spans="1:12" x14ac:dyDescent="0.35">
      <c r="A187">
        <v>18</v>
      </c>
      <c r="B187" t="s">
        <v>1396</v>
      </c>
      <c r="C187" t="s">
        <v>1397</v>
      </c>
      <c r="D187" t="s">
        <v>1398</v>
      </c>
      <c r="E187" t="s">
        <v>1399</v>
      </c>
      <c r="F187">
        <v>2016</v>
      </c>
      <c r="G187" t="s">
        <v>1400</v>
      </c>
      <c r="H187" t="s">
        <v>1401</v>
      </c>
      <c r="I187" t="s">
        <v>1402</v>
      </c>
      <c r="J187" t="s">
        <v>1403</v>
      </c>
      <c r="K187" s="4" t="str">
        <f>HYPERLINK("https://doi.org/10.4103/jajs.jajs_66_24","Gupta (2025)")</f>
        <v>Gupta (2025)</v>
      </c>
      <c r="L187" s="1" t="s">
        <v>4</v>
      </c>
    </row>
    <row r="188" spans="1:12" x14ac:dyDescent="0.35">
      <c r="A188">
        <v>19</v>
      </c>
      <c r="B188" t="s">
        <v>1404</v>
      </c>
      <c r="C188" t="s">
        <v>1405</v>
      </c>
      <c r="D188" t="s">
        <v>1406</v>
      </c>
      <c r="E188" t="s">
        <v>71</v>
      </c>
      <c r="F188">
        <v>2017</v>
      </c>
      <c r="G188" t="s">
        <v>1407</v>
      </c>
      <c r="H188" t="s">
        <v>1408</v>
      </c>
      <c r="I188" t="s">
        <v>1409</v>
      </c>
      <c r="J188" t="s">
        <v>1410</v>
      </c>
      <c r="K188" s="4" t="str">
        <f>HYPERLINK("https://doi.org/10.1007/s001130050567","Hackl (2000)")</f>
        <v>Hackl (2000)</v>
      </c>
      <c r="L188" s="1" t="s">
        <v>7</v>
      </c>
    </row>
    <row r="189" spans="1:12" x14ac:dyDescent="0.35">
      <c r="A189">
        <v>20</v>
      </c>
      <c r="B189" t="s">
        <v>1411</v>
      </c>
      <c r="C189" t="s">
        <v>1412</v>
      </c>
      <c r="D189" t="s">
        <v>1413</v>
      </c>
      <c r="E189" t="s">
        <v>130</v>
      </c>
      <c r="F189">
        <v>2016</v>
      </c>
      <c r="G189" t="s">
        <v>1414</v>
      </c>
      <c r="H189" t="s">
        <v>1415</v>
      </c>
      <c r="I189" t="s">
        <v>1416</v>
      </c>
      <c r="J189" t="s">
        <v>1417</v>
      </c>
      <c r="K189" s="4" t="str">
        <f>HYPERLINK("https://doi.org/10.1177/0363546505284889","Halinen (2006)")</f>
        <v>Halinen (2006)</v>
      </c>
      <c r="L189" s="1" t="s">
        <v>4</v>
      </c>
    </row>
    <row r="190" spans="1:12" x14ac:dyDescent="0.35">
      <c r="A190">
        <v>21</v>
      </c>
      <c r="B190" t="s">
        <v>1418</v>
      </c>
      <c r="C190" t="s">
        <v>1419</v>
      </c>
      <c r="D190" t="s">
        <v>1420</v>
      </c>
      <c r="E190" t="s">
        <v>130</v>
      </c>
      <c r="F190">
        <v>2016</v>
      </c>
      <c r="G190" t="s">
        <v>1421</v>
      </c>
      <c r="H190" t="s">
        <v>1422</v>
      </c>
      <c r="I190" t="s">
        <v>1423</v>
      </c>
      <c r="J190" t="s">
        <v>1424</v>
      </c>
      <c r="K190" s="4" t="str">
        <f>HYPERLINK("https://doi.org/10.1016/s0749-8063(01)90002-7","Hamada (2001)")</f>
        <v>Hamada (2001)</v>
      </c>
      <c r="L190" s="1" t="s">
        <v>7</v>
      </c>
    </row>
    <row r="191" spans="1:12" x14ac:dyDescent="0.35">
      <c r="A191">
        <v>22</v>
      </c>
      <c r="B191" t="s">
        <v>1425</v>
      </c>
      <c r="C191" t="s">
        <v>1426</v>
      </c>
      <c r="D191" t="s">
        <v>1427</v>
      </c>
      <c r="E191" t="s">
        <v>130</v>
      </c>
      <c r="F191">
        <v>2016</v>
      </c>
      <c r="G191" t="s">
        <v>1428</v>
      </c>
      <c r="H191" t="s">
        <v>1429</v>
      </c>
      <c r="I191" t="s">
        <v>1430</v>
      </c>
      <c r="J191" t="s">
        <v>1431</v>
      </c>
      <c r="K191" s="4" t="str">
        <f>HYPERLINK("https://doi.org/10.1016/j.arthro.2018.07.009","Hamrin (2019)")</f>
        <v>Hamrin (2019)</v>
      </c>
    </row>
    <row r="192" spans="1:12" x14ac:dyDescent="0.35">
      <c r="A192">
        <v>23</v>
      </c>
      <c r="B192" t="s">
        <v>1432</v>
      </c>
      <c r="C192" t="s">
        <v>1433</v>
      </c>
      <c r="D192" t="s">
        <v>1434</v>
      </c>
      <c r="E192" t="s">
        <v>161</v>
      </c>
      <c r="F192">
        <v>2016</v>
      </c>
      <c r="G192" t="s">
        <v>1435</v>
      </c>
      <c r="H192" t="s">
        <v>1436</v>
      </c>
      <c r="I192" t="s">
        <v>1437</v>
      </c>
      <c r="J192" t="s">
        <v>1438</v>
      </c>
      <c r="K192" s="4" t="str">
        <f>HYPERLINK("https://doi.org/10.1007/s11999-007-0015-4","Han (2008)")</f>
        <v>Han (2008)</v>
      </c>
      <c r="L192" s="1" t="s">
        <v>4</v>
      </c>
    </row>
    <row r="193" spans="1:12" x14ac:dyDescent="0.35">
      <c r="A193">
        <v>24</v>
      </c>
      <c r="B193" t="s">
        <v>1439</v>
      </c>
      <c r="C193" t="s">
        <v>1440</v>
      </c>
      <c r="D193" t="s">
        <v>1441</v>
      </c>
      <c r="E193" t="s">
        <v>130</v>
      </c>
      <c r="F193">
        <v>2016</v>
      </c>
      <c r="G193" t="s">
        <v>1442</v>
      </c>
      <c r="H193" t="s">
        <v>1443</v>
      </c>
      <c r="I193" t="s">
        <v>1444</v>
      </c>
      <c r="J193" t="s">
        <v>1445</v>
      </c>
      <c r="K193" s="4" t="str">
        <f>HYPERLINK("https://doi.org/10.1016/j.arthro.2004.09.013","Harilainen (2005)")</f>
        <v>Harilainen (2005)</v>
      </c>
    </row>
    <row r="194" spans="1:12" x14ac:dyDescent="0.35">
      <c r="A194">
        <v>25</v>
      </c>
      <c r="B194" t="s">
        <v>1446</v>
      </c>
      <c r="C194" t="s">
        <v>1447</v>
      </c>
      <c r="D194" t="s">
        <v>1448</v>
      </c>
      <c r="E194" t="s">
        <v>1449</v>
      </c>
      <c r="F194">
        <v>2016</v>
      </c>
      <c r="G194" t="s">
        <v>1450</v>
      </c>
      <c r="H194" t="s">
        <v>1358</v>
      </c>
      <c r="I194" t="s">
        <v>1451</v>
      </c>
      <c r="J194" t="s">
        <v>1452</v>
      </c>
      <c r="K194" s="4" t="str">
        <f>HYPERLINK("https://doi.org/10.1007/s00167-006-0059-0","Harilainen (2006)")</f>
        <v>Harilainen (2006)</v>
      </c>
      <c r="L194" s="1" t="s">
        <v>4</v>
      </c>
    </row>
    <row r="195" spans="1:12" x14ac:dyDescent="0.35">
      <c r="A195">
        <v>27</v>
      </c>
      <c r="B195" t="s">
        <v>1453</v>
      </c>
      <c r="C195" t="s">
        <v>1454</v>
      </c>
      <c r="D195" t="s">
        <v>1455</v>
      </c>
      <c r="E195" t="s">
        <v>1449</v>
      </c>
      <c r="F195">
        <v>2015</v>
      </c>
      <c r="G195" t="s">
        <v>1456</v>
      </c>
      <c r="H195" t="s">
        <v>1358</v>
      </c>
      <c r="I195" t="s">
        <v>1457</v>
      </c>
      <c r="J195" t="s">
        <v>1458</v>
      </c>
      <c r="K195" s="4" t="str">
        <f>HYPERLINK("https://doi.org/10.1111/j.1600-0838.2004.00435.x","Harilainen (2006)")</f>
        <v>Harilainen (2006)</v>
      </c>
      <c r="L195" s="1" t="s">
        <v>4</v>
      </c>
    </row>
    <row r="196" spans="1:12" x14ac:dyDescent="0.35">
      <c r="A196">
        <v>28</v>
      </c>
      <c r="B196" t="s">
        <v>1459</v>
      </c>
      <c r="C196" t="s">
        <v>1460</v>
      </c>
      <c r="D196" t="s">
        <v>1461</v>
      </c>
      <c r="E196" t="s">
        <v>94</v>
      </c>
      <c r="F196">
        <v>2014</v>
      </c>
      <c r="G196" t="s">
        <v>1462</v>
      </c>
      <c r="H196" t="s">
        <v>1463</v>
      </c>
      <c r="I196" t="s">
        <v>1464</v>
      </c>
      <c r="J196" t="s">
        <v>1465</v>
      </c>
      <c r="K196" s="4" t="str">
        <f>HYPERLINK("https://doi.org/10.1007/s00167-018-5040-1","Harput (2019)")</f>
        <v>Harput (2019)</v>
      </c>
      <c r="L196" s="1" t="s">
        <v>4</v>
      </c>
    </row>
    <row r="197" spans="1:12" x14ac:dyDescent="0.35">
      <c r="A197">
        <v>29</v>
      </c>
      <c r="B197" t="s">
        <v>1466</v>
      </c>
      <c r="C197" t="s">
        <v>1467</v>
      </c>
      <c r="D197" t="s">
        <v>1468</v>
      </c>
      <c r="E197" t="s">
        <v>86</v>
      </c>
      <c r="F197">
        <v>2015</v>
      </c>
      <c r="G197" t="s">
        <v>1469</v>
      </c>
      <c r="H197" t="s">
        <v>1470</v>
      </c>
      <c r="I197" t="s">
        <v>1471</v>
      </c>
      <c r="J197" t="s">
        <v>1472</v>
      </c>
      <c r="K197" s="4" t="str">
        <f>HYPERLINK("https://doi.org/10.4085/1062-6050-49.3.53","Harris (2015)")</f>
        <v>Harris (2015)</v>
      </c>
    </row>
    <row r="198" spans="1:12" x14ac:dyDescent="0.35">
      <c r="A198">
        <v>30</v>
      </c>
      <c r="B198" t="s">
        <v>1473</v>
      </c>
      <c r="C198" t="s">
        <v>1474</v>
      </c>
      <c r="D198" t="s">
        <v>1475</v>
      </c>
      <c r="E198" t="s">
        <v>86</v>
      </c>
      <c r="F198">
        <v>2015</v>
      </c>
      <c r="G198" t="s">
        <v>1476</v>
      </c>
      <c r="H198" t="s">
        <v>1477</v>
      </c>
      <c r="I198" t="s">
        <v>1478</v>
      </c>
      <c r="J198" t="s">
        <v>1479</v>
      </c>
      <c r="K198" s="4" t="str">
        <f>HYPERLINK("https://doi.org/10.1016/j.jisako.2022.12.001","Heard (2023)")</f>
        <v>Heard (2023)</v>
      </c>
      <c r="L198" s="1" t="s">
        <v>4</v>
      </c>
    </row>
    <row r="199" spans="1:12" x14ac:dyDescent="0.35">
      <c r="A199">
        <v>31</v>
      </c>
      <c r="B199" t="s">
        <v>1480</v>
      </c>
      <c r="C199" t="s">
        <v>1481</v>
      </c>
      <c r="D199" t="s">
        <v>1482</v>
      </c>
      <c r="E199" t="s">
        <v>1483</v>
      </c>
      <c r="F199">
        <v>2014</v>
      </c>
      <c r="G199" t="s">
        <v>1484</v>
      </c>
      <c r="H199" t="s">
        <v>1485</v>
      </c>
      <c r="I199" t="s">
        <v>1486</v>
      </c>
      <c r="J199" t="s">
        <v>1487</v>
      </c>
      <c r="K199" s="4" t="str">
        <f>HYPERLINK("https://doi.org/10.7860/JCDR/2014/8834.4237","Hegde (2014)")</f>
        <v>Hegde (2014)</v>
      </c>
      <c r="L199" s="1" t="s">
        <v>4</v>
      </c>
    </row>
    <row r="200" spans="1:12" x14ac:dyDescent="0.35">
      <c r="A200">
        <v>32</v>
      </c>
      <c r="B200" t="s">
        <v>1488</v>
      </c>
      <c r="C200" t="s">
        <v>1489</v>
      </c>
      <c r="D200" t="s">
        <v>1490</v>
      </c>
      <c r="E200" t="s">
        <v>161</v>
      </c>
      <c r="F200">
        <v>2014</v>
      </c>
      <c r="G200" t="s">
        <v>1491</v>
      </c>
      <c r="H200" t="s">
        <v>1492</v>
      </c>
      <c r="I200" t="s">
        <v>1493</v>
      </c>
      <c r="J200" t="s">
        <v>1494</v>
      </c>
      <c r="K200" s="4" t="str">
        <f>HYPERLINK("https://doi.org/10.1007/s00167-006-0246-z","Heijne (2007)")</f>
        <v>Heijne (2007)</v>
      </c>
      <c r="L200" s="1" t="s">
        <v>4</v>
      </c>
    </row>
    <row r="201" spans="1:12" x14ac:dyDescent="0.35">
      <c r="A201">
        <v>33</v>
      </c>
      <c r="B201" t="s">
        <v>1495</v>
      </c>
      <c r="C201" t="s">
        <v>1496</v>
      </c>
      <c r="D201" t="s">
        <v>1497</v>
      </c>
      <c r="E201" t="s">
        <v>130</v>
      </c>
      <c r="F201">
        <v>2014</v>
      </c>
      <c r="G201" t="s">
        <v>1498</v>
      </c>
      <c r="H201" t="s">
        <v>1499</v>
      </c>
      <c r="I201" t="s">
        <v>1500</v>
      </c>
      <c r="J201" t="s">
        <v>1501</v>
      </c>
      <c r="K201" s="4" t="str">
        <f>HYPERLINK("https://doi.org/10.1007/s00064-013-0263-2","Heitmann (2014)")</f>
        <v>Heitmann (2014)</v>
      </c>
      <c r="L201" s="1" t="s">
        <v>7</v>
      </c>
    </row>
    <row r="202" spans="1:12" x14ac:dyDescent="0.35">
      <c r="A202">
        <v>34</v>
      </c>
      <c r="B202" t="s">
        <v>1502</v>
      </c>
      <c r="C202" t="s">
        <v>1503</v>
      </c>
      <c r="D202" t="s">
        <v>1504</v>
      </c>
      <c r="E202" t="s">
        <v>79</v>
      </c>
      <c r="F202">
        <v>2014</v>
      </c>
      <c r="G202" t="s">
        <v>1505</v>
      </c>
      <c r="H202" t="s">
        <v>1506</v>
      </c>
      <c r="I202" t="s">
        <v>1507</v>
      </c>
      <c r="J202" t="s">
        <v>1508</v>
      </c>
      <c r="K202" s="4" t="str">
        <f>HYPERLINK("https://doi.org/10.1007/s00402-024-05356-9","Helal (2024)")</f>
        <v>Helal (2024)</v>
      </c>
      <c r="L202" s="1" t="s">
        <v>15</v>
      </c>
    </row>
    <row r="203" spans="1:12" x14ac:dyDescent="0.35">
      <c r="A203">
        <v>35</v>
      </c>
      <c r="B203" t="s">
        <v>1509</v>
      </c>
      <c r="C203" t="s">
        <v>1510</v>
      </c>
      <c r="D203" t="s">
        <v>1511</v>
      </c>
      <c r="E203" t="s">
        <v>130</v>
      </c>
      <c r="F203">
        <v>2013</v>
      </c>
      <c r="G203" t="s">
        <v>1512</v>
      </c>
      <c r="H203" t="s">
        <v>1513</v>
      </c>
      <c r="I203" t="s">
        <v>1514</v>
      </c>
      <c r="J203" t="s">
        <v>1515</v>
      </c>
      <c r="K203" s="4" t="str">
        <f>HYPERLINK("https://doi.org/10.1016/j.arthro.2023.01.101","Helito (2023)")</f>
        <v>Helito (2023)</v>
      </c>
      <c r="L203" s="1" t="s">
        <v>7</v>
      </c>
    </row>
    <row r="204" spans="1:12" x14ac:dyDescent="0.35">
      <c r="A204">
        <v>36</v>
      </c>
      <c r="B204" t="s">
        <v>1516</v>
      </c>
      <c r="C204" t="s">
        <v>1517</v>
      </c>
      <c r="D204" t="s">
        <v>1518</v>
      </c>
      <c r="E204" t="s">
        <v>71</v>
      </c>
      <c r="F204">
        <v>2014</v>
      </c>
      <c r="G204" t="s">
        <v>1519</v>
      </c>
      <c r="H204" t="s">
        <v>1520</v>
      </c>
      <c r="I204" t="s">
        <v>1521</v>
      </c>
      <c r="J204" t="s">
        <v>1522</v>
      </c>
      <c r="K204" s="4" t="str">
        <f>HYPERLINK("https://doi.org/10.1034/j.1600-0838.2002.120203.x","Henriksson (2002)")</f>
        <v>Henriksson (2002)</v>
      </c>
      <c r="L204" s="1" t="s">
        <v>4</v>
      </c>
    </row>
    <row r="205" spans="1:12" x14ac:dyDescent="0.35">
      <c r="A205">
        <v>37</v>
      </c>
      <c r="B205" t="s">
        <v>1523</v>
      </c>
      <c r="C205" t="s">
        <v>1524</v>
      </c>
      <c r="D205" t="s">
        <v>1525</v>
      </c>
      <c r="E205" t="s">
        <v>71</v>
      </c>
      <c r="F205">
        <v>2014</v>
      </c>
      <c r="G205" t="s">
        <v>1526</v>
      </c>
      <c r="H205" t="s">
        <v>1527</v>
      </c>
      <c r="I205" t="s">
        <v>1528</v>
      </c>
      <c r="J205" t="s">
        <v>1529</v>
      </c>
      <c r="K205" s="4" t="str">
        <f>HYPERLINK("https://doi.org/10.1177/03635465020300011801","Hess (2002)")</f>
        <v>Hess (2002)</v>
      </c>
      <c r="L205" s="1" t="s">
        <v>4</v>
      </c>
    </row>
    <row r="206" spans="1:12" x14ac:dyDescent="0.35">
      <c r="A206">
        <v>38</v>
      </c>
      <c r="B206" t="s">
        <v>1530</v>
      </c>
      <c r="C206" t="s">
        <v>1531</v>
      </c>
      <c r="D206" t="s">
        <v>1532</v>
      </c>
      <c r="E206" t="s">
        <v>71</v>
      </c>
      <c r="F206">
        <v>2014</v>
      </c>
      <c r="G206" t="s">
        <v>1533</v>
      </c>
      <c r="H206" t="s">
        <v>388</v>
      </c>
      <c r="I206" t="s">
        <v>1534</v>
      </c>
      <c r="J206" t="s">
        <v>1535</v>
      </c>
      <c r="K206" s="4" t="str">
        <f>HYPERLINK("https://doi.org/10.1177/0363546504268036","Hill (2005)")</f>
        <v>Hill (2005)</v>
      </c>
      <c r="L206" s="1" t="s">
        <v>4</v>
      </c>
    </row>
    <row r="207" spans="1:12" x14ac:dyDescent="0.35">
      <c r="A207">
        <v>40</v>
      </c>
      <c r="B207" t="s">
        <v>1536</v>
      </c>
      <c r="C207" t="s">
        <v>1537</v>
      </c>
      <c r="D207" t="s">
        <v>1538</v>
      </c>
      <c r="E207" t="s">
        <v>71</v>
      </c>
      <c r="F207">
        <v>2013</v>
      </c>
      <c r="G207" t="s">
        <v>1539</v>
      </c>
      <c r="H207" t="s">
        <v>1540</v>
      </c>
      <c r="I207" t="s">
        <v>1541</v>
      </c>
      <c r="J207" t="s">
        <v>1542</v>
      </c>
      <c r="K207" s="4" t="str">
        <f>HYPERLINK("https://doi.org/10.1007/s00068-001-1089-4","Hofmann (2001)")</f>
        <v>Hofmann (2001)</v>
      </c>
      <c r="L207" s="1" t="s">
        <v>4</v>
      </c>
    </row>
    <row r="208" spans="1:12" x14ac:dyDescent="0.35">
      <c r="A208">
        <v>41</v>
      </c>
      <c r="B208" t="s">
        <v>1543</v>
      </c>
      <c r="C208" t="s">
        <v>1544</v>
      </c>
      <c r="D208" t="s">
        <v>1545</v>
      </c>
      <c r="E208" t="s">
        <v>528</v>
      </c>
      <c r="F208">
        <v>2012</v>
      </c>
      <c r="G208" t="s">
        <v>1546</v>
      </c>
      <c r="H208" t="s">
        <v>1547</v>
      </c>
      <c r="I208" t="s">
        <v>1548</v>
      </c>
      <c r="J208" t="s">
        <v>1549</v>
      </c>
      <c r="K208" s="4" t="str">
        <f>HYPERLINK("https://doi.org/10.1177/0363546509350301","Holm (2010)")</f>
        <v>Holm (2010)</v>
      </c>
      <c r="L208" s="1" t="s">
        <v>4</v>
      </c>
    </row>
    <row r="209" spans="1:12" x14ac:dyDescent="0.35">
      <c r="A209">
        <v>42</v>
      </c>
      <c r="B209" t="s">
        <v>1550</v>
      </c>
      <c r="C209" t="s">
        <v>1551</v>
      </c>
      <c r="D209" t="s">
        <v>1552</v>
      </c>
      <c r="E209" t="s">
        <v>71</v>
      </c>
      <c r="F209">
        <v>2013</v>
      </c>
      <c r="G209" t="s">
        <v>1553</v>
      </c>
      <c r="H209" t="s">
        <v>1554</v>
      </c>
      <c r="I209" t="s">
        <v>1555</v>
      </c>
      <c r="J209" t="s">
        <v>1556</v>
      </c>
      <c r="K209" s="4" t="str">
        <f>HYPERLINK("https://doi.org/10.1177/0363546519825878","Hoogeslag (2019)")</f>
        <v>Hoogeslag (2019)</v>
      </c>
      <c r="L209" s="1" t="s">
        <v>4</v>
      </c>
    </row>
    <row r="210" spans="1:12" x14ac:dyDescent="0.35">
      <c r="A210">
        <v>43</v>
      </c>
      <c r="B210" t="s">
        <v>1557</v>
      </c>
      <c r="C210" t="s">
        <v>1558</v>
      </c>
      <c r="D210" t="s">
        <v>1559</v>
      </c>
      <c r="E210" t="s">
        <v>130</v>
      </c>
      <c r="F210">
        <v>2012</v>
      </c>
      <c r="G210" t="s">
        <v>1560</v>
      </c>
      <c r="H210" t="s">
        <v>1561</v>
      </c>
      <c r="I210" t="s">
        <v>1562</v>
      </c>
      <c r="J210" t="s">
        <v>1563</v>
      </c>
      <c r="K210" s="4" t="str">
        <f>HYPERLINK("https://doi.org/10.1177/03635465221090527","Hoogeslag (2022)")</f>
        <v>Hoogeslag (2022)</v>
      </c>
    </row>
    <row r="211" spans="1:12" x14ac:dyDescent="0.35">
      <c r="A211">
        <v>44</v>
      </c>
      <c r="B211" t="s">
        <v>1564</v>
      </c>
      <c r="C211" t="s">
        <v>1565</v>
      </c>
      <c r="D211" t="s">
        <v>1566</v>
      </c>
      <c r="E211" t="s">
        <v>130</v>
      </c>
      <c r="F211">
        <v>2011</v>
      </c>
      <c r="G211" t="s">
        <v>1567</v>
      </c>
      <c r="H211" t="s">
        <v>1379</v>
      </c>
      <c r="I211" t="s">
        <v>1568</v>
      </c>
      <c r="J211" t="s">
        <v>1569</v>
      </c>
      <c r="K211" s="4" t="str">
        <f>HYPERLINK("https://doi.org/10.1007/s00402-021-03862-8","Horstmann (2022)")</f>
        <v>Horstmann (2022)</v>
      </c>
      <c r="L211" s="1" t="s">
        <v>4</v>
      </c>
    </row>
    <row r="212" spans="1:12" x14ac:dyDescent="0.35">
      <c r="A212">
        <v>46</v>
      </c>
      <c r="B212" t="s">
        <v>1570</v>
      </c>
      <c r="C212" t="s">
        <v>1571</v>
      </c>
      <c r="D212" t="s">
        <v>1572</v>
      </c>
      <c r="E212" t="s">
        <v>1449</v>
      </c>
      <c r="F212">
        <v>2011</v>
      </c>
      <c r="G212" t="s">
        <v>1573</v>
      </c>
      <c r="H212" t="s">
        <v>1574</v>
      </c>
      <c r="I212" t="s">
        <v>1575</v>
      </c>
      <c r="J212" t="s">
        <v>1576</v>
      </c>
      <c r="K212" s="4" t="str">
        <f>HYPERLINK("https://www.embase.com/search/results?subaction=viewrecord&amp;id=L126274565&amp;from=export")</f>
        <v>https://www.embase.com/search/results?subaction=viewrecord&amp;id=L126274565&amp;from=export</v>
      </c>
    </row>
    <row r="213" spans="1:12" x14ac:dyDescent="0.35">
      <c r="A213">
        <v>47</v>
      </c>
      <c r="B213" t="s">
        <v>1577</v>
      </c>
      <c r="C213" t="s">
        <v>1578</v>
      </c>
      <c r="D213" t="s">
        <v>1579</v>
      </c>
      <c r="E213" t="s">
        <v>79</v>
      </c>
      <c r="F213">
        <v>2011</v>
      </c>
      <c r="G213" t="s">
        <v>1580</v>
      </c>
      <c r="H213" t="s">
        <v>1581</v>
      </c>
      <c r="I213" t="s">
        <v>1582</v>
      </c>
      <c r="J213" t="s">
        <v>1583</v>
      </c>
      <c r="K213" s="4" t="str">
        <f>HYPERLINK("https://www.embase.com/search/results?subaction=viewrecord&amp;id=L127191273&amp;from=export")</f>
        <v>https://www.embase.com/search/results?subaction=viewrecord&amp;id=L127191273&amp;from=export</v>
      </c>
    </row>
    <row r="214" spans="1:12" x14ac:dyDescent="0.35">
      <c r="A214">
        <v>50</v>
      </c>
      <c r="B214" t="s">
        <v>1584</v>
      </c>
      <c r="C214" t="s">
        <v>1585</v>
      </c>
      <c r="D214" t="s">
        <v>1586</v>
      </c>
      <c r="E214" t="s">
        <v>71</v>
      </c>
      <c r="F214">
        <v>2011</v>
      </c>
      <c r="G214" t="s">
        <v>1587</v>
      </c>
      <c r="H214" t="s">
        <v>1588</v>
      </c>
      <c r="I214" t="s">
        <v>1589</v>
      </c>
      <c r="J214" t="s">
        <v>1590</v>
      </c>
      <c r="K214" s="4" t="str">
        <f>HYPERLINK("https://www.embase.com/search/results?subaction=viewrecord&amp;id=L127257411&amp;from=export")</f>
        <v>https://www.embase.com/search/results?subaction=viewrecord&amp;id=L127257411&amp;from=export</v>
      </c>
    </row>
    <row r="215" spans="1:12" x14ac:dyDescent="0.35">
      <c r="A215">
        <v>52</v>
      </c>
      <c r="B215" t="s">
        <v>1591</v>
      </c>
      <c r="C215" t="s">
        <v>1592</v>
      </c>
      <c r="D215" t="s">
        <v>1593</v>
      </c>
      <c r="E215" t="s">
        <v>71</v>
      </c>
      <c r="F215">
        <v>2011</v>
      </c>
      <c r="G215" t="s">
        <v>1594</v>
      </c>
      <c r="H215" t="s">
        <v>1595</v>
      </c>
      <c r="I215" t="s">
        <v>1596</v>
      </c>
      <c r="J215" t="s">
        <v>1597</v>
      </c>
      <c r="K215" s="4" t="str">
        <f>HYPERLINK("https://www.embase.com/search/results?subaction=viewrecord&amp;id=L128212690&amp;from=export")</f>
        <v>https://www.embase.com/search/results?subaction=viewrecord&amp;id=L128212690&amp;from=export</v>
      </c>
    </row>
    <row r="216" spans="1:12" x14ac:dyDescent="0.35">
      <c r="A216">
        <v>53</v>
      </c>
      <c r="B216" t="s">
        <v>1598</v>
      </c>
      <c r="C216" t="s">
        <v>1599</v>
      </c>
      <c r="D216" t="s">
        <v>1600</v>
      </c>
      <c r="E216" t="s">
        <v>130</v>
      </c>
      <c r="F216">
        <v>2010</v>
      </c>
      <c r="G216" t="s">
        <v>1601</v>
      </c>
      <c r="H216" t="s">
        <v>1499</v>
      </c>
      <c r="I216" t="s">
        <v>1602</v>
      </c>
      <c r="J216" t="s">
        <v>1603</v>
      </c>
      <c r="K216" s="4" t="str">
        <f>HYPERLINK("https://www.embase.com/search/results?subaction=viewrecord&amp;id=L128262800&amp;from=export")</f>
        <v>https://www.embase.com/search/results?subaction=viewrecord&amp;id=L128262800&amp;from=export</v>
      </c>
    </row>
    <row r="217" spans="1:12" x14ac:dyDescent="0.35">
      <c r="A217">
        <v>54</v>
      </c>
      <c r="B217" t="s">
        <v>1604</v>
      </c>
      <c r="C217" t="s">
        <v>1605</v>
      </c>
      <c r="D217" t="s">
        <v>1606</v>
      </c>
      <c r="E217" t="s">
        <v>86</v>
      </c>
      <c r="F217">
        <v>2010</v>
      </c>
      <c r="G217" t="s">
        <v>1607</v>
      </c>
      <c r="H217" t="s">
        <v>57</v>
      </c>
      <c r="I217" t="s">
        <v>1608</v>
      </c>
      <c r="J217" t="s">
        <v>1609</v>
      </c>
      <c r="K217" s="4" t="str">
        <f>HYPERLINK("https://www.embase.com/search/results?subaction=viewrecord&amp;id=L129474280&amp;from=export")</f>
        <v>https://www.embase.com/search/results?subaction=viewrecord&amp;id=L129474280&amp;from=export</v>
      </c>
    </row>
    <row r="218" spans="1:12" x14ac:dyDescent="0.35">
      <c r="A218">
        <v>55</v>
      </c>
      <c r="B218" t="s">
        <v>1610</v>
      </c>
      <c r="C218" t="s">
        <v>1611</v>
      </c>
      <c r="D218" t="s">
        <v>1612</v>
      </c>
      <c r="E218" t="s">
        <v>130</v>
      </c>
      <c r="F218">
        <v>2010</v>
      </c>
      <c r="G218" t="s">
        <v>1613</v>
      </c>
      <c r="H218" t="s">
        <v>1614</v>
      </c>
      <c r="I218" t="s">
        <v>1615</v>
      </c>
      <c r="J218" t="s">
        <v>1616</v>
      </c>
      <c r="K218" s="4" t="str">
        <f>HYPERLINK("https://www.embase.com/search/results?subaction=viewrecord&amp;id=L2008563345&amp;from=export")</f>
        <v>https://www.embase.com/search/results?subaction=viewrecord&amp;id=L2008563345&amp;from=export</v>
      </c>
    </row>
    <row r="219" spans="1:12" x14ac:dyDescent="0.35">
      <c r="A219">
        <v>56</v>
      </c>
      <c r="B219" t="s">
        <v>1617</v>
      </c>
      <c r="C219" t="s">
        <v>1618</v>
      </c>
      <c r="D219" t="s">
        <v>1619</v>
      </c>
      <c r="E219" t="s">
        <v>130</v>
      </c>
      <c r="F219">
        <v>2010</v>
      </c>
      <c r="G219" t="s">
        <v>1620</v>
      </c>
      <c r="H219" t="s">
        <v>1621</v>
      </c>
      <c r="I219" t="s">
        <v>1622</v>
      </c>
      <c r="J219" t="s">
        <v>1623</v>
      </c>
      <c r="K219" s="4" t="str">
        <f>HYPERLINK("https://www.embase.com/search/results?subaction=viewrecord&amp;id=L2017379457&amp;from=export")</f>
        <v>https://www.embase.com/search/results?subaction=viewrecord&amp;id=L2017379457&amp;from=export</v>
      </c>
    </row>
    <row r="220" spans="1:12" x14ac:dyDescent="0.35">
      <c r="A220">
        <v>57</v>
      </c>
      <c r="B220" t="s">
        <v>1624</v>
      </c>
      <c r="C220" t="s">
        <v>1625</v>
      </c>
      <c r="D220" t="s">
        <v>1626</v>
      </c>
      <c r="E220" t="s">
        <v>71</v>
      </c>
      <c r="F220">
        <v>2010</v>
      </c>
      <c r="G220" t="s">
        <v>1627</v>
      </c>
      <c r="H220" t="s">
        <v>1588</v>
      </c>
      <c r="I220" t="s">
        <v>1628</v>
      </c>
      <c r="J220" t="s">
        <v>1629</v>
      </c>
      <c r="K220" s="4" t="str">
        <f>HYPERLINK("https://www.embase.com/search/results?subaction=viewrecord&amp;id=L2023822448&amp;from=export")</f>
        <v>https://www.embase.com/search/results?subaction=viewrecord&amp;id=L2023822448&amp;from=export</v>
      </c>
    </row>
    <row r="221" spans="1:12" x14ac:dyDescent="0.35">
      <c r="A221">
        <v>58</v>
      </c>
      <c r="B221" t="s">
        <v>1630</v>
      </c>
      <c r="C221" t="s">
        <v>1631</v>
      </c>
      <c r="D221" t="s">
        <v>1632</v>
      </c>
      <c r="E221" t="s">
        <v>528</v>
      </c>
      <c r="F221">
        <v>2010</v>
      </c>
      <c r="G221" t="s">
        <v>1633</v>
      </c>
      <c r="H221" t="s">
        <v>1634</v>
      </c>
      <c r="I221" t="s">
        <v>1635</v>
      </c>
      <c r="J221" t="s">
        <v>1636</v>
      </c>
      <c r="K221" s="5" t="str">
        <f>HYPERLINK("https://www.embase.com/search/results?subaction=viewrecord&amp;id=L2039490534&amp;from=export")</f>
        <v>https://www.embase.com/search/results?subaction=viewrecord&amp;id=L2039490534&amp;from=export</v>
      </c>
    </row>
    <row r="222" spans="1:12" x14ac:dyDescent="0.35">
      <c r="A222">
        <v>59</v>
      </c>
      <c r="B222" t="s">
        <v>1637</v>
      </c>
      <c r="C222" t="s">
        <v>1638</v>
      </c>
      <c r="D222" t="s">
        <v>1639</v>
      </c>
      <c r="E222" t="s">
        <v>79</v>
      </c>
      <c r="F222">
        <v>2009</v>
      </c>
      <c r="G222" t="s">
        <v>1640</v>
      </c>
      <c r="H222" t="s">
        <v>1641</v>
      </c>
      <c r="I222" t="s">
        <v>1642</v>
      </c>
      <c r="J222" t="s">
        <v>1643</v>
      </c>
      <c r="K222" s="4" t="str">
        <f>HYPERLINK("https://www.embase.com/search/results?subaction=viewrecord&amp;id=L2039492805&amp;from=export")</f>
        <v>https://www.embase.com/search/results?subaction=viewrecord&amp;id=L2039492805&amp;from=export</v>
      </c>
    </row>
    <row r="223" spans="1:12" x14ac:dyDescent="0.35">
      <c r="A223">
        <v>60</v>
      </c>
      <c r="B223" t="s">
        <v>1644</v>
      </c>
      <c r="C223" t="s">
        <v>1645</v>
      </c>
      <c r="D223" t="s">
        <v>1646</v>
      </c>
      <c r="E223" t="s">
        <v>130</v>
      </c>
      <c r="F223">
        <v>2009</v>
      </c>
      <c r="G223" t="s">
        <v>1647</v>
      </c>
      <c r="H223" t="s">
        <v>1648</v>
      </c>
      <c r="I223" t="s">
        <v>1649</v>
      </c>
      <c r="J223" t="s">
        <v>1650</v>
      </c>
      <c r="K223" s="4" t="str">
        <f>HYPERLINK("https://www.embase.com/search/results?subaction=viewrecord&amp;id=L24092602&amp;from=export")</f>
        <v>https://www.embase.com/search/results?subaction=viewrecord&amp;id=L24092602&amp;from=export</v>
      </c>
    </row>
    <row r="224" spans="1:12" x14ac:dyDescent="0.35">
      <c r="A224">
        <v>61</v>
      </c>
      <c r="B224" t="s">
        <v>1651</v>
      </c>
      <c r="C224" t="s">
        <v>1652</v>
      </c>
      <c r="D224" t="s">
        <v>1653</v>
      </c>
      <c r="E224" t="s">
        <v>71</v>
      </c>
      <c r="F224">
        <v>2009</v>
      </c>
      <c r="G224" t="s">
        <v>1654</v>
      </c>
      <c r="H224" t="s">
        <v>422</v>
      </c>
      <c r="I224" t="s">
        <v>1655</v>
      </c>
      <c r="J224" t="s">
        <v>1656</v>
      </c>
      <c r="K224" s="4" t="str">
        <f>HYPERLINK("https://www.embase.com/search/results?subaction=viewrecord&amp;id=L25093144&amp;from=export")</f>
        <v>https://www.embase.com/search/results?subaction=viewrecord&amp;id=L25093144&amp;from=export</v>
      </c>
    </row>
    <row r="225" spans="1:11" x14ac:dyDescent="0.35">
      <c r="A225">
        <v>63</v>
      </c>
      <c r="B225" t="s">
        <v>1657</v>
      </c>
      <c r="C225" t="s">
        <v>1658</v>
      </c>
      <c r="D225" t="s">
        <v>1659</v>
      </c>
      <c r="E225" t="s">
        <v>494</v>
      </c>
      <c r="F225">
        <v>2009</v>
      </c>
      <c r="G225" t="s">
        <v>1660</v>
      </c>
      <c r="H225" t="s">
        <v>1661</v>
      </c>
      <c r="I225" t="s">
        <v>1662</v>
      </c>
      <c r="J225" t="s">
        <v>1663</v>
      </c>
      <c r="K225" s="4" t="str">
        <f>HYPERLINK("https://www.embase.com/search/results?subaction=viewrecord&amp;id=L25159707&amp;from=export")</f>
        <v>https://www.embase.com/search/results?subaction=viewrecord&amp;id=L25159707&amp;from=export</v>
      </c>
    </row>
    <row r="226" spans="1:11" x14ac:dyDescent="0.35">
      <c r="A226">
        <v>64</v>
      </c>
      <c r="B226" t="s">
        <v>1664</v>
      </c>
      <c r="C226" t="s">
        <v>1665</v>
      </c>
      <c r="D226" t="s">
        <v>1666</v>
      </c>
      <c r="E226" t="s">
        <v>1667</v>
      </c>
      <c r="F226">
        <v>2008</v>
      </c>
      <c r="G226" t="s">
        <v>1668</v>
      </c>
      <c r="H226" t="s">
        <v>1669</v>
      </c>
      <c r="I226" t="s">
        <v>1670</v>
      </c>
      <c r="J226" t="s">
        <v>1671</v>
      </c>
      <c r="K226" s="4" t="str">
        <f>HYPERLINK("https://www.embase.com/search/results?subaction=viewrecord&amp;id=L33421621&amp;from=export")</f>
        <v>https://www.embase.com/search/results?subaction=viewrecord&amp;id=L33421621&amp;from=export</v>
      </c>
    </row>
    <row r="227" spans="1:11" x14ac:dyDescent="0.35">
      <c r="A227">
        <v>65</v>
      </c>
      <c r="B227" t="s">
        <v>1672</v>
      </c>
      <c r="C227" t="s">
        <v>1673</v>
      </c>
      <c r="D227" t="s">
        <v>1674</v>
      </c>
      <c r="E227" t="s">
        <v>494</v>
      </c>
      <c r="F227">
        <v>2008</v>
      </c>
      <c r="G227" t="s">
        <v>1675</v>
      </c>
      <c r="H227" t="s">
        <v>1676</v>
      </c>
      <c r="I227" t="s">
        <v>1677</v>
      </c>
      <c r="J227" t="s">
        <v>1678</v>
      </c>
      <c r="K227" s="4" t="str">
        <f>HYPERLINK("https://www.embase.com/search/results?subaction=viewrecord&amp;id=L33452408&amp;from=export")</f>
        <v>https://www.embase.com/search/results?subaction=viewrecord&amp;id=L33452408&amp;from=export</v>
      </c>
    </row>
    <row r="228" spans="1:11" x14ac:dyDescent="0.35">
      <c r="A228">
        <v>66</v>
      </c>
      <c r="B228" t="s">
        <v>1679</v>
      </c>
      <c r="C228" t="s">
        <v>1680</v>
      </c>
      <c r="D228" t="s">
        <v>1681</v>
      </c>
      <c r="E228" t="s">
        <v>1449</v>
      </c>
      <c r="F228">
        <v>2007</v>
      </c>
      <c r="G228" t="s">
        <v>1682</v>
      </c>
      <c r="H228" t="s">
        <v>1683</v>
      </c>
      <c r="I228" t="s">
        <v>1684</v>
      </c>
      <c r="J228" t="s">
        <v>1685</v>
      </c>
      <c r="K228" s="4" t="str">
        <f>HYPERLINK("https://www.embase.com/search/results?subaction=viewrecord&amp;id=L33458262&amp;from=export")</f>
        <v>https://www.embase.com/search/results?subaction=viewrecord&amp;id=L33458262&amp;from=export</v>
      </c>
    </row>
    <row r="229" spans="1:11" x14ac:dyDescent="0.35">
      <c r="A229">
        <v>68</v>
      </c>
      <c r="B229" t="s">
        <v>1686</v>
      </c>
      <c r="C229" t="s">
        <v>1687</v>
      </c>
      <c r="D229" t="s">
        <v>1688</v>
      </c>
      <c r="E229" t="s">
        <v>86</v>
      </c>
      <c r="F229">
        <v>2008</v>
      </c>
      <c r="G229" t="s">
        <v>1689</v>
      </c>
      <c r="H229" t="s">
        <v>1379</v>
      </c>
      <c r="I229" t="s">
        <v>1690</v>
      </c>
      <c r="J229" t="s">
        <v>1691</v>
      </c>
      <c r="K229" s="4" t="str">
        <f>HYPERLINK("https://www.embase.com/search/results?subaction=viewrecord&amp;id=L33540224&amp;from=export")</f>
        <v>https://www.embase.com/search/results?subaction=viewrecord&amp;id=L33540224&amp;from=export</v>
      </c>
    </row>
    <row r="230" spans="1:11" x14ac:dyDescent="0.35">
      <c r="A230">
        <v>69</v>
      </c>
      <c r="B230" t="s">
        <v>1692</v>
      </c>
      <c r="C230" t="s">
        <v>1693</v>
      </c>
      <c r="D230" t="s">
        <v>1694</v>
      </c>
      <c r="E230" t="s">
        <v>130</v>
      </c>
      <c r="F230">
        <v>2007</v>
      </c>
      <c r="G230" t="s">
        <v>1695</v>
      </c>
      <c r="H230" t="s">
        <v>1696</v>
      </c>
      <c r="I230" t="s">
        <v>1697</v>
      </c>
      <c r="J230" t="s">
        <v>1698</v>
      </c>
      <c r="K230" s="4" t="str">
        <f>HYPERLINK("https://www.embase.com/search/results?subaction=viewrecord&amp;id=L35615671&amp;from=export")</f>
        <v>https://www.embase.com/search/results?subaction=viewrecord&amp;id=L35615671&amp;from=export</v>
      </c>
    </row>
    <row r="231" spans="1:11" x14ac:dyDescent="0.35">
      <c r="A231">
        <v>70</v>
      </c>
      <c r="B231" t="s">
        <v>1699</v>
      </c>
      <c r="C231" t="s">
        <v>1700</v>
      </c>
      <c r="D231" t="s">
        <v>1701</v>
      </c>
      <c r="E231" t="s">
        <v>130</v>
      </c>
      <c r="F231">
        <v>2007</v>
      </c>
      <c r="G231" t="s">
        <v>1702</v>
      </c>
      <c r="H231" t="s">
        <v>1703</v>
      </c>
      <c r="I231" t="s">
        <v>1704</v>
      </c>
      <c r="J231" t="s">
        <v>1705</v>
      </c>
      <c r="K231" s="4" t="str">
        <f>HYPERLINK("https://www.embase.com/search/results?subaction=viewrecord&amp;id=L358986090&amp;from=export")</f>
        <v>https://www.embase.com/search/results?subaction=viewrecord&amp;id=L358986090&amp;from=export</v>
      </c>
    </row>
    <row r="232" spans="1:11" x14ac:dyDescent="0.35">
      <c r="A232">
        <v>71</v>
      </c>
      <c r="B232" t="s">
        <v>1706</v>
      </c>
      <c r="C232" t="s">
        <v>1707</v>
      </c>
      <c r="D232" t="s">
        <v>1708</v>
      </c>
      <c r="E232" t="s">
        <v>130</v>
      </c>
      <c r="F232">
        <v>2007</v>
      </c>
      <c r="G232" t="s">
        <v>1709</v>
      </c>
      <c r="H232" t="s">
        <v>1710</v>
      </c>
      <c r="I232" t="s">
        <v>1711</v>
      </c>
      <c r="J232" t="s">
        <v>1712</v>
      </c>
      <c r="K232" s="4" t="str">
        <f>HYPERLINK("https://www.embase.com/search/results?subaction=viewrecord&amp;id=L358986098&amp;from=export")</f>
        <v>https://www.embase.com/search/results?subaction=viewrecord&amp;id=L358986098&amp;from=export</v>
      </c>
    </row>
    <row r="233" spans="1:11" x14ac:dyDescent="0.35">
      <c r="A233">
        <v>72</v>
      </c>
      <c r="B233" t="s">
        <v>1713</v>
      </c>
      <c r="C233" t="s">
        <v>1714</v>
      </c>
      <c r="D233" t="s">
        <v>1715</v>
      </c>
      <c r="E233" t="s">
        <v>1667</v>
      </c>
      <c r="F233">
        <v>2006</v>
      </c>
      <c r="G233" t="s">
        <v>1716</v>
      </c>
      <c r="H233" t="s">
        <v>1717</v>
      </c>
      <c r="I233" t="s">
        <v>1718</v>
      </c>
      <c r="J233" t="s">
        <v>1719</v>
      </c>
      <c r="K233" s="4" t="str">
        <f>HYPERLINK("https://www.embase.com/search/results?subaction=viewrecord&amp;id=L358986106&amp;from=export")</f>
        <v>https://www.embase.com/search/results?subaction=viewrecord&amp;id=L358986106&amp;from=export</v>
      </c>
    </row>
    <row r="234" spans="1:11" x14ac:dyDescent="0.35">
      <c r="A234">
        <v>73</v>
      </c>
      <c r="B234" t="s">
        <v>1720</v>
      </c>
      <c r="C234" t="s">
        <v>1721</v>
      </c>
      <c r="D234" t="s">
        <v>1722</v>
      </c>
      <c r="E234" t="s">
        <v>71</v>
      </c>
      <c r="F234">
        <v>2007</v>
      </c>
      <c r="G234" t="s">
        <v>1723</v>
      </c>
      <c r="H234" t="s">
        <v>1724</v>
      </c>
      <c r="I234" t="s">
        <v>1725</v>
      </c>
      <c r="J234" t="s">
        <v>1726</v>
      </c>
      <c r="K234" s="4" t="str">
        <f>HYPERLINK("https://www.embase.com/search/results?subaction=viewrecord&amp;id=L360248818&amp;from=export")</f>
        <v>https://www.embase.com/search/results?subaction=viewrecord&amp;id=L360248818&amp;from=export</v>
      </c>
    </row>
    <row r="235" spans="1:11" x14ac:dyDescent="0.35">
      <c r="A235">
        <v>74</v>
      </c>
      <c r="B235" t="s">
        <v>1727</v>
      </c>
      <c r="C235" t="s">
        <v>1728</v>
      </c>
      <c r="D235" t="s">
        <v>1729</v>
      </c>
      <c r="E235" t="s">
        <v>130</v>
      </c>
      <c r="F235">
        <v>2007</v>
      </c>
      <c r="G235" t="s">
        <v>1730</v>
      </c>
      <c r="H235" t="s">
        <v>1731</v>
      </c>
      <c r="I235" t="s">
        <v>1732</v>
      </c>
      <c r="J235" t="s">
        <v>1733</v>
      </c>
      <c r="K235" s="4" t="str">
        <f>HYPERLINK("https://www.embase.com/search/results?subaction=viewrecord&amp;id=L360300164&amp;from=export")</f>
        <v>https://www.embase.com/search/results?subaction=viewrecord&amp;id=L360300164&amp;from=export</v>
      </c>
    </row>
    <row r="236" spans="1:11" x14ac:dyDescent="0.35">
      <c r="A236">
        <v>75</v>
      </c>
      <c r="B236" t="s">
        <v>1734</v>
      </c>
      <c r="C236" t="s">
        <v>1735</v>
      </c>
      <c r="D236" t="s">
        <v>1736</v>
      </c>
      <c r="E236" t="s">
        <v>528</v>
      </c>
      <c r="F236">
        <v>2007</v>
      </c>
      <c r="G236" t="s">
        <v>1737</v>
      </c>
      <c r="H236" t="s">
        <v>1738</v>
      </c>
      <c r="I236" t="s">
        <v>1739</v>
      </c>
      <c r="J236" t="s">
        <v>1740</v>
      </c>
      <c r="K236" s="4" t="str">
        <f>HYPERLINK("https://www.embase.com/search/results?subaction=viewrecord&amp;id=L360300182&amp;from=export")</f>
        <v>https://www.embase.com/search/results?subaction=viewrecord&amp;id=L360300182&amp;from=export</v>
      </c>
    </row>
    <row r="237" spans="1:11" x14ac:dyDescent="0.35">
      <c r="A237">
        <v>77</v>
      </c>
      <c r="B237" t="s">
        <v>1741</v>
      </c>
      <c r="C237" t="s">
        <v>1742</v>
      </c>
      <c r="D237" t="s">
        <v>1743</v>
      </c>
      <c r="E237" t="s">
        <v>130</v>
      </c>
      <c r="F237">
        <v>2006</v>
      </c>
      <c r="G237" t="s">
        <v>1744</v>
      </c>
      <c r="H237" t="s">
        <v>1379</v>
      </c>
      <c r="I237" t="s">
        <v>1745</v>
      </c>
      <c r="J237" t="s">
        <v>1746</v>
      </c>
      <c r="K237" s="4" t="str">
        <f>HYPERLINK("https://www.embase.com/search/results?subaction=viewrecord&amp;id=L365234555&amp;from=export")</f>
        <v>https://www.embase.com/search/results?subaction=viewrecord&amp;id=L365234555&amp;from=export</v>
      </c>
    </row>
    <row r="238" spans="1:11" x14ac:dyDescent="0.35">
      <c r="A238">
        <v>78</v>
      </c>
      <c r="B238" t="s">
        <v>1747</v>
      </c>
      <c r="C238" t="s">
        <v>1748</v>
      </c>
      <c r="D238" t="s">
        <v>1749</v>
      </c>
      <c r="E238" t="s">
        <v>71</v>
      </c>
      <c r="F238">
        <v>2006</v>
      </c>
      <c r="G238" t="s">
        <v>1750</v>
      </c>
      <c r="H238" t="s">
        <v>1751</v>
      </c>
      <c r="I238" t="s">
        <v>1752</v>
      </c>
      <c r="J238" t="s">
        <v>1753</v>
      </c>
      <c r="K238" s="4" t="str">
        <f>HYPERLINK("https://www.embase.com/search/results?subaction=viewrecord&amp;id=L366005418&amp;from=export")</f>
        <v>https://www.embase.com/search/results?subaction=viewrecord&amp;id=L366005418&amp;from=export</v>
      </c>
    </row>
    <row r="239" spans="1:11" x14ac:dyDescent="0.35">
      <c r="A239">
        <v>79</v>
      </c>
      <c r="B239" t="s">
        <v>1754</v>
      </c>
      <c r="C239" t="s">
        <v>1755</v>
      </c>
      <c r="D239" t="s">
        <v>1756</v>
      </c>
      <c r="E239" t="s">
        <v>71</v>
      </c>
      <c r="F239">
        <v>2006</v>
      </c>
      <c r="G239" t="s">
        <v>1757</v>
      </c>
      <c r="H239" t="s">
        <v>496</v>
      </c>
      <c r="I239" t="s">
        <v>1758</v>
      </c>
      <c r="J239" t="s">
        <v>1759</v>
      </c>
      <c r="K239" s="4" t="str">
        <f>HYPERLINK("https://www.embase.com/search/results?subaction=viewrecord&amp;id=L366357224&amp;from=export")</f>
        <v>https://www.embase.com/search/results?subaction=viewrecord&amp;id=L366357224&amp;from=export</v>
      </c>
    </row>
    <row r="240" spans="1:11" x14ac:dyDescent="0.35">
      <c r="A240">
        <v>80</v>
      </c>
      <c r="B240" t="s">
        <v>1760</v>
      </c>
      <c r="C240" t="s">
        <v>1761</v>
      </c>
      <c r="D240" t="s">
        <v>1762</v>
      </c>
      <c r="E240" t="s">
        <v>130</v>
      </c>
      <c r="F240">
        <v>2006</v>
      </c>
      <c r="G240" t="s">
        <v>1763</v>
      </c>
      <c r="H240" t="s">
        <v>1764</v>
      </c>
      <c r="I240" t="s">
        <v>1765</v>
      </c>
      <c r="J240" t="s">
        <v>1766</v>
      </c>
      <c r="K240" s="4" t="str">
        <f>HYPERLINK("https://www.embase.com/search/results?subaction=viewrecord&amp;id=L373981905&amp;from=export")</f>
        <v>https://www.embase.com/search/results?subaction=viewrecord&amp;id=L373981905&amp;from=export</v>
      </c>
    </row>
    <row r="241" spans="1:11" x14ac:dyDescent="0.35">
      <c r="A241">
        <v>81</v>
      </c>
      <c r="B241" t="s">
        <v>1767</v>
      </c>
      <c r="C241" t="s">
        <v>1768</v>
      </c>
      <c r="D241" t="s">
        <v>1769</v>
      </c>
      <c r="E241" t="s">
        <v>153</v>
      </c>
      <c r="F241">
        <v>2006</v>
      </c>
      <c r="G241" t="s">
        <v>1770</v>
      </c>
      <c r="H241" t="s">
        <v>1751</v>
      </c>
      <c r="I241" t="s">
        <v>1771</v>
      </c>
      <c r="J241" t="s">
        <v>1772</v>
      </c>
      <c r="K241" s="4" t="str">
        <f>HYPERLINK("https://www.embase.com/search/results?subaction=viewrecord&amp;id=L39074351&amp;from=export")</f>
        <v>https://www.embase.com/search/results?subaction=viewrecord&amp;id=L39074351&amp;from=export</v>
      </c>
    </row>
    <row r="242" spans="1:11" x14ac:dyDescent="0.35">
      <c r="A242">
        <v>82</v>
      </c>
      <c r="B242" t="s">
        <v>1773</v>
      </c>
      <c r="C242" t="s">
        <v>1774</v>
      </c>
      <c r="D242" t="s">
        <v>1775</v>
      </c>
      <c r="E242" t="s">
        <v>71</v>
      </c>
      <c r="F242">
        <v>2006</v>
      </c>
      <c r="G242" t="s">
        <v>1776</v>
      </c>
      <c r="H242" t="s">
        <v>1777</v>
      </c>
      <c r="I242" t="s">
        <v>1778</v>
      </c>
      <c r="J242" t="s">
        <v>1779</v>
      </c>
      <c r="K242" s="4" t="str">
        <f>HYPERLINK("https://www.embase.com/search/results?subaction=viewrecord&amp;id=L44249535&amp;from=export")</f>
        <v>https://www.embase.com/search/results?subaction=viewrecord&amp;id=L44249535&amp;from=export</v>
      </c>
    </row>
    <row r="243" spans="1:11" x14ac:dyDescent="0.35">
      <c r="A243">
        <v>83</v>
      </c>
      <c r="B243" t="s">
        <v>1780</v>
      </c>
      <c r="C243" t="s">
        <v>1781</v>
      </c>
      <c r="D243" t="s">
        <v>1782</v>
      </c>
      <c r="E243" t="s">
        <v>130</v>
      </c>
      <c r="F243">
        <v>2006</v>
      </c>
      <c r="G243" t="s">
        <v>1783</v>
      </c>
      <c r="H243" t="s">
        <v>1784</v>
      </c>
      <c r="I243" t="s">
        <v>1785</v>
      </c>
      <c r="J243" t="s">
        <v>1786</v>
      </c>
      <c r="K243" s="4" t="str">
        <f>HYPERLINK("https://www.embase.com/search/results?subaction=viewrecord&amp;id=L560020602&amp;from=export")</f>
        <v>https://www.embase.com/search/results?subaction=viewrecord&amp;id=L560020602&amp;from=export</v>
      </c>
    </row>
    <row r="244" spans="1:11" x14ac:dyDescent="0.35">
      <c r="A244">
        <v>84</v>
      </c>
      <c r="B244" t="s">
        <v>1787</v>
      </c>
      <c r="C244" t="s">
        <v>1788</v>
      </c>
      <c r="D244" t="s">
        <v>1789</v>
      </c>
      <c r="E244" t="s">
        <v>130</v>
      </c>
      <c r="F244">
        <v>2005</v>
      </c>
      <c r="G244" t="s">
        <v>1790</v>
      </c>
      <c r="H244" t="s">
        <v>1588</v>
      </c>
      <c r="I244" t="s">
        <v>1791</v>
      </c>
      <c r="J244" t="s">
        <v>1792</v>
      </c>
      <c r="K244" s="4" t="str">
        <f>HYPERLINK("https://www.embase.com/search/results?subaction=viewrecord&amp;id=L560029995&amp;from=export")</f>
        <v>https://www.embase.com/search/results?subaction=viewrecord&amp;id=L560029995&amp;from=export</v>
      </c>
    </row>
    <row r="245" spans="1:11" x14ac:dyDescent="0.35">
      <c r="A245">
        <v>86</v>
      </c>
      <c r="B245" t="s">
        <v>1793</v>
      </c>
      <c r="C245" t="s">
        <v>1794</v>
      </c>
      <c r="D245" t="s">
        <v>1795</v>
      </c>
      <c r="E245" t="s">
        <v>79</v>
      </c>
      <c r="F245">
        <v>2005</v>
      </c>
      <c r="G245" t="s">
        <v>1796</v>
      </c>
      <c r="H245" t="s">
        <v>552</v>
      </c>
      <c r="I245" t="s">
        <v>1797</v>
      </c>
      <c r="J245" t="s">
        <v>1798</v>
      </c>
      <c r="K245" s="4" t="str">
        <f>HYPERLINK("https://www.embase.com/search/results?subaction=viewrecord&amp;id=L560045113&amp;from=export")</f>
        <v>https://www.embase.com/search/results?subaction=viewrecord&amp;id=L560045113&amp;from=export</v>
      </c>
    </row>
    <row r="246" spans="1:11" x14ac:dyDescent="0.35">
      <c r="A246">
        <v>87</v>
      </c>
      <c r="B246" t="s">
        <v>1799</v>
      </c>
      <c r="C246" t="s">
        <v>1800</v>
      </c>
      <c r="D246" t="s">
        <v>1801</v>
      </c>
      <c r="E246" t="s">
        <v>130</v>
      </c>
      <c r="F246">
        <v>2005</v>
      </c>
      <c r="G246" t="s">
        <v>1802</v>
      </c>
      <c r="H246" t="s">
        <v>1803</v>
      </c>
      <c r="I246" t="s">
        <v>1804</v>
      </c>
      <c r="J246" t="s">
        <v>1805</v>
      </c>
      <c r="K246" s="4" t="str">
        <f>HYPERLINK("https://www.embase.com/search/results?subaction=viewrecord&amp;id=L563021956&amp;from=export")</f>
        <v>https://www.embase.com/search/results?subaction=viewrecord&amp;id=L563021956&amp;from=export</v>
      </c>
    </row>
    <row r="247" spans="1:11" x14ac:dyDescent="0.35">
      <c r="A247">
        <v>88</v>
      </c>
      <c r="B247" t="s">
        <v>1806</v>
      </c>
      <c r="C247" t="s">
        <v>1807</v>
      </c>
      <c r="D247" t="s">
        <v>1808</v>
      </c>
      <c r="E247" t="s">
        <v>1667</v>
      </c>
      <c r="F247">
        <v>2004</v>
      </c>
      <c r="G247" t="s">
        <v>1809</v>
      </c>
      <c r="H247" t="s">
        <v>1810</v>
      </c>
      <c r="I247" t="s">
        <v>1811</v>
      </c>
      <c r="J247" t="s">
        <v>1812</v>
      </c>
      <c r="K247" s="4" t="str">
        <f>HYPERLINK("https://www.embase.com/search/results?subaction=viewrecord&amp;id=L563021961&amp;from=export")</f>
        <v>https://www.embase.com/search/results?subaction=viewrecord&amp;id=L563021961&amp;from=export</v>
      </c>
    </row>
    <row r="248" spans="1:11" x14ac:dyDescent="0.35">
      <c r="A248">
        <v>89</v>
      </c>
      <c r="B248" t="s">
        <v>1813</v>
      </c>
      <c r="C248" t="s">
        <v>1814</v>
      </c>
      <c r="D248" t="s">
        <v>1815</v>
      </c>
      <c r="E248" t="s">
        <v>79</v>
      </c>
      <c r="F248">
        <v>2005</v>
      </c>
      <c r="G248" t="s">
        <v>1816</v>
      </c>
      <c r="H248" t="s">
        <v>1817</v>
      </c>
      <c r="I248" t="s">
        <v>1818</v>
      </c>
      <c r="J248" t="s">
        <v>1819</v>
      </c>
      <c r="K248" s="4" t="str">
        <f>HYPERLINK("https://www.embase.com/search/results?subaction=viewrecord&amp;id=L563069648&amp;from=export")</f>
        <v>https://www.embase.com/search/results?subaction=viewrecord&amp;id=L563069648&amp;from=export</v>
      </c>
    </row>
    <row r="249" spans="1:11" x14ac:dyDescent="0.35">
      <c r="A249">
        <v>90</v>
      </c>
      <c r="B249" t="s">
        <v>1820</v>
      </c>
      <c r="C249" t="s">
        <v>1821</v>
      </c>
      <c r="D249" t="s">
        <v>1822</v>
      </c>
      <c r="E249" t="s">
        <v>79</v>
      </c>
      <c r="F249">
        <v>2005</v>
      </c>
      <c r="G249" t="s">
        <v>1823</v>
      </c>
      <c r="H249" t="s">
        <v>1824</v>
      </c>
      <c r="I249" t="s">
        <v>1825</v>
      </c>
      <c r="J249" t="s">
        <v>1826</v>
      </c>
      <c r="K249" s="4" t="str">
        <f>HYPERLINK("https://www.embase.com/search/results?subaction=viewrecord&amp;id=L563069668&amp;from=export")</f>
        <v>https://www.embase.com/search/results?subaction=viewrecord&amp;id=L563069668&amp;from=export</v>
      </c>
    </row>
    <row r="250" spans="1:11" x14ac:dyDescent="0.35">
      <c r="A250">
        <v>91</v>
      </c>
      <c r="B250" t="s">
        <v>1827</v>
      </c>
      <c r="C250" t="s">
        <v>1828</v>
      </c>
      <c r="D250" t="s">
        <v>1829</v>
      </c>
      <c r="E250" t="s">
        <v>130</v>
      </c>
      <c r="F250">
        <v>2005</v>
      </c>
      <c r="G250" t="s">
        <v>1830</v>
      </c>
      <c r="H250" t="s">
        <v>1831</v>
      </c>
      <c r="I250" t="s">
        <v>1832</v>
      </c>
      <c r="J250" t="s">
        <v>1833</v>
      </c>
      <c r="K250" s="4" t="str">
        <f>HYPERLINK("https://www.embase.com/search/results?subaction=viewrecord&amp;id=L624866580&amp;from=export")</f>
        <v>https://www.embase.com/search/results?subaction=viewrecord&amp;id=L624866580&amp;from=export</v>
      </c>
    </row>
    <row r="251" spans="1:11" x14ac:dyDescent="0.35">
      <c r="A251">
        <v>92</v>
      </c>
      <c r="B251" t="s">
        <v>1834</v>
      </c>
      <c r="C251" t="s">
        <v>1835</v>
      </c>
      <c r="D251" t="s">
        <v>1836</v>
      </c>
      <c r="E251" t="s">
        <v>130</v>
      </c>
      <c r="F251">
        <v>2004</v>
      </c>
      <c r="G251" t="s">
        <v>1837</v>
      </c>
      <c r="H251" t="s">
        <v>1838</v>
      </c>
      <c r="I251" t="s">
        <v>1839</v>
      </c>
      <c r="J251" t="s">
        <v>1840</v>
      </c>
      <c r="K251" s="4" t="str">
        <f>HYPERLINK("https://www.embase.com/search/results?subaction=viewrecord&amp;id=LNCT00198042&amp;from=export")</f>
        <v>https://www.embase.com/search/results?subaction=viewrecord&amp;id=LNCT00198042&amp;from=export</v>
      </c>
    </row>
    <row r="252" spans="1:11" x14ac:dyDescent="0.35">
      <c r="A252">
        <v>96</v>
      </c>
      <c r="B252" t="s">
        <v>1841</v>
      </c>
      <c r="C252" t="s">
        <v>1842</v>
      </c>
      <c r="D252" t="s">
        <v>1843</v>
      </c>
      <c r="E252" t="s">
        <v>71</v>
      </c>
      <c r="F252">
        <v>2003</v>
      </c>
      <c r="G252" t="s">
        <v>1844</v>
      </c>
      <c r="H252" t="s">
        <v>1845</v>
      </c>
      <c r="I252" t="s">
        <v>1846</v>
      </c>
      <c r="J252" t="s">
        <v>1847</v>
      </c>
      <c r="K252" s="4" t="str">
        <f>HYPERLINK("https://www.embase.com/search/results?subaction=viewrecord&amp;id=LNCT00198042&amp;from=export")</f>
        <v>https://www.embase.com/search/results?subaction=viewrecord&amp;id=LNCT00198042&amp;from=export</v>
      </c>
    </row>
    <row r="253" spans="1:11" x14ac:dyDescent="0.35">
      <c r="A253">
        <v>98</v>
      </c>
      <c r="B253" t="s">
        <v>1848</v>
      </c>
      <c r="C253" t="s">
        <v>1849</v>
      </c>
      <c r="D253" t="s">
        <v>1850</v>
      </c>
      <c r="E253" t="s">
        <v>130</v>
      </c>
      <c r="F253">
        <v>2003</v>
      </c>
      <c r="G253" t="s">
        <v>1851</v>
      </c>
      <c r="H253" t="s">
        <v>1852</v>
      </c>
      <c r="I253" t="s">
        <v>1853</v>
      </c>
      <c r="J253" t="s">
        <v>1854</v>
      </c>
      <c r="K253" s="4" t="str">
        <f>HYPERLINK("https://www.embase.com/search/results?subaction=viewrecord&amp;id=LNCT00198042&amp;from=export")</f>
        <v>https://www.embase.com/search/results?subaction=viewrecord&amp;id=LNCT00198042&amp;from=export</v>
      </c>
    </row>
    <row r="254" spans="1:11" x14ac:dyDescent="0.35">
      <c r="A254">
        <v>99</v>
      </c>
      <c r="B254" t="s">
        <v>1855</v>
      </c>
      <c r="C254" t="s">
        <v>1856</v>
      </c>
      <c r="D254" t="s">
        <v>1857</v>
      </c>
      <c r="E254" t="s">
        <v>161</v>
      </c>
      <c r="F254">
        <v>2003</v>
      </c>
      <c r="G254" t="s">
        <v>1858</v>
      </c>
      <c r="H254" t="s">
        <v>1859</v>
      </c>
      <c r="I254" t="s">
        <v>1860</v>
      </c>
      <c r="J254" t="s">
        <v>1861</v>
      </c>
      <c r="K254" s="4" t="str">
        <f>HYPERLINK("https://www.embase.com/search/results?subaction=viewrecord&amp;id=LNCT00529958&amp;from=export")</f>
        <v>https://www.embase.com/search/results?subaction=viewrecord&amp;id=LNCT00529958&amp;from=export</v>
      </c>
    </row>
    <row r="255" spans="1:11" x14ac:dyDescent="0.35">
      <c r="A255">
        <v>101</v>
      </c>
      <c r="B255" t="s">
        <v>1862</v>
      </c>
      <c r="C255" t="s">
        <v>1863</v>
      </c>
      <c r="D255" t="s">
        <v>1864</v>
      </c>
      <c r="E255" t="s">
        <v>130</v>
      </c>
      <c r="F255">
        <v>2003</v>
      </c>
      <c r="G255" t="s">
        <v>1865</v>
      </c>
      <c r="H255" t="s">
        <v>177</v>
      </c>
      <c r="I255" t="s">
        <v>1866</v>
      </c>
      <c r="J255" t="s">
        <v>1867</v>
      </c>
      <c r="K255" s="4" t="str">
        <f>HYPERLINK("https://www.embase.com/search/results?subaction=viewrecord&amp;id=LNCT00529958&amp;from=export")</f>
        <v>https://www.embase.com/search/results?subaction=viewrecord&amp;id=LNCT00529958&amp;from=export</v>
      </c>
    </row>
    <row r="256" spans="1:11" x14ac:dyDescent="0.35">
      <c r="A256">
        <v>102</v>
      </c>
      <c r="B256" t="s">
        <v>1868</v>
      </c>
      <c r="C256" t="s">
        <v>1869</v>
      </c>
      <c r="D256" t="s">
        <v>1870</v>
      </c>
      <c r="E256" t="s">
        <v>130</v>
      </c>
      <c r="F256">
        <v>2003</v>
      </c>
      <c r="G256" t="s">
        <v>1871</v>
      </c>
      <c r="H256" t="s">
        <v>1872</v>
      </c>
      <c r="I256" t="s">
        <v>1873</v>
      </c>
      <c r="J256" t="s">
        <v>1874</v>
      </c>
      <c r="K256" s="4" t="str">
        <f>HYPERLINK("https://www.embase.com/search/results?subaction=viewrecord&amp;id=LNCT00696319&amp;from=export")</f>
        <v>https://www.embase.com/search/results?subaction=viewrecord&amp;id=LNCT00696319&amp;from=export</v>
      </c>
    </row>
    <row r="257" spans="1:11" x14ac:dyDescent="0.35">
      <c r="A257">
        <v>103</v>
      </c>
      <c r="B257" t="s">
        <v>1875</v>
      </c>
      <c r="C257" t="s">
        <v>1876</v>
      </c>
      <c r="D257" t="s">
        <v>1877</v>
      </c>
      <c r="E257" t="s">
        <v>130</v>
      </c>
      <c r="F257">
        <v>2002</v>
      </c>
      <c r="G257" t="s">
        <v>1878</v>
      </c>
      <c r="H257" t="s">
        <v>1588</v>
      </c>
      <c r="I257" t="s">
        <v>1879</v>
      </c>
      <c r="J257" t="s">
        <v>1880</v>
      </c>
      <c r="K257" s="4" t="str">
        <f>HYPERLINK("https://www.embase.com/search/results?subaction=viewrecord&amp;id=LNCT01170546&amp;from=export")</f>
        <v>https://www.embase.com/search/results?subaction=viewrecord&amp;id=LNCT01170546&amp;from=export</v>
      </c>
    </row>
    <row r="258" spans="1:11" x14ac:dyDescent="0.35">
      <c r="A258">
        <v>105</v>
      </c>
      <c r="B258" t="s">
        <v>1881</v>
      </c>
      <c r="C258" t="s">
        <v>1882</v>
      </c>
      <c r="D258" t="s">
        <v>1883</v>
      </c>
      <c r="E258" t="s">
        <v>47</v>
      </c>
      <c r="F258">
        <v>2002</v>
      </c>
      <c r="G258" t="s">
        <v>1884</v>
      </c>
      <c r="H258" t="s">
        <v>1803</v>
      </c>
      <c r="I258" t="s">
        <v>1885</v>
      </c>
      <c r="J258" t="s">
        <v>1886</v>
      </c>
      <c r="K258" s="4" t="str">
        <f>HYPERLINK("https://www.embase.com/search/results?subaction=viewrecord&amp;id=LNCT01170546&amp;from=export")</f>
        <v>https://www.embase.com/search/results?subaction=viewrecord&amp;id=LNCT01170546&amp;from=export</v>
      </c>
    </row>
    <row r="259" spans="1:11" x14ac:dyDescent="0.35">
      <c r="A259">
        <v>107</v>
      </c>
      <c r="B259" t="s">
        <v>1887</v>
      </c>
      <c r="C259" t="s">
        <v>1888</v>
      </c>
      <c r="D259" t="s">
        <v>1889</v>
      </c>
      <c r="E259" t="s">
        <v>130</v>
      </c>
      <c r="F259">
        <v>2002</v>
      </c>
      <c r="G259" t="s">
        <v>1890</v>
      </c>
      <c r="H259" t="s">
        <v>1703</v>
      </c>
      <c r="I259" t="s">
        <v>1891</v>
      </c>
      <c r="J259" t="s">
        <v>1892</v>
      </c>
      <c r="K259" s="4" t="str">
        <f>HYPERLINK("https://www.embase.com/search/results?subaction=viewrecord&amp;id=LNCT01348945&amp;from=export")</f>
        <v>https://www.embase.com/search/results?subaction=viewrecord&amp;id=LNCT01348945&amp;from=export</v>
      </c>
    </row>
    <row r="260" spans="1:11" x14ac:dyDescent="0.35">
      <c r="A260">
        <v>108</v>
      </c>
      <c r="B260" t="s">
        <v>1893</v>
      </c>
      <c r="C260" t="s">
        <v>1894</v>
      </c>
      <c r="D260" t="s">
        <v>1895</v>
      </c>
      <c r="E260" t="s">
        <v>153</v>
      </c>
      <c r="F260">
        <v>2002</v>
      </c>
      <c r="G260" t="s">
        <v>1896</v>
      </c>
      <c r="H260" t="s">
        <v>1897</v>
      </c>
      <c r="I260" t="s">
        <v>1898</v>
      </c>
      <c r="J260" t="s">
        <v>1899</v>
      </c>
      <c r="K260" s="4" t="str">
        <f>HYPERLINK("https://www.embase.com/search/results?subaction=viewrecord&amp;id=LNCT01634711&amp;from=export")</f>
        <v>https://www.embase.com/search/results?subaction=viewrecord&amp;id=LNCT01634711&amp;from=export</v>
      </c>
    </row>
    <row r="261" spans="1:11" x14ac:dyDescent="0.35">
      <c r="A261">
        <v>112</v>
      </c>
      <c r="B261" t="s">
        <v>1900</v>
      </c>
      <c r="C261" t="s">
        <v>1901</v>
      </c>
      <c r="D261" t="s">
        <v>1902</v>
      </c>
      <c r="E261" t="s">
        <v>130</v>
      </c>
      <c r="F261">
        <v>2002</v>
      </c>
      <c r="G261" t="s">
        <v>1903</v>
      </c>
      <c r="H261" t="s">
        <v>1904</v>
      </c>
      <c r="I261" t="s">
        <v>1905</v>
      </c>
      <c r="J261" t="s">
        <v>1906</v>
      </c>
      <c r="K261" s="4" t="str">
        <f>HYPERLINK("https://www.embase.com/search/results?subaction=viewrecord&amp;id=LNCT01634711&amp;from=export")</f>
        <v>https://www.embase.com/search/results?subaction=viewrecord&amp;id=LNCT01634711&amp;from=export</v>
      </c>
    </row>
    <row r="262" spans="1:11" x14ac:dyDescent="0.35">
      <c r="A262">
        <v>113</v>
      </c>
      <c r="B262" t="s">
        <v>1907</v>
      </c>
      <c r="C262" t="s">
        <v>1908</v>
      </c>
      <c r="D262" t="s">
        <v>1909</v>
      </c>
      <c r="E262" t="s">
        <v>130</v>
      </c>
      <c r="F262">
        <v>2002</v>
      </c>
      <c r="G262" t="s">
        <v>1910</v>
      </c>
      <c r="H262" t="s">
        <v>1911</v>
      </c>
      <c r="I262" t="s">
        <v>1912</v>
      </c>
      <c r="J262" t="s">
        <v>1913</v>
      </c>
      <c r="K262" s="4" t="str">
        <f>HYPERLINK("https://www.embase.com/search/results?subaction=viewrecord&amp;id=LNCT01727739&amp;from=export")</f>
        <v>https://www.embase.com/search/results?subaction=viewrecord&amp;id=LNCT01727739&amp;from=export</v>
      </c>
    </row>
    <row r="263" spans="1:11" x14ac:dyDescent="0.35">
      <c r="A263">
        <v>115</v>
      </c>
      <c r="B263" t="s">
        <v>1914</v>
      </c>
      <c r="C263" t="s">
        <v>1915</v>
      </c>
      <c r="D263" t="s">
        <v>1916</v>
      </c>
      <c r="E263" t="s">
        <v>130</v>
      </c>
      <c r="F263">
        <v>2001</v>
      </c>
      <c r="G263" t="s">
        <v>1917</v>
      </c>
      <c r="H263" t="s">
        <v>1918</v>
      </c>
      <c r="I263" t="s">
        <v>1919</v>
      </c>
      <c r="J263" t="s">
        <v>1920</v>
      </c>
      <c r="K263" s="4" t="str">
        <f>HYPERLINK("https://www.embase.com/search/results?subaction=viewrecord&amp;id=LNCT01755819&amp;from=export")</f>
        <v>https://www.embase.com/search/results?subaction=viewrecord&amp;id=LNCT01755819&amp;from=export</v>
      </c>
    </row>
    <row r="264" spans="1:11" x14ac:dyDescent="0.35">
      <c r="A264">
        <v>116</v>
      </c>
      <c r="B264" t="s">
        <v>1921</v>
      </c>
      <c r="C264" t="s">
        <v>1922</v>
      </c>
      <c r="D264" t="s">
        <v>1923</v>
      </c>
      <c r="E264" t="s">
        <v>71</v>
      </c>
      <c r="F264">
        <v>2001</v>
      </c>
      <c r="G264" t="s">
        <v>1924</v>
      </c>
      <c r="H264" t="s">
        <v>1852</v>
      </c>
      <c r="I264" t="s">
        <v>1925</v>
      </c>
      <c r="J264" t="s">
        <v>1926</v>
      </c>
      <c r="K264" s="4" t="str">
        <f>HYPERLINK("https://www.embase.com/search/results?subaction=viewrecord&amp;id=LNCT02310854&amp;from=export")</f>
        <v>https://www.embase.com/search/results?subaction=viewrecord&amp;id=LNCT02310854&amp;from=export</v>
      </c>
    </row>
    <row r="265" spans="1:11" x14ac:dyDescent="0.35">
      <c r="A265">
        <v>117</v>
      </c>
      <c r="B265" t="s">
        <v>1927</v>
      </c>
      <c r="C265" t="s">
        <v>1928</v>
      </c>
      <c r="D265" t="s">
        <v>1929</v>
      </c>
      <c r="E265" t="s">
        <v>79</v>
      </c>
      <c r="F265">
        <v>2001</v>
      </c>
      <c r="G265" t="s">
        <v>1930</v>
      </c>
      <c r="H265" t="s">
        <v>1931</v>
      </c>
      <c r="I265" t="s">
        <v>1932</v>
      </c>
      <c r="J265" t="s">
        <v>1933</v>
      </c>
      <c r="K265" s="4" t="str">
        <f>HYPERLINK("https://www.embase.com/search/results?subaction=viewrecord&amp;id=LNCT02310854&amp;from=export")</f>
        <v>https://www.embase.com/search/results?subaction=viewrecord&amp;id=LNCT02310854&amp;from=export</v>
      </c>
    </row>
    <row r="266" spans="1:11" x14ac:dyDescent="0.35">
      <c r="A266">
        <v>119</v>
      </c>
      <c r="B266" t="s">
        <v>1934</v>
      </c>
      <c r="C266" t="s">
        <v>1935</v>
      </c>
      <c r="D266" t="s">
        <v>1936</v>
      </c>
      <c r="E266" t="s">
        <v>130</v>
      </c>
      <c r="F266">
        <v>2001</v>
      </c>
      <c r="G266" t="s">
        <v>1937</v>
      </c>
      <c r="H266" t="s">
        <v>714</v>
      </c>
      <c r="I266" t="s">
        <v>1938</v>
      </c>
      <c r="J266" t="s">
        <v>1939</v>
      </c>
      <c r="K266" s="4" t="str">
        <f>HYPERLINK("https://www.embase.com/search/results?subaction=viewrecord&amp;id=LNCT02626975&amp;from=export")</f>
        <v>https://www.embase.com/search/results?subaction=viewrecord&amp;id=LNCT02626975&amp;from=export</v>
      </c>
    </row>
    <row r="267" spans="1:11" x14ac:dyDescent="0.35">
      <c r="A267">
        <v>121</v>
      </c>
      <c r="B267" t="s">
        <v>1940</v>
      </c>
      <c r="C267" t="s">
        <v>1941</v>
      </c>
      <c r="D267" t="s">
        <v>1942</v>
      </c>
      <c r="E267" t="s">
        <v>145</v>
      </c>
      <c r="F267">
        <v>2001</v>
      </c>
      <c r="G267" t="s">
        <v>1943</v>
      </c>
      <c r="H267" t="s">
        <v>1944</v>
      </c>
      <c r="I267" t="s">
        <v>1945</v>
      </c>
      <c r="J267" t="s">
        <v>1946</v>
      </c>
      <c r="K267" s="4" t="str">
        <f>HYPERLINK("https://www.embase.com/search/results?subaction=viewrecord&amp;id=LNCT02939677&amp;from=export")</f>
        <v>https://www.embase.com/search/results?subaction=viewrecord&amp;id=LNCT02939677&amp;from=export</v>
      </c>
    </row>
    <row r="268" spans="1:11" x14ac:dyDescent="0.35">
      <c r="A268">
        <v>125</v>
      </c>
      <c r="B268" t="s">
        <v>1947</v>
      </c>
      <c r="C268" t="s">
        <v>1948</v>
      </c>
      <c r="D268" t="s">
        <v>1949</v>
      </c>
      <c r="E268" t="s">
        <v>130</v>
      </c>
      <c r="F268">
        <v>2000</v>
      </c>
      <c r="G268" t="s">
        <v>1950</v>
      </c>
      <c r="H268" t="s">
        <v>1951</v>
      </c>
      <c r="I268" t="s">
        <v>1952</v>
      </c>
      <c r="J268" t="s">
        <v>1953</v>
      </c>
      <c r="K268" s="4" t="str">
        <f>HYPERLINK("https://www.embase.com/search/results?subaction=viewrecord&amp;id=LNCT02939677&amp;from=export")</f>
        <v>https://www.embase.com/search/results?subaction=viewrecord&amp;id=LNCT02939677&amp;from=export</v>
      </c>
    </row>
    <row r="269" spans="1:11" x14ac:dyDescent="0.35">
      <c r="A269">
        <v>126</v>
      </c>
      <c r="B269" t="s">
        <v>1954</v>
      </c>
      <c r="C269" t="s">
        <v>1955</v>
      </c>
      <c r="D269" t="s">
        <v>1956</v>
      </c>
      <c r="E269" t="s">
        <v>115</v>
      </c>
      <c r="F269">
        <v>2000</v>
      </c>
      <c r="G269" t="s">
        <v>1957</v>
      </c>
      <c r="H269" t="s">
        <v>1958</v>
      </c>
      <c r="I269" t="s">
        <v>1959</v>
      </c>
      <c r="J269" t="s">
        <v>1960</v>
      </c>
      <c r="K269" s="4" t="str">
        <f>HYPERLINK("https://www.embase.com/search/results?subaction=viewrecord&amp;id=LNCT03047187&amp;from=export")</f>
        <v>https://www.embase.com/search/results?subaction=viewrecord&amp;id=LNCT03047187&amp;from=export</v>
      </c>
    </row>
    <row r="270" spans="1:11" x14ac:dyDescent="0.35">
      <c r="A270">
        <v>130</v>
      </c>
      <c r="B270" t="s">
        <v>1961</v>
      </c>
      <c r="C270" t="s">
        <v>1962</v>
      </c>
      <c r="D270" t="s">
        <v>1963</v>
      </c>
      <c r="E270" t="s">
        <v>71</v>
      </c>
      <c r="F270">
        <v>1999</v>
      </c>
      <c r="G270" t="s">
        <v>1964</v>
      </c>
      <c r="H270" t="s">
        <v>1872</v>
      </c>
      <c r="I270" t="s">
        <v>1965</v>
      </c>
      <c r="J270" t="s">
        <v>1966</v>
      </c>
      <c r="K270" s="4" t="str">
        <f>HYPERLINK("https://www.embase.com/search/results?subaction=viewrecord&amp;id=LNCT03047187&amp;from=export")</f>
        <v>https://www.embase.com/search/results?subaction=viewrecord&amp;id=LNCT03047187&amp;from=export</v>
      </c>
    </row>
    <row r="271" spans="1:11" x14ac:dyDescent="0.35">
      <c r="A271">
        <v>131</v>
      </c>
      <c r="B271" t="s">
        <v>1967</v>
      </c>
      <c r="C271" t="s">
        <v>1968</v>
      </c>
      <c r="D271" t="s">
        <v>1969</v>
      </c>
      <c r="E271" t="s">
        <v>79</v>
      </c>
      <c r="F271">
        <v>1999</v>
      </c>
      <c r="G271" t="s">
        <v>1970</v>
      </c>
      <c r="H271" t="s">
        <v>1971</v>
      </c>
      <c r="I271" t="s">
        <v>1972</v>
      </c>
      <c r="J271" t="s">
        <v>1973</v>
      </c>
      <c r="K271" s="4" t="str">
        <f>HYPERLINK("https://www.embase.com/search/results?subaction=viewrecord&amp;id=LNCT03073083&amp;from=export")</f>
        <v>https://www.embase.com/search/results?subaction=viewrecord&amp;id=LNCT03073083&amp;from=export</v>
      </c>
    </row>
    <row r="272" spans="1:11" x14ac:dyDescent="0.35">
      <c r="A272">
        <v>138</v>
      </c>
      <c r="B272" t="s">
        <v>1974</v>
      </c>
      <c r="C272" t="s">
        <v>1975</v>
      </c>
      <c r="D272" t="s">
        <v>1976</v>
      </c>
      <c r="E272" t="s">
        <v>71</v>
      </c>
      <c r="F272">
        <v>1998</v>
      </c>
      <c r="G272" t="s">
        <v>1977</v>
      </c>
      <c r="H272" t="s">
        <v>574</v>
      </c>
      <c r="I272" t="s">
        <v>1978</v>
      </c>
      <c r="J272" t="s">
        <v>1979</v>
      </c>
      <c r="K272" s="4" t="str">
        <f>HYPERLINK("https://www.embase.com/search/results?subaction=viewrecord&amp;id=LNCT03073083&amp;from=export")</f>
        <v>https://www.embase.com/search/results?subaction=viewrecord&amp;id=LNCT03073083&amp;from=export</v>
      </c>
    </row>
    <row r="273" spans="1:11" x14ac:dyDescent="0.35">
      <c r="A273">
        <v>144</v>
      </c>
      <c r="B273" t="s">
        <v>1980</v>
      </c>
      <c r="C273" t="s">
        <v>1981</v>
      </c>
      <c r="D273" t="s">
        <v>1982</v>
      </c>
      <c r="E273" t="s">
        <v>71</v>
      </c>
      <c r="F273">
        <v>1997</v>
      </c>
      <c r="G273" t="s">
        <v>1983</v>
      </c>
      <c r="H273" t="s">
        <v>1852</v>
      </c>
      <c r="I273" t="s">
        <v>1984</v>
      </c>
      <c r="J273" t="s">
        <v>1985</v>
      </c>
      <c r="K273" s="4" t="str">
        <f>HYPERLINK("https://www.embase.com/search/results?subaction=viewrecord&amp;id=LNCT03184922&amp;from=export")</f>
        <v>https://www.embase.com/search/results?subaction=viewrecord&amp;id=LNCT03184922&amp;from=export</v>
      </c>
    </row>
    <row r="274" spans="1:11" x14ac:dyDescent="0.35">
      <c r="A274">
        <v>145</v>
      </c>
      <c r="B274" t="s">
        <v>1986</v>
      </c>
      <c r="C274" t="s">
        <v>1987</v>
      </c>
      <c r="D274" t="s">
        <v>1988</v>
      </c>
      <c r="E274" t="s">
        <v>130</v>
      </c>
      <c r="F274">
        <v>1996</v>
      </c>
      <c r="G274" t="s">
        <v>1989</v>
      </c>
      <c r="H274" t="s">
        <v>700</v>
      </c>
      <c r="I274" t="s">
        <v>1990</v>
      </c>
      <c r="J274" t="s">
        <v>1991</v>
      </c>
      <c r="K274" s="4" t="str">
        <f>HYPERLINK("https://www.embase.com/search/results?subaction=viewrecord&amp;id=LNCT03354195&amp;from=export")</f>
        <v>https://www.embase.com/search/results?subaction=viewrecord&amp;id=LNCT03354195&amp;from=export</v>
      </c>
    </row>
    <row r="275" spans="1:11" x14ac:dyDescent="0.35">
      <c r="A275">
        <v>0</v>
      </c>
      <c r="B275" t="s">
        <v>1992</v>
      </c>
      <c r="C275" t="s">
        <v>1993</v>
      </c>
      <c r="D275" t="s">
        <v>1994</v>
      </c>
      <c r="E275" t="s">
        <v>528</v>
      </c>
      <c r="F275">
        <v>2025</v>
      </c>
      <c r="G275" t="s">
        <v>1995</v>
      </c>
      <c r="H275" t="s">
        <v>1996</v>
      </c>
      <c r="I275" t="s">
        <v>1997</v>
      </c>
      <c r="J275" t="s">
        <v>1998</v>
      </c>
      <c r="K275" s="4" t="str">
        <f>HYPERLINK("https://www.embase.com/search/results?subaction=viewrecord&amp;id=LNCT03433170&amp;from=export")</f>
        <v>https://www.embase.com/search/results?subaction=viewrecord&amp;id=LNCT03433170&amp;from=export</v>
      </c>
    </row>
    <row r="276" spans="1:11" x14ac:dyDescent="0.35">
      <c r="A276">
        <v>1</v>
      </c>
      <c r="B276" t="s">
        <v>1999</v>
      </c>
      <c r="C276" t="s">
        <v>2000</v>
      </c>
      <c r="D276" t="s">
        <v>2001</v>
      </c>
      <c r="E276" t="s">
        <v>130</v>
      </c>
      <c r="F276">
        <v>2025</v>
      </c>
      <c r="G276" t="s">
        <v>2002</v>
      </c>
      <c r="H276" t="s">
        <v>2003</v>
      </c>
      <c r="I276" t="s">
        <v>2004</v>
      </c>
      <c r="J276" t="s">
        <v>2005</v>
      </c>
      <c r="K276" s="4" t="str">
        <f>HYPERLINK("https://www.embase.com/search/results?subaction=viewrecord&amp;id=LNCT03441295&amp;from=export")</f>
        <v>https://www.embase.com/search/results?subaction=viewrecord&amp;id=LNCT03441295&amp;from=export</v>
      </c>
    </row>
    <row r="277" spans="1:11" x14ac:dyDescent="0.35">
      <c r="A277">
        <v>2</v>
      </c>
      <c r="B277" t="s">
        <v>2006</v>
      </c>
      <c r="C277" t="s">
        <v>2007</v>
      </c>
      <c r="D277" t="s">
        <v>2008</v>
      </c>
      <c r="E277" t="s">
        <v>71</v>
      </c>
      <c r="F277">
        <v>2026</v>
      </c>
      <c r="G277" t="s">
        <v>2009</v>
      </c>
      <c r="H277" t="s">
        <v>2010</v>
      </c>
      <c r="I277" t="s">
        <v>2011</v>
      </c>
      <c r="J277" t="s">
        <v>2012</v>
      </c>
      <c r="K277" s="4" t="str">
        <f>HYPERLINK("https://www.embase.com/search/results?subaction=viewrecord&amp;id=LNCT03462823&amp;from=export")</f>
        <v>https://www.embase.com/search/results?subaction=viewrecord&amp;id=LNCT03462823&amp;from=export</v>
      </c>
    </row>
    <row r="278" spans="1:11" x14ac:dyDescent="0.35">
      <c r="A278">
        <v>3</v>
      </c>
      <c r="B278" t="s">
        <v>2013</v>
      </c>
      <c r="C278" t="s">
        <v>2014</v>
      </c>
      <c r="D278" t="s">
        <v>2015</v>
      </c>
      <c r="E278" t="s">
        <v>2016</v>
      </c>
      <c r="F278">
        <v>2025</v>
      </c>
      <c r="G278" t="s">
        <v>2017</v>
      </c>
      <c r="H278" t="s">
        <v>2018</v>
      </c>
      <c r="I278" t="s">
        <v>2019</v>
      </c>
      <c r="J278" t="s">
        <v>2020</v>
      </c>
      <c r="K278" s="4" t="str">
        <f>HYPERLINK("https://www.embase.com/search/results?subaction=viewrecord&amp;id=LNCT03510845&amp;from=export")</f>
        <v>https://www.embase.com/search/results?subaction=viewrecord&amp;id=LNCT03510845&amp;from=export</v>
      </c>
    </row>
    <row r="279" spans="1:11" x14ac:dyDescent="0.35">
      <c r="A279">
        <v>5</v>
      </c>
      <c r="B279" t="s">
        <v>2021</v>
      </c>
      <c r="C279" t="s">
        <v>2022</v>
      </c>
      <c r="D279" t="s">
        <v>2023</v>
      </c>
      <c r="E279" t="s">
        <v>71</v>
      </c>
      <c r="F279">
        <v>2025</v>
      </c>
      <c r="G279" t="s">
        <v>2024</v>
      </c>
      <c r="H279" t="s">
        <v>2025</v>
      </c>
      <c r="I279" t="s">
        <v>2026</v>
      </c>
      <c r="J279" t="s">
        <v>2027</v>
      </c>
      <c r="K279" s="4" t="str">
        <f>HYPERLINK("https://www.embase.com/search/results?subaction=viewrecord&amp;id=LNCT03580018&amp;from=export")</f>
        <v>https://www.embase.com/search/results?subaction=viewrecord&amp;id=LNCT03580018&amp;from=export</v>
      </c>
    </row>
    <row r="280" spans="1:11" x14ac:dyDescent="0.35">
      <c r="A280">
        <v>6</v>
      </c>
      <c r="B280" t="s">
        <v>2028</v>
      </c>
      <c r="C280" t="s">
        <v>2029</v>
      </c>
      <c r="D280" t="s">
        <v>2030</v>
      </c>
      <c r="E280" t="s">
        <v>161</v>
      </c>
      <c r="F280">
        <v>2024</v>
      </c>
      <c r="G280" t="s">
        <v>2031</v>
      </c>
      <c r="H280" t="s">
        <v>2032</v>
      </c>
      <c r="I280" t="s">
        <v>2033</v>
      </c>
      <c r="J280" t="s">
        <v>2034</v>
      </c>
      <c r="K280" s="4" t="str">
        <f>HYPERLINK("https://www.embase.com/search/results?subaction=viewrecord&amp;id=LNCT03700996&amp;from=export")</f>
        <v>https://www.embase.com/search/results?subaction=viewrecord&amp;id=LNCT03700996&amp;from=export</v>
      </c>
    </row>
    <row r="281" spans="1:11" x14ac:dyDescent="0.35">
      <c r="A281">
        <v>7</v>
      </c>
      <c r="B281" t="s">
        <v>2035</v>
      </c>
      <c r="C281" t="s">
        <v>2036</v>
      </c>
      <c r="D281" t="s">
        <v>2037</v>
      </c>
      <c r="E281" t="s">
        <v>2038</v>
      </c>
      <c r="F281">
        <v>2025</v>
      </c>
      <c r="G281" t="s">
        <v>2039</v>
      </c>
      <c r="H281" t="s">
        <v>2040</v>
      </c>
      <c r="I281" t="s">
        <v>2041</v>
      </c>
      <c r="J281" t="s">
        <v>2042</v>
      </c>
      <c r="K281" s="4" t="str">
        <f>HYPERLINK("https://www.embase.com/search/results?subaction=viewrecord&amp;id=LNCT03740022&amp;from=export")</f>
        <v>https://www.embase.com/search/results?subaction=viewrecord&amp;id=LNCT03740022&amp;from=export</v>
      </c>
    </row>
    <row r="282" spans="1:11" x14ac:dyDescent="0.35">
      <c r="A282">
        <v>8</v>
      </c>
      <c r="B282" t="s">
        <v>2043</v>
      </c>
      <c r="C282" t="s">
        <v>2044</v>
      </c>
      <c r="D282" t="s">
        <v>2045</v>
      </c>
      <c r="E282" t="s">
        <v>79</v>
      </c>
      <c r="F282">
        <v>2025</v>
      </c>
      <c r="G282" t="s">
        <v>2046</v>
      </c>
      <c r="H282" t="s">
        <v>2047</v>
      </c>
      <c r="I282" t="s">
        <v>2048</v>
      </c>
      <c r="J282" t="s">
        <v>2049</v>
      </c>
      <c r="K282" s="4" t="str">
        <f>HYPERLINK("https://www.embase.com/search/results?subaction=viewrecord&amp;id=LNCT03794570&amp;from=export")</f>
        <v>https://www.embase.com/search/results?subaction=viewrecord&amp;id=LNCT03794570&amp;from=export</v>
      </c>
    </row>
    <row r="283" spans="1:11" x14ac:dyDescent="0.35">
      <c r="A283">
        <v>10</v>
      </c>
      <c r="B283" t="s">
        <v>2050</v>
      </c>
      <c r="C283" t="s">
        <v>2051</v>
      </c>
      <c r="D283" t="s">
        <v>2052</v>
      </c>
      <c r="E283" t="s">
        <v>130</v>
      </c>
      <c r="F283">
        <v>2024</v>
      </c>
      <c r="G283" t="s">
        <v>2053</v>
      </c>
      <c r="H283" t="s">
        <v>2003</v>
      </c>
      <c r="I283" t="s">
        <v>2054</v>
      </c>
      <c r="J283" t="s">
        <v>2055</v>
      </c>
      <c r="K283" s="4" t="str">
        <f>HYPERLINK("https://www.embase.com/search/results?subaction=viewrecord&amp;id=LNCT03896464&amp;from=export")</f>
        <v>https://www.embase.com/search/results?subaction=viewrecord&amp;id=LNCT03896464&amp;from=export</v>
      </c>
    </row>
    <row r="284" spans="1:11" x14ac:dyDescent="0.35">
      <c r="A284">
        <v>12</v>
      </c>
      <c r="B284" t="s">
        <v>2056</v>
      </c>
      <c r="C284" t="s">
        <v>2057</v>
      </c>
      <c r="D284" t="s">
        <v>2058</v>
      </c>
      <c r="E284" t="s">
        <v>2059</v>
      </c>
      <c r="F284">
        <v>2024</v>
      </c>
      <c r="G284" t="s">
        <v>2060</v>
      </c>
      <c r="H284" t="s">
        <v>2061</v>
      </c>
      <c r="I284" t="s">
        <v>2062</v>
      </c>
      <c r="J284" t="s">
        <v>2063</v>
      </c>
      <c r="K284" s="4" t="str">
        <f>HYPERLINK("https://www.embase.com/search/results?subaction=viewrecord&amp;id=LNCT03896464&amp;from=export")</f>
        <v>https://www.embase.com/search/results?subaction=viewrecord&amp;id=LNCT03896464&amp;from=export</v>
      </c>
    </row>
    <row r="285" spans="1:11" x14ac:dyDescent="0.35">
      <c r="A285">
        <v>13</v>
      </c>
      <c r="B285" t="s">
        <v>2064</v>
      </c>
      <c r="C285" t="s">
        <v>2065</v>
      </c>
      <c r="D285" t="s">
        <v>2066</v>
      </c>
      <c r="E285" t="s">
        <v>130</v>
      </c>
      <c r="F285">
        <v>2024</v>
      </c>
      <c r="G285" t="s">
        <v>2067</v>
      </c>
      <c r="H285" t="s">
        <v>2068</v>
      </c>
      <c r="I285" t="s">
        <v>2069</v>
      </c>
      <c r="J285" t="s">
        <v>2070</v>
      </c>
      <c r="K285" s="4" t="str">
        <f>HYPERLINK("https://www.embase.com/search/results?subaction=viewrecord&amp;id=LNCT04123834&amp;from=export")</f>
        <v>https://www.embase.com/search/results?subaction=viewrecord&amp;id=LNCT04123834&amp;from=export</v>
      </c>
    </row>
    <row r="286" spans="1:11" x14ac:dyDescent="0.35">
      <c r="A286">
        <v>14</v>
      </c>
      <c r="B286" t="s">
        <v>2071</v>
      </c>
      <c r="C286" t="s">
        <v>2072</v>
      </c>
      <c r="D286" t="s">
        <v>2073</v>
      </c>
      <c r="E286" t="s">
        <v>2074</v>
      </c>
      <c r="F286">
        <v>2023</v>
      </c>
      <c r="G286" t="s">
        <v>2075</v>
      </c>
      <c r="H286" t="s">
        <v>2076</v>
      </c>
      <c r="I286" t="s">
        <v>2077</v>
      </c>
      <c r="J286" t="s">
        <v>2078</v>
      </c>
      <c r="K286" s="4" t="str">
        <f>HYPERLINK("https://www.embase.com/search/results?subaction=viewrecord&amp;id=LNCT04123834&amp;from=export")</f>
        <v>https://www.embase.com/search/results?subaction=viewrecord&amp;id=LNCT04123834&amp;from=export</v>
      </c>
    </row>
    <row r="287" spans="1:11" x14ac:dyDescent="0.35">
      <c r="A287">
        <v>15</v>
      </c>
      <c r="B287" t="s">
        <v>2079</v>
      </c>
      <c r="C287" t="s">
        <v>2080</v>
      </c>
      <c r="D287" t="s">
        <v>2081</v>
      </c>
      <c r="E287" t="s">
        <v>2082</v>
      </c>
      <c r="F287">
        <v>2023</v>
      </c>
      <c r="G287" t="s">
        <v>2083</v>
      </c>
      <c r="H287" t="s">
        <v>624</v>
      </c>
      <c r="I287" t="s">
        <v>2084</v>
      </c>
      <c r="J287" t="s">
        <v>2085</v>
      </c>
      <c r="K287" s="4" t="str">
        <f>HYPERLINK("https://www.embase.com/search/results?subaction=viewrecord&amp;id=LNCT04129827&amp;from=export")</f>
        <v>https://www.embase.com/search/results?subaction=viewrecord&amp;id=LNCT04129827&amp;from=export</v>
      </c>
    </row>
    <row r="288" spans="1:11" x14ac:dyDescent="0.35">
      <c r="A288">
        <v>16</v>
      </c>
      <c r="B288" t="s">
        <v>2086</v>
      </c>
      <c r="C288" t="s">
        <v>2087</v>
      </c>
      <c r="D288" t="s">
        <v>2088</v>
      </c>
      <c r="E288" t="s">
        <v>342</v>
      </c>
      <c r="F288">
        <v>2022</v>
      </c>
      <c r="G288" t="s">
        <v>2089</v>
      </c>
      <c r="H288" t="s">
        <v>2090</v>
      </c>
      <c r="I288" t="s">
        <v>2091</v>
      </c>
      <c r="J288" t="s">
        <v>2092</v>
      </c>
      <c r="K288" s="4" t="str">
        <f>HYPERLINK("https://www.embase.com/search/results?subaction=viewrecord&amp;id=LNCT04137250&amp;from=export")</f>
        <v>https://www.embase.com/search/results?subaction=viewrecord&amp;id=LNCT04137250&amp;from=export</v>
      </c>
    </row>
    <row r="289" spans="1:11" x14ac:dyDescent="0.35">
      <c r="A289">
        <v>18</v>
      </c>
      <c r="B289" t="s">
        <v>2093</v>
      </c>
      <c r="C289" t="s">
        <v>2094</v>
      </c>
      <c r="D289" t="s">
        <v>2095</v>
      </c>
      <c r="E289" t="s">
        <v>1399</v>
      </c>
      <c r="F289">
        <v>2024</v>
      </c>
      <c r="G289" t="s">
        <v>2096</v>
      </c>
      <c r="H289" t="s">
        <v>2097</v>
      </c>
      <c r="I289" t="s">
        <v>2098</v>
      </c>
      <c r="J289" t="s">
        <v>2099</v>
      </c>
      <c r="K289" s="4" t="str">
        <f>HYPERLINK("https://www.embase.com/search/results?subaction=viewrecord&amp;id=LNCT04137250&amp;from=export")</f>
        <v>https://www.embase.com/search/results?subaction=viewrecord&amp;id=LNCT04137250&amp;from=export</v>
      </c>
    </row>
    <row r="290" spans="1:11" x14ac:dyDescent="0.35">
      <c r="A290">
        <v>19</v>
      </c>
      <c r="B290" t="s">
        <v>2100</v>
      </c>
      <c r="C290" t="s">
        <v>2101</v>
      </c>
      <c r="D290" t="s">
        <v>2102</v>
      </c>
      <c r="E290" t="s">
        <v>79</v>
      </c>
      <c r="F290">
        <v>2024</v>
      </c>
      <c r="G290" t="s">
        <v>2103</v>
      </c>
      <c r="H290" t="s">
        <v>2104</v>
      </c>
      <c r="I290" t="s">
        <v>2105</v>
      </c>
      <c r="J290" t="s">
        <v>2106</v>
      </c>
      <c r="K290" s="4" t="str">
        <f>HYPERLINK("https://www.embase.com/search/results?subaction=viewrecord&amp;id=LNCT04295148&amp;from=export")</f>
        <v>https://www.embase.com/search/results?subaction=viewrecord&amp;id=LNCT04295148&amp;from=export</v>
      </c>
    </row>
    <row r="291" spans="1:11" x14ac:dyDescent="0.35">
      <c r="A291">
        <v>20</v>
      </c>
      <c r="B291" t="s">
        <v>2107</v>
      </c>
      <c r="C291" t="s">
        <v>2108</v>
      </c>
      <c r="D291" t="s">
        <v>2109</v>
      </c>
      <c r="E291" t="s">
        <v>1399</v>
      </c>
      <c r="F291">
        <v>2023</v>
      </c>
      <c r="G291" t="s">
        <v>2110</v>
      </c>
      <c r="H291" t="s">
        <v>2111</v>
      </c>
      <c r="I291" t="s">
        <v>2112</v>
      </c>
      <c r="J291" t="s">
        <v>2113</v>
      </c>
      <c r="K291" s="4" t="str">
        <f>HYPERLINK("https://www.embase.com/search/results?subaction=viewrecord&amp;id=LNCT04295148&amp;from=export")</f>
        <v>https://www.embase.com/search/results?subaction=viewrecord&amp;id=LNCT04295148&amp;from=export</v>
      </c>
    </row>
    <row r="292" spans="1:11" x14ac:dyDescent="0.35">
      <c r="A292">
        <v>21</v>
      </c>
      <c r="B292" t="s">
        <v>2114</v>
      </c>
      <c r="C292" t="s">
        <v>2115</v>
      </c>
      <c r="D292" t="s">
        <v>2116</v>
      </c>
      <c r="E292" t="s">
        <v>2117</v>
      </c>
      <c r="F292">
        <v>2024</v>
      </c>
      <c r="G292" t="s">
        <v>2118</v>
      </c>
      <c r="H292" t="s">
        <v>2119</v>
      </c>
      <c r="I292" t="s">
        <v>2120</v>
      </c>
      <c r="J292" t="s">
        <v>2121</v>
      </c>
      <c r="K292" s="4" t="str">
        <f>HYPERLINK("https://www.embase.com/search/results?subaction=viewrecord&amp;id=LNCT04360928&amp;from=export")</f>
        <v>https://www.embase.com/search/results?subaction=viewrecord&amp;id=LNCT04360928&amp;from=export</v>
      </c>
    </row>
    <row r="293" spans="1:11" x14ac:dyDescent="0.35">
      <c r="A293">
        <v>22</v>
      </c>
      <c r="B293" t="s">
        <v>2122</v>
      </c>
      <c r="C293" t="s">
        <v>2123</v>
      </c>
      <c r="D293" t="s">
        <v>2124</v>
      </c>
      <c r="E293" t="s">
        <v>130</v>
      </c>
      <c r="F293">
        <v>2023</v>
      </c>
      <c r="G293" t="s">
        <v>2125</v>
      </c>
      <c r="H293" t="s">
        <v>2126</v>
      </c>
      <c r="I293" t="s">
        <v>2127</v>
      </c>
      <c r="J293" t="s">
        <v>2128</v>
      </c>
      <c r="K293" s="4" t="str">
        <f>HYPERLINK("https://www.embase.com/search/results?subaction=viewrecord&amp;id=LNCT04360928&amp;from=export")</f>
        <v>https://www.embase.com/search/results?subaction=viewrecord&amp;id=LNCT04360928&amp;from=export</v>
      </c>
    </row>
    <row r="294" spans="1:11" x14ac:dyDescent="0.35">
      <c r="A294">
        <v>24</v>
      </c>
      <c r="B294" t="s">
        <v>2129</v>
      </c>
      <c r="C294" t="s">
        <v>2130</v>
      </c>
      <c r="D294" t="s">
        <v>2131</v>
      </c>
      <c r="E294" t="s">
        <v>94</v>
      </c>
      <c r="F294">
        <v>2023</v>
      </c>
      <c r="G294" t="s">
        <v>2132</v>
      </c>
      <c r="H294" t="s">
        <v>2133</v>
      </c>
      <c r="I294" t="s">
        <v>2134</v>
      </c>
      <c r="J294" t="s">
        <v>2135</v>
      </c>
      <c r="K294" s="4" t="str">
        <f>HYPERLINK("https://www.embase.com/search/results?subaction=viewrecord&amp;id=LNCT04360928&amp;from=export")</f>
        <v>https://www.embase.com/search/results?subaction=viewrecord&amp;id=LNCT04360928&amp;from=export</v>
      </c>
    </row>
    <row r="295" spans="1:11" x14ac:dyDescent="0.35">
      <c r="A295">
        <v>25</v>
      </c>
      <c r="B295" t="s">
        <v>2136</v>
      </c>
      <c r="C295" t="s">
        <v>2137</v>
      </c>
      <c r="D295" t="s">
        <v>2138</v>
      </c>
      <c r="E295" t="s">
        <v>342</v>
      </c>
      <c r="F295">
        <v>2023</v>
      </c>
      <c r="G295" t="s">
        <v>2139</v>
      </c>
      <c r="H295" t="s">
        <v>2140</v>
      </c>
      <c r="I295" t="s">
        <v>2141</v>
      </c>
      <c r="J295" t="s">
        <v>2142</v>
      </c>
      <c r="K295" s="4" t="str">
        <f>HYPERLINK("https://www.embase.com/search/results?subaction=viewrecord&amp;id=LNCT04390035&amp;from=export")</f>
        <v>https://www.embase.com/search/results?subaction=viewrecord&amp;id=LNCT04390035&amp;from=export</v>
      </c>
    </row>
    <row r="296" spans="1:11" x14ac:dyDescent="0.35">
      <c r="A296">
        <v>27</v>
      </c>
      <c r="B296" t="s">
        <v>2143</v>
      </c>
      <c r="C296" t="s">
        <v>2144</v>
      </c>
      <c r="D296" t="s">
        <v>2145</v>
      </c>
      <c r="E296" t="s">
        <v>2146</v>
      </c>
      <c r="F296">
        <v>2022</v>
      </c>
      <c r="G296" t="s">
        <v>2147</v>
      </c>
      <c r="H296" t="s">
        <v>2148</v>
      </c>
      <c r="I296" t="s">
        <v>2149</v>
      </c>
      <c r="J296" t="s">
        <v>2150</v>
      </c>
      <c r="K296" s="4" t="str">
        <f>HYPERLINK("https://www.embase.com/search/results?subaction=viewrecord&amp;id=LNCT04484961&amp;from=export")</f>
        <v>https://www.embase.com/search/results?subaction=viewrecord&amp;id=LNCT04484961&amp;from=export</v>
      </c>
    </row>
    <row r="297" spans="1:11" x14ac:dyDescent="0.35">
      <c r="A297">
        <v>30</v>
      </c>
      <c r="B297" t="s">
        <v>2151</v>
      </c>
      <c r="C297" t="s">
        <v>2152</v>
      </c>
      <c r="D297" t="s">
        <v>2153</v>
      </c>
      <c r="E297" t="s">
        <v>130</v>
      </c>
      <c r="F297">
        <v>2022</v>
      </c>
      <c r="G297" t="s">
        <v>2154</v>
      </c>
      <c r="H297" t="s">
        <v>2155</v>
      </c>
      <c r="I297" t="s">
        <v>2156</v>
      </c>
      <c r="J297" t="s">
        <v>2157</v>
      </c>
      <c r="K297" s="4" t="str">
        <f>HYPERLINK("https://www.embase.com/search/results?subaction=viewrecord&amp;id=LNCT04484961&amp;from=export")</f>
        <v>https://www.embase.com/search/results?subaction=viewrecord&amp;id=LNCT04484961&amp;from=export</v>
      </c>
    </row>
    <row r="298" spans="1:11" x14ac:dyDescent="0.35">
      <c r="A298">
        <v>32</v>
      </c>
      <c r="B298" t="s">
        <v>2158</v>
      </c>
      <c r="C298" t="s">
        <v>2159</v>
      </c>
      <c r="D298" t="s">
        <v>2160</v>
      </c>
      <c r="E298" t="s">
        <v>71</v>
      </c>
      <c r="F298">
        <v>2022</v>
      </c>
      <c r="G298" t="s">
        <v>2161</v>
      </c>
      <c r="H298" t="s">
        <v>2162</v>
      </c>
      <c r="I298" t="s">
        <v>2163</v>
      </c>
      <c r="J298" t="s">
        <v>2164</v>
      </c>
      <c r="K298" s="4" t="str">
        <f>HYPERLINK("https://www.embase.com/search/results?subaction=viewrecord&amp;id=LNCT04531826&amp;from=export")</f>
        <v>https://www.embase.com/search/results?subaction=viewrecord&amp;id=LNCT04531826&amp;from=export</v>
      </c>
    </row>
    <row r="299" spans="1:11" x14ac:dyDescent="0.35">
      <c r="A299">
        <v>35</v>
      </c>
      <c r="B299" t="s">
        <v>2165</v>
      </c>
      <c r="C299" t="s">
        <v>2166</v>
      </c>
      <c r="D299" t="s">
        <v>2167</v>
      </c>
      <c r="E299" t="s">
        <v>379</v>
      </c>
      <c r="F299">
        <v>2021</v>
      </c>
      <c r="G299" t="s">
        <v>2168</v>
      </c>
      <c r="H299" t="s">
        <v>2169</v>
      </c>
      <c r="I299" t="s">
        <v>2170</v>
      </c>
      <c r="J299" t="s">
        <v>2171</v>
      </c>
      <c r="K299" s="4" t="str">
        <f>HYPERLINK("https://www.embase.com/search/results?subaction=viewrecord&amp;id=LNCT04536246&amp;from=export")</f>
        <v>https://www.embase.com/search/results?subaction=viewrecord&amp;id=LNCT04536246&amp;from=export</v>
      </c>
    </row>
    <row r="300" spans="1:11" x14ac:dyDescent="0.35">
      <c r="A300">
        <v>37</v>
      </c>
      <c r="B300" t="s">
        <v>2172</v>
      </c>
      <c r="C300" t="s">
        <v>2173</v>
      </c>
      <c r="D300" t="s">
        <v>2174</v>
      </c>
      <c r="E300" t="s">
        <v>161</v>
      </c>
      <c r="F300">
        <v>2022</v>
      </c>
      <c r="G300" t="s">
        <v>2175</v>
      </c>
      <c r="H300" t="s">
        <v>2176</v>
      </c>
      <c r="I300" t="s">
        <v>2177</v>
      </c>
      <c r="J300" t="s">
        <v>2178</v>
      </c>
      <c r="K300" s="4" t="str">
        <f>HYPERLINK("https://www.embase.com/search/results?subaction=viewrecord&amp;id=LNCT04536246&amp;from=export")</f>
        <v>https://www.embase.com/search/results?subaction=viewrecord&amp;id=LNCT04536246&amp;from=export</v>
      </c>
    </row>
    <row r="301" spans="1:11" x14ac:dyDescent="0.35">
      <c r="A301">
        <v>38</v>
      </c>
      <c r="B301" t="s">
        <v>2179</v>
      </c>
      <c r="C301" t="s">
        <v>2180</v>
      </c>
      <c r="D301" t="s">
        <v>2181</v>
      </c>
      <c r="E301" t="s">
        <v>1399</v>
      </c>
      <c r="F301">
        <v>2021</v>
      </c>
      <c r="G301" t="s">
        <v>2182</v>
      </c>
      <c r="H301" t="s">
        <v>2183</v>
      </c>
      <c r="I301" t="s">
        <v>2184</v>
      </c>
      <c r="J301" t="s">
        <v>2185</v>
      </c>
      <c r="K301" s="4" t="str">
        <f>HYPERLINK("https://www.embase.com/search/results?subaction=viewrecord&amp;id=LNCT04626999&amp;from=export")</f>
        <v>https://www.embase.com/search/results?subaction=viewrecord&amp;id=LNCT04626999&amp;from=export</v>
      </c>
    </row>
    <row r="302" spans="1:11" x14ac:dyDescent="0.35">
      <c r="A302">
        <v>39</v>
      </c>
      <c r="B302" t="s">
        <v>2186</v>
      </c>
      <c r="C302" t="s">
        <v>2187</v>
      </c>
      <c r="D302" t="s">
        <v>2188</v>
      </c>
      <c r="E302" t="s">
        <v>2189</v>
      </c>
      <c r="F302">
        <v>2021</v>
      </c>
      <c r="G302" t="s">
        <v>2190</v>
      </c>
      <c r="H302" t="s">
        <v>2191</v>
      </c>
      <c r="I302" t="s">
        <v>2192</v>
      </c>
      <c r="J302" t="s">
        <v>2193</v>
      </c>
      <c r="K302" s="4" t="str">
        <f>HYPERLINK("https://www.embase.com/search/results?subaction=viewrecord&amp;id=LNCT04650568&amp;from=export")</f>
        <v>https://www.embase.com/search/results?subaction=viewrecord&amp;id=LNCT04650568&amp;from=export</v>
      </c>
    </row>
    <row r="303" spans="1:11" x14ac:dyDescent="0.35">
      <c r="A303">
        <v>40</v>
      </c>
      <c r="B303" t="s">
        <v>2194</v>
      </c>
      <c r="C303" t="s">
        <v>2195</v>
      </c>
      <c r="D303" t="s">
        <v>2196</v>
      </c>
      <c r="E303" t="s">
        <v>130</v>
      </c>
      <c r="F303">
        <v>2020</v>
      </c>
      <c r="G303" t="s">
        <v>2197</v>
      </c>
      <c r="H303" t="s">
        <v>453</v>
      </c>
      <c r="I303" t="s">
        <v>2198</v>
      </c>
      <c r="J303" t="s">
        <v>2199</v>
      </c>
      <c r="K303" s="4" t="str">
        <f>HYPERLINK("https://www.embase.com/search/results?subaction=viewrecord&amp;id=LNCT04677218&amp;from=export")</f>
        <v>https://www.embase.com/search/results?subaction=viewrecord&amp;id=LNCT04677218&amp;from=export</v>
      </c>
    </row>
    <row r="304" spans="1:11" x14ac:dyDescent="0.35">
      <c r="A304">
        <v>41</v>
      </c>
      <c r="B304" t="s">
        <v>2200</v>
      </c>
      <c r="C304" t="s">
        <v>2201</v>
      </c>
      <c r="D304" t="s">
        <v>2202</v>
      </c>
      <c r="E304" t="s">
        <v>79</v>
      </c>
      <c r="F304">
        <v>2021</v>
      </c>
      <c r="G304" t="s">
        <v>2203</v>
      </c>
      <c r="H304" t="s">
        <v>2204</v>
      </c>
      <c r="I304" t="s">
        <v>2205</v>
      </c>
      <c r="J304" t="s">
        <v>2206</v>
      </c>
      <c r="K304" s="4" t="str">
        <f>HYPERLINK("https://www.embase.com/search/results?subaction=viewrecord&amp;id=LNCT04677218&amp;from=export")</f>
        <v>https://www.embase.com/search/results?subaction=viewrecord&amp;id=LNCT04677218&amp;from=export</v>
      </c>
    </row>
    <row r="305" spans="1:11" x14ac:dyDescent="0.35">
      <c r="A305">
        <v>42</v>
      </c>
      <c r="B305" t="s">
        <v>2207</v>
      </c>
      <c r="C305" t="s">
        <v>2208</v>
      </c>
      <c r="D305" t="s">
        <v>2209</v>
      </c>
      <c r="E305" t="s">
        <v>71</v>
      </c>
      <c r="F305">
        <v>2020</v>
      </c>
      <c r="G305" t="s">
        <v>2210</v>
      </c>
      <c r="H305" t="s">
        <v>2211</v>
      </c>
      <c r="I305" t="s">
        <v>2212</v>
      </c>
      <c r="J305" t="s">
        <v>2213</v>
      </c>
      <c r="K305" s="4" t="str">
        <f>HYPERLINK("https://www.embase.com/search/results?subaction=viewrecord&amp;id=LNCT04753424&amp;from=export")</f>
        <v>https://www.embase.com/search/results?subaction=viewrecord&amp;id=LNCT04753424&amp;from=export</v>
      </c>
    </row>
    <row r="306" spans="1:11" x14ac:dyDescent="0.35">
      <c r="A306">
        <v>43</v>
      </c>
      <c r="B306" t="s">
        <v>2214</v>
      </c>
      <c r="C306" t="s">
        <v>2215</v>
      </c>
      <c r="D306" t="s">
        <v>2216</v>
      </c>
      <c r="E306" t="s">
        <v>2217</v>
      </c>
      <c r="F306">
        <v>2020</v>
      </c>
      <c r="G306" t="s">
        <v>2218</v>
      </c>
      <c r="H306" t="s">
        <v>2219</v>
      </c>
      <c r="I306" t="s">
        <v>2220</v>
      </c>
      <c r="J306" t="s">
        <v>2221</v>
      </c>
      <c r="K306" s="4" t="str">
        <f>HYPERLINK("https://www.embase.com/search/results?subaction=viewrecord&amp;id=LNCT04901559&amp;from=export")</f>
        <v>https://www.embase.com/search/results?subaction=viewrecord&amp;id=LNCT04901559&amp;from=export</v>
      </c>
    </row>
    <row r="307" spans="1:11" x14ac:dyDescent="0.35">
      <c r="A307">
        <v>45</v>
      </c>
      <c r="B307" t="s">
        <v>2222</v>
      </c>
      <c r="C307" t="s">
        <v>2223</v>
      </c>
      <c r="D307" t="s">
        <v>2224</v>
      </c>
      <c r="E307" t="s">
        <v>130</v>
      </c>
      <c r="F307">
        <v>2020</v>
      </c>
      <c r="G307" t="s">
        <v>2225</v>
      </c>
      <c r="H307" t="s">
        <v>2226</v>
      </c>
      <c r="I307" t="s">
        <v>2227</v>
      </c>
      <c r="J307" t="s">
        <v>2228</v>
      </c>
      <c r="K307" s="4" t="str">
        <f>HYPERLINK("https://www.embase.com/search/results?subaction=viewrecord&amp;id=LNCT04901559&amp;from=export")</f>
        <v>https://www.embase.com/search/results?subaction=viewrecord&amp;id=LNCT04901559&amp;from=export</v>
      </c>
    </row>
    <row r="308" spans="1:11" x14ac:dyDescent="0.35">
      <c r="A308">
        <v>47</v>
      </c>
      <c r="B308" t="s">
        <v>2229</v>
      </c>
      <c r="C308" t="s">
        <v>2230</v>
      </c>
      <c r="D308" t="s">
        <v>2231</v>
      </c>
      <c r="E308" t="s">
        <v>130</v>
      </c>
      <c r="F308">
        <v>2020</v>
      </c>
      <c r="G308" t="s">
        <v>2232</v>
      </c>
      <c r="H308" t="s">
        <v>2233</v>
      </c>
      <c r="I308" t="s">
        <v>2234</v>
      </c>
      <c r="J308" t="s">
        <v>2235</v>
      </c>
      <c r="K308" s="4" t="str">
        <f>HYPERLINK("https://www.embase.com/search/results?subaction=viewrecord&amp;id=LNCT04901559&amp;from=export")</f>
        <v>https://www.embase.com/search/results?subaction=viewrecord&amp;id=LNCT04901559&amp;from=export</v>
      </c>
    </row>
    <row r="309" spans="1:11" x14ac:dyDescent="0.35">
      <c r="A309">
        <v>48</v>
      </c>
      <c r="B309" t="s">
        <v>2236</v>
      </c>
      <c r="C309" t="s">
        <v>2237</v>
      </c>
      <c r="D309" t="s">
        <v>2238</v>
      </c>
      <c r="E309" t="s">
        <v>2239</v>
      </c>
      <c r="F309">
        <v>2020</v>
      </c>
      <c r="G309" t="s">
        <v>2240</v>
      </c>
      <c r="H309" t="s">
        <v>2241</v>
      </c>
      <c r="I309" t="s">
        <v>2242</v>
      </c>
      <c r="J309" t="s">
        <v>2243</v>
      </c>
      <c r="K309" s="4" t="str">
        <f>HYPERLINK("https://www.embase.com/search/results?subaction=viewrecord&amp;id=LNCT04906538&amp;from=export")</f>
        <v>https://www.embase.com/search/results?subaction=viewrecord&amp;id=LNCT04906538&amp;from=export</v>
      </c>
    </row>
    <row r="310" spans="1:11" x14ac:dyDescent="0.35">
      <c r="A310">
        <v>50</v>
      </c>
      <c r="B310" t="s">
        <v>2244</v>
      </c>
      <c r="C310" t="s">
        <v>2245</v>
      </c>
      <c r="D310" t="s">
        <v>2246</v>
      </c>
      <c r="E310" t="s">
        <v>2247</v>
      </c>
      <c r="F310">
        <v>2020</v>
      </c>
      <c r="G310" t="s">
        <v>2248</v>
      </c>
      <c r="H310" t="s">
        <v>2249</v>
      </c>
      <c r="I310" t="s">
        <v>2250</v>
      </c>
      <c r="J310" t="s">
        <v>2251</v>
      </c>
      <c r="K310" s="4" t="str">
        <f>HYPERLINK("https://www.embase.com/search/results?subaction=viewrecord&amp;id=LNCT04940169&amp;from=export")</f>
        <v>https://www.embase.com/search/results?subaction=viewrecord&amp;id=LNCT04940169&amp;from=export</v>
      </c>
    </row>
    <row r="311" spans="1:11" x14ac:dyDescent="0.35">
      <c r="A311">
        <v>52</v>
      </c>
      <c r="B311" t="s">
        <v>2252</v>
      </c>
      <c r="C311" t="s">
        <v>2253</v>
      </c>
      <c r="D311" t="s">
        <v>2254</v>
      </c>
      <c r="E311" t="s">
        <v>2255</v>
      </c>
      <c r="F311">
        <v>2020</v>
      </c>
      <c r="G311" t="s">
        <v>2256</v>
      </c>
      <c r="H311" t="s">
        <v>2257</v>
      </c>
      <c r="I311" t="s">
        <v>2258</v>
      </c>
      <c r="J311" t="s">
        <v>2259</v>
      </c>
      <c r="K311" s="4" t="str">
        <f>HYPERLINK("https://www.embase.com/search/results?subaction=viewrecord&amp;id=LNCT04940169&amp;from=export")</f>
        <v>https://www.embase.com/search/results?subaction=viewrecord&amp;id=LNCT04940169&amp;from=export</v>
      </c>
    </row>
    <row r="312" spans="1:11" x14ac:dyDescent="0.35">
      <c r="A312">
        <v>53</v>
      </c>
      <c r="B312" t="s">
        <v>2260</v>
      </c>
      <c r="C312" t="s">
        <v>2261</v>
      </c>
      <c r="D312" t="s">
        <v>2262</v>
      </c>
      <c r="E312" t="s">
        <v>2059</v>
      </c>
      <c r="F312">
        <v>2019</v>
      </c>
      <c r="G312" t="s">
        <v>2263</v>
      </c>
      <c r="H312" t="s">
        <v>2264</v>
      </c>
      <c r="I312" t="s">
        <v>2265</v>
      </c>
      <c r="J312" t="s">
        <v>2266</v>
      </c>
      <c r="K312" s="4" t="str">
        <f>HYPERLINK("https://www.embase.com/search/results?subaction=viewrecord&amp;id=LNCT04951531&amp;from=export")</f>
        <v>https://www.embase.com/search/results?subaction=viewrecord&amp;id=LNCT04951531&amp;from=export</v>
      </c>
    </row>
    <row r="313" spans="1:11" x14ac:dyDescent="0.35">
      <c r="A313">
        <v>54</v>
      </c>
      <c r="B313" t="s">
        <v>2267</v>
      </c>
      <c r="C313" t="s">
        <v>2268</v>
      </c>
      <c r="D313" t="s">
        <v>2269</v>
      </c>
      <c r="E313" t="s">
        <v>130</v>
      </c>
      <c r="F313">
        <v>2019</v>
      </c>
      <c r="G313" t="s">
        <v>2270</v>
      </c>
      <c r="H313" t="s">
        <v>2271</v>
      </c>
      <c r="I313" t="s">
        <v>2272</v>
      </c>
      <c r="J313" t="s">
        <v>2273</v>
      </c>
      <c r="K313" s="4" t="str">
        <f>HYPERLINK("https://www.embase.com/search/results?subaction=viewrecord&amp;id=LNCT04953676&amp;from=export")</f>
        <v>https://www.embase.com/search/results?subaction=viewrecord&amp;id=LNCT04953676&amp;from=export</v>
      </c>
    </row>
    <row r="314" spans="1:11" x14ac:dyDescent="0.35">
      <c r="A314">
        <v>57</v>
      </c>
      <c r="B314" t="s">
        <v>2274</v>
      </c>
      <c r="C314" t="s">
        <v>2275</v>
      </c>
      <c r="D314" t="s">
        <v>2276</v>
      </c>
      <c r="E314" t="s">
        <v>71</v>
      </c>
      <c r="F314">
        <v>2019</v>
      </c>
      <c r="G314" t="s">
        <v>2277</v>
      </c>
      <c r="H314" t="s">
        <v>2278</v>
      </c>
      <c r="I314" t="s">
        <v>2279</v>
      </c>
      <c r="J314" t="s">
        <v>2280</v>
      </c>
      <c r="K314" s="4" t="str">
        <f>HYPERLINK("https://www.embase.com/search/results?subaction=viewrecord&amp;id=LNCT05088278&amp;from=export")</f>
        <v>https://www.embase.com/search/results?subaction=viewrecord&amp;id=LNCT05088278&amp;from=export</v>
      </c>
    </row>
    <row r="315" spans="1:11" x14ac:dyDescent="0.35">
      <c r="A315">
        <v>58</v>
      </c>
      <c r="B315" t="s">
        <v>2281</v>
      </c>
      <c r="C315" t="s">
        <v>2282</v>
      </c>
      <c r="D315" t="s">
        <v>2283</v>
      </c>
      <c r="E315" t="s">
        <v>2284</v>
      </c>
      <c r="F315">
        <v>2019</v>
      </c>
      <c r="G315" t="s">
        <v>2285</v>
      </c>
      <c r="H315" t="s">
        <v>2286</v>
      </c>
      <c r="I315" t="s">
        <v>2287</v>
      </c>
      <c r="J315" t="s">
        <v>2288</v>
      </c>
      <c r="K315" s="4" t="str">
        <f>HYPERLINK("https://www.embase.com/search/results?subaction=viewrecord&amp;id=LNCT05180123&amp;from=export")</f>
        <v>https://www.embase.com/search/results?subaction=viewrecord&amp;id=LNCT05180123&amp;from=export</v>
      </c>
    </row>
    <row r="316" spans="1:11" x14ac:dyDescent="0.35">
      <c r="A316">
        <v>59</v>
      </c>
      <c r="B316" t="s">
        <v>2289</v>
      </c>
      <c r="C316" t="s">
        <v>2290</v>
      </c>
      <c r="D316" t="s">
        <v>2291</v>
      </c>
      <c r="E316" t="s">
        <v>130</v>
      </c>
      <c r="F316">
        <v>2019</v>
      </c>
      <c r="G316" t="s">
        <v>2292</v>
      </c>
      <c r="H316" t="s">
        <v>2293</v>
      </c>
      <c r="I316" t="s">
        <v>2294</v>
      </c>
      <c r="J316" t="s">
        <v>2295</v>
      </c>
      <c r="K316" s="4" t="str">
        <f>HYPERLINK("https://www.embase.com/search/results?subaction=viewrecord&amp;id=LNCT05184023&amp;from=export")</f>
        <v>https://www.embase.com/search/results?subaction=viewrecord&amp;id=LNCT05184023&amp;from=export</v>
      </c>
    </row>
    <row r="317" spans="1:11" x14ac:dyDescent="0.35">
      <c r="A317">
        <v>60</v>
      </c>
      <c r="B317" t="s">
        <v>2296</v>
      </c>
      <c r="C317" t="s">
        <v>2297</v>
      </c>
      <c r="D317" t="s">
        <v>2298</v>
      </c>
      <c r="E317" t="s">
        <v>71</v>
      </c>
      <c r="F317">
        <v>2019</v>
      </c>
      <c r="G317" t="s">
        <v>2299</v>
      </c>
      <c r="H317" t="s">
        <v>2300</v>
      </c>
      <c r="I317" t="s">
        <v>2301</v>
      </c>
      <c r="J317" t="s">
        <v>2302</v>
      </c>
      <c r="K317" s="4" t="str">
        <f>HYPERLINK("https://www.embase.com/search/results?subaction=viewrecord&amp;id=LNCT05270551&amp;from=export")</f>
        <v>https://www.embase.com/search/results?subaction=viewrecord&amp;id=LNCT05270551&amp;from=export</v>
      </c>
    </row>
    <row r="318" spans="1:11" x14ac:dyDescent="0.35">
      <c r="A318">
        <v>62</v>
      </c>
      <c r="B318" t="s">
        <v>2303</v>
      </c>
      <c r="C318" t="s">
        <v>2304</v>
      </c>
      <c r="D318" t="s">
        <v>2305</v>
      </c>
      <c r="E318" t="s">
        <v>528</v>
      </c>
      <c r="F318">
        <v>2018</v>
      </c>
      <c r="G318" t="s">
        <v>2306</v>
      </c>
      <c r="H318" t="s">
        <v>2307</v>
      </c>
      <c r="I318" t="s">
        <v>2308</v>
      </c>
      <c r="J318" t="s">
        <v>2309</v>
      </c>
      <c r="K318" s="4" t="str">
        <f>HYPERLINK("https://www.embase.com/search/results?subaction=viewrecord&amp;id=LNCT05270551&amp;from=export")</f>
        <v>https://www.embase.com/search/results?subaction=viewrecord&amp;id=LNCT05270551&amp;from=export</v>
      </c>
    </row>
    <row r="319" spans="1:11" x14ac:dyDescent="0.35">
      <c r="A319">
        <v>64</v>
      </c>
      <c r="B319" t="s">
        <v>2310</v>
      </c>
      <c r="C319" t="s">
        <v>2311</v>
      </c>
      <c r="D319" t="s">
        <v>2312</v>
      </c>
      <c r="E319" t="s">
        <v>79</v>
      </c>
      <c r="F319">
        <v>2018</v>
      </c>
      <c r="G319" t="s">
        <v>2313</v>
      </c>
      <c r="H319" t="s">
        <v>453</v>
      </c>
      <c r="I319" t="s">
        <v>2314</v>
      </c>
      <c r="J319" t="s">
        <v>2315</v>
      </c>
      <c r="K319" s="4" t="str">
        <f>HYPERLINK("https://www.embase.com/search/results?subaction=viewrecord&amp;id=LNCT05342441&amp;from=export")</f>
        <v>https://www.embase.com/search/results?subaction=viewrecord&amp;id=LNCT05342441&amp;from=export</v>
      </c>
    </row>
    <row r="320" spans="1:11" x14ac:dyDescent="0.35">
      <c r="A320">
        <v>65</v>
      </c>
      <c r="B320" t="s">
        <v>2316</v>
      </c>
      <c r="C320" t="s">
        <v>2317</v>
      </c>
      <c r="D320" t="s">
        <v>2318</v>
      </c>
      <c r="E320" t="s">
        <v>379</v>
      </c>
      <c r="F320">
        <v>2018</v>
      </c>
      <c r="G320" t="s">
        <v>2319</v>
      </c>
      <c r="H320" t="s">
        <v>2320</v>
      </c>
      <c r="I320" t="s">
        <v>2321</v>
      </c>
      <c r="J320" t="s">
        <v>2322</v>
      </c>
      <c r="K320" s="4" t="str">
        <f>HYPERLINK("https://www.embase.com/search/results?subaction=viewrecord&amp;id=LNCT05342441&amp;from=export")</f>
        <v>https://www.embase.com/search/results?subaction=viewrecord&amp;id=LNCT05342441&amp;from=export</v>
      </c>
    </row>
    <row r="321" spans="1:11" x14ac:dyDescent="0.35">
      <c r="A321">
        <v>66</v>
      </c>
      <c r="B321" t="s">
        <v>2323</v>
      </c>
      <c r="C321" t="s">
        <v>2324</v>
      </c>
      <c r="D321" t="s">
        <v>2325</v>
      </c>
      <c r="E321" t="s">
        <v>130</v>
      </c>
      <c r="F321">
        <v>2018</v>
      </c>
      <c r="G321" t="s">
        <v>2326</v>
      </c>
      <c r="H321" t="s">
        <v>2264</v>
      </c>
      <c r="I321" t="s">
        <v>2327</v>
      </c>
      <c r="J321" t="s">
        <v>2328</v>
      </c>
      <c r="K321" s="4" t="str">
        <f>HYPERLINK("https://www.embase.com/search/results?subaction=viewrecord&amp;id=LNCT05342441&amp;from=export")</f>
        <v>https://www.embase.com/search/results?subaction=viewrecord&amp;id=LNCT05342441&amp;from=export</v>
      </c>
    </row>
    <row r="322" spans="1:11" x14ac:dyDescent="0.35">
      <c r="A322">
        <v>67</v>
      </c>
      <c r="B322" t="s">
        <v>2329</v>
      </c>
      <c r="C322" t="s">
        <v>2330</v>
      </c>
      <c r="D322" t="s">
        <v>2331</v>
      </c>
      <c r="E322" t="s">
        <v>63</v>
      </c>
      <c r="F322">
        <v>2018</v>
      </c>
      <c r="G322" t="s">
        <v>2332</v>
      </c>
      <c r="H322" t="s">
        <v>2333</v>
      </c>
      <c r="I322" t="s">
        <v>2334</v>
      </c>
      <c r="J322" t="s">
        <v>2335</v>
      </c>
      <c r="K322" s="4" t="str">
        <f>HYPERLINK("https://www.embase.com/search/results?subaction=viewrecord&amp;id=LNCT05426954&amp;from=export")</f>
        <v>https://www.embase.com/search/results?subaction=viewrecord&amp;id=LNCT05426954&amp;from=export</v>
      </c>
    </row>
    <row r="323" spans="1:11" x14ac:dyDescent="0.35">
      <c r="A323">
        <v>68</v>
      </c>
      <c r="B323" t="s">
        <v>2336</v>
      </c>
      <c r="C323" t="s">
        <v>2337</v>
      </c>
      <c r="D323" t="s">
        <v>2338</v>
      </c>
      <c r="E323" t="s">
        <v>79</v>
      </c>
      <c r="F323">
        <v>2017</v>
      </c>
      <c r="G323" t="s">
        <v>2339</v>
      </c>
      <c r="H323" t="s">
        <v>824</v>
      </c>
      <c r="I323" t="s">
        <v>2340</v>
      </c>
      <c r="J323" t="s">
        <v>2341</v>
      </c>
      <c r="K323" s="4" t="str">
        <f>HYPERLINK("https://www.embase.com/search/results?subaction=viewrecord&amp;id=LNCT05461326&amp;from=export")</f>
        <v>https://www.embase.com/search/results?subaction=viewrecord&amp;id=LNCT05461326&amp;from=export</v>
      </c>
    </row>
    <row r="324" spans="1:11" x14ac:dyDescent="0.35">
      <c r="A324">
        <v>69</v>
      </c>
      <c r="B324" t="s">
        <v>2342</v>
      </c>
      <c r="C324" t="s">
        <v>2343</v>
      </c>
      <c r="D324" t="s">
        <v>2344</v>
      </c>
      <c r="E324" t="s">
        <v>161</v>
      </c>
      <c r="F324">
        <v>2017</v>
      </c>
      <c r="G324" t="s">
        <v>2345</v>
      </c>
      <c r="H324" t="s">
        <v>2346</v>
      </c>
      <c r="I324" t="s">
        <v>2347</v>
      </c>
      <c r="J324" t="s">
        <v>2348</v>
      </c>
      <c r="K324" s="4" t="str">
        <f>HYPERLINK("https://www.embase.com/search/results?subaction=viewrecord&amp;id=LNCT05461326&amp;from=export")</f>
        <v>https://www.embase.com/search/results?subaction=viewrecord&amp;id=LNCT05461326&amp;from=export</v>
      </c>
    </row>
    <row r="325" spans="1:11" x14ac:dyDescent="0.35">
      <c r="A325">
        <v>70</v>
      </c>
      <c r="B325" t="s">
        <v>2349</v>
      </c>
      <c r="C325" t="s">
        <v>2350</v>
      </c>
      <c r="D325" t="s">
        <v>2351</v>
      </c>
      <c r="E325" t="s">
        <v>71</v>
      </c>
      <c r="F325">
        <v>2018</v>
      </c>
      <c r="G325" t="s">
        <v>2352</v>
      </c>
      <c r="H325" t="s">
        <v>700</v>
      </c>
      <c r="I325" t="s">
        <v>2353</v>
      </c>
      <c r="J325" t="s">
        <v>2354</v>
      </c>
      <c r="K325" s="4" t="str">
        <f>HYPERLINK("https://www.embase.com/search/results?subaction=viewrecord&amp;id=LNCT05481918&amp;from=export")</f>
        <v>https://www.embase.com/search/results?subaction=viewrecord&amp;id=LNCT05481918&amp;from=export</v>
      </c>
    </row>
    <row r="326" spans="1:11" x14ac:dyDescent="0.35">
      <c r="A326">
        <v>71</v>
      </c>
      <c r="B326" t="s">
        <v>2355</v>
      </c>
      <c r="C326" t="s">
        <v>2356</v>
      </c>
      <c r="D326" t="s">
        <v>2357</v>
      </c>
      <c r="E326" t="s">
        <v>71</v>
      </c>
      <c r="F326">
        <v>2018</v>
      </c>
      <c r="G326" t="s">
        <v>2358</v>
      </c>
      <c r="H326" t="s">
        <v>2359</v>
      </c>
      <c r="I326" t="s">
        <v>2360</v>
      </c>
      <c r="J326" t="s">
        <v>2361</v>
      </c>
      <c r="K326" s="4" t="str">
        <f>HYPERLINK("https://www.embase.com/search/results?subaction=viewrecord&amp;id=LNCT05489627&amp;from=export")</f>
        <v>https://www.embase.com/search/results?subaction=viewrecord&amp;id=LNCT05489627&amp;from=export</v>
      </c>
    </row>
    <row r="327" spans="1:11" x14ac:dyDescent="0.35">
      <c r="A327">
        <v>72</v>
      </c>
      <c r="B327" t="s">
        <v>2362</v>
      </c>
      <c r="C327" t="s">
        <v>2363</v>
      </c>
      <c r="D327" t="s">
        <v>2364</v>
      </c>
      <c r="E327" t="s">
        <v>2365</v>
      </c>
      <c r="F327">
        <v>2017</v>
      </c>
      <c r="G327" t="s">
        <v>2366</v>
      </c>
      <c r="H327" t="s">
        <v>2264</v>
      </c>
      <c r="I327" t="s">
        <v>2367</v>
      </c>
      <c r="J327" t="s">
        <v>2368</v>
      </c>
      <c r="K327" s="4" t="str">
        <f>HYPERLINK("https://www.embase.com/search/results?subaction=viewrecord&amp;id=LNCT05489627&amp;from=export")</f>
        <v>https://www.embase.com/search/results?subaction=viewrecord&amp;id=LNCT05489627&amp;from=export</v>
      </c>
    </row>
    <row r="328" spans="1:11" x14ac:dyDescent="0.35">
      <c r="A328">
        <v>73</v>
      </c>
      <c r="B328" t="s">
        <v>2369</v>
      </c>
      <c r="C328" t="s">
        <v>2370</v>
      </c>
      <c r="D328" t="s">
        <v>2371</v>
      </c>
      <c r="E328" t="s">
        <v>528</v>
      </c>
      <c r="F328">
        <v>2016</v>
      </c>
      <c r="G328" t="s">
        <v>2372</v>
      </c>
      <c r="H328" t="s">
        <v>2373</v>
      </c>
      <c r="I328" t="s">
        <v>2374</v>
      </c>
      <c r="J328" t="s">
        <v>2375</v>
      </c>
      <c r="K328" s="4" t="str">
        <f>HYPERLINK("https://www.embase.com/search/results?subaction=viewrecord&amp;id=LNCT05532189&amp;from=export")</f>
        <v>https://www.embase.com/search/results?subaction=viewrecord&amp;id=LNCT05532189&amp;from=export</v>
      </c>
    </row>
    <row r="329" spans="1:11" x14ac:dyDescent="0.35">
      <c r="A329">
        <v>75</v>
      </c>
      <c r="B329" t="s">
        <v>2376</v>
      </c>
      <c r="C329" t="s">
        <v>2377</v>
      </c>
      <c r="D329" t="s">
        <v>2378</v>
      </c>
      <c r="E329" t="s">
        <v>436</v>
      </c>
      <c r="F329">
        <v>2016</v>
      </c>
      <c r="G329" t="s">
        <v>2379</v>
      </c>
      <c r="H329" t="s">
        <v>2380</v>
      </c>
      <c r="I329" t="s">
        <v>2381</v>
      </c>
      <c r="J329" t="s">
        <v>2382</v>
      </c>
      <c r="K329" s="4" t="str">
        <f>HYPERLINK("https://www.embase.com/search/results?subaction=viewrecord&amp;id=LNCT05574946&amp;from=export")</f>
        <v>https://www.embase.com/search/results?subaction=viewrecord&amp;id=LNCT05574946&amp;from=export</v>
      </c>
    </row>
    <row r="330" spans="1:11" x14ac:dyDescent="0.35">
      <c r="A330">
        <v>77</v>
      </c>
      <c r="B330" t="s">
        <v>2383</v>
      </c>
      <c r="C330" t="s">
        <v>2384</v>
      </c>
      <c r="D330" t="s">
        <v>2385</v>
      </c>
      <c r="E330" t="s">
        <v>1399</v>
      </c>
      <c r="F330">
        <v>2016</v>
      </c>
      <c r="G330" t="s">
        <v>2386</v>
      </c>
      <c r="H330" t="s">
        <v>2387</v>
      </c>
      <c r="I330" t="s">
        <v>2388</v>
      </c>
      <c r="J330" t="s">
        <v>2389</v>
      </c>
      <c r="K330" s="4" t="str">
        <f>HYPERLINK("https://www.embase.com/search/results?subaction=viewrecord&amp;id=LNCT05580133&amp;from=export")</f>
        <v>https://www.embase.com/search/results?subaction=viewrecord&amp;id=LNCT05580133&amp;from=export</v>
      </c>
    </row>
    <row r="331" spans="1:11" x14ac:dyDescent="0.35">
      <c r="A331">
        <v>79</v>
      </c>
      <c r="B331" t="s">
        <v>2390</v>
      </c>
      <c r="C331" t="s">
        <v>2391</v>
      </c>
      <c r="D331" t="s">
        <v>2392</v>
      </c>
      <c r="E331" t="s">
        <v>130</v>
      </c>
      <c r="F331">
        <v>2016</v>
      </c>
      <c r="G331" t="s">
        <v>2393</v>
      </c>
      <c r="H331" t="s">
        <v>2264</v>
      </c>
      <c r="I331" t="s">
        <v>2394</v>
      </c>
      <c r="J331" t="s">
        <v>2395</v>
      </c>
      <c r="K331" s="4" t="str">
        <f>HYPERLINK("https://www.embase.com/search/results?subaction=viewrecord&amp;id=LNCT05580133&amp;from=export")</f>
        <v>https://www.embase.com/search/results?subaction=viewrecord&amp;id=LNCT05580133&amp;from=export</v>
      </c>
    </row>
    <row r="332" spans="1:11" x14ac:dyDescent="0.35">
      <c r="A332">
        <v>82</v>
      </c>
      <c r="B332" t="s">
        <v>2396</v>
      </c>
      <c r="C332" t="s">
        <v>2397</v>
      </c>
      <c r="D332" t="s">
        <v>2398</v>
      </c>
      <c r="E332" t="s">
        <v>71</v>
      </c>
      <c r="F332">
        <v>2017</v>
      </c>
      <c r="G332" t="s">
        <v>2399</v>
      </c>
      <c r="H332" t="s">
        <v>2400</v>
      </c>
      <c r="I332" t="s">
        <v>2401</v>
      </c>
      <c r="J332" t="s">
        <v>2402</v>
      </c>
      <c r="K332" s="4" t="str">
        <f>HYPERLINK("https://www.embase.com/search/results?subaction=viewrecord&amp;id=LNCT05580133&amp;from=export")</f>
        <v>https://www.embase.com/search/results?subaction=viewrecord&amp;id=LNCT05580133&amp;from=export</v>
      </c>
    </row>
    <row r="333" spans="1:11" x14ac:dyDescent="0.35">
      <c r="A333">
        <v>83</v>
      </c>
      <c r="B333" t="s">
        <v>2403</v>
      </c>
      <c r="C333" t="s">
        <v>2404</v>
      </c>
      <c r="D333" t="s">
        <v>2405</v>
      </c>
      <c r="E333" t="s">
        <v>130</v>
      </c>
      <c r="F333">
        <v>2016</v>
      </c>
      <c r="G333" t="s">
        <v>2406</v>
      </c>
      <c r="H333" t="s">
        <v>2407</v>
      </c>
      <c r="I333" t="s">
        <v>2408</v>
      </c>
      <c r="J333" t="s">
        <v>2409</v>
      </c>
      <c r="K333" s="4" t="str">
        <f>HYPERLINK("https://www.embase.com/search/results?subaction=viewrecord&amp;id=LNCT05580133&amp;from=export")</f>
        <v>https://www.embase.com/search/results?subaction=viewrecord&amp;id=LNCT05580133&amp;from=export</v>
      </c>
    </row>
    <row r="334" spans="1:11" x14ac:dyDescent="0.35">
      <c r="A334">
        <v>84</v>
      </c>
      <c r="B334" t="s">
        <v>2410</v>
      </c>
      <c r="C334" t="s">
        <v>2411</v>
      </c>
      <c r="D334" t="s">
        <v>2412</v>
      </c>
      <c r="E334" t="s">
        <v>130</v>
      </c>
      <c r="F334">
        <v>2016</v>
      </c>
      <c r="G334" t="s">
        <v>2413</v>
      </c>
      <c r="H334" t="s">
        <v>958</v>
      </c>
      <c r="I334" t="s">
        <v>2414</v>
      </c>
      <c r="J334" t="s">
        <v>2415</v>
      </c>
      <c r="K334" s="4" t="str">
        <f>HYPERLINK("https://www.embase.com/search/results?subaction=viewrecord&amp;id=LNCT05582226&amp;from=export")</f>
        <v>https://www.embase.com/search/results?subaction=viewrecord&amp;id=LNCT05582226&amp;from=export</v>
      </c>
    </row>
    <row r="335" spans="1:11" x14ac:dyDescent="0.35">
      <c r="A335">
        <v>89</v>
      </c>
      <c r="B335" t="s">
        <v>2416</v>
      </c>
      <c r="C335" t="s">
        <v>2417</v>
      </c>
      <c r="D335" t="s">
        <v>2418</v>
      </c>
      <c r="E335" t="s">
        <v>79</v>
      </c>
      <c r="F335">
        <v>2016</v>
      </c>
      <c r="G335" t="s">
        <v>2419</v>
      </c>
      <c r="H335" t="s">
        <v>388</v>
      </c>
      <c r="I335" t="s">
        <v>2420</v>
      </c>
      <c r="J335" t="s">
        <v>2421</v>
      </c>
      <c r="K335" s="4" t="str">
        <f>HYPERLINK("https://www.embase.com/search/results?subaction=viewrecord&amp;id=LNCT05673356&amp;from=export")</f>
        <v>https://www.embase.com/search/results?subaction=viewrecord&amp;id=LNCT05673356&amp;from=export</v>
      </c>
    </row>
    <row r="336" spans="1:11" x14ac:dyDescent="0.35">
      <c r="A336">
        <v>90</v>
      </c>
      <c r="B336" t="s">
        <v>2422</v>
      </c>
      <c r="C336" t="s">
        <v>2423</v>
      </c>
      <c r="D336" t="s">
        <v>2424</v>
      </c>
      <c r="E336" t="s">
        <v>71</v>
      </c>
      <c r="F336">
        <v>2017</v>
      </c>
      <c r="G336" t="s">
        <v>2425</v>
      </c>
      <c r="H336" t="s">
        <v>2426</v>
      </c>
      <c r="I336" t="s">
        <v>2427</v>
      </c>
      <c r="J336" t="s">
        <v>2428</v>
      </c>
      <c r="K336" s="4" t="str">
        <f>HYPERLINK("https://www.embase.com/search/results?subaction=viewrecord&amp;id=LNCT05673356&amp;from=export")</f>
        <v>https://www.embase.com/search/results?subaction=viewrecord&amp;id=LNCT05673356&amp;from=export</v>
      </c>
    </row>
    <row r="337" spans="1:12" x14ac:dyDescent="0.35">
      <c r="A337">
        <v>92</v>
      </c>
      <c r="B337" t="s">
        <v>2429</v>
      </c>
      <c r="C337" t="s">
        <v>2430</v>
      </c>
      <c r="D337" t="s">
        <v>2431</v>
      </c>
      <c r="E337" t="s">
        <v>130</v>
      </c>
      <c r="F337">
        <v>2015</v>
      </c>
      <c r="G337" t="s">
        <v>2432</v>
      </c>
      <c r="H337" t="s">
        <v>2433</v>
      </c>
      <c r="I337" t="s">
        <v>2434</v>
      </c>
      <c r="J337" t="s">
        <v>2435</v>
      </c>
      <c r="K337" s="4" t="str">
        <f>HYPERLINK("https://www.embase.com/search/results?subaction=viewrecord&amp;id=LNCT05673356&amp;from=export")</f>
        <v>https://www.embase.com/search/results?subaction=viewrecord&amp;id=LNCT05673356&amp;from=export</v>
      </c>
    </row>
    <row r="338" spans="1:12" x14ac:dyDescent="0.35">
      <c r="A338">
        <v>93</v>
      </c>
      <c r="B338" t="s">
        <v>2436</v>
      </c>
      <c r="C338" t="s">
        <v>2437</v>
      </c>
      <c r="D338" t="s">
        <v>2438</v>
      </c>
      <c r="E338" t="s">
        <v>528</v>
      </c>
      <c r="F338">
        <v>2015</v>
      </c>
      <c r="G338" t="s">
        <v>2439</v>
      </c>
      <c r="H338" t="s">
        <v>2440</v>
      </c>
      <c r="I338" t="s">
        <v>2441</v>
      </c>
      <c r="J338" t="s">
        <v>2442</v>
      </c>
      <c r="K338" s="4" t="str">
        <f>HYPERLINK("https://www.embase.com/search/results?subaction=viewrecord&amp;id=LNCT05738200&amp;from=export")</f>
        <v>https://www.embase.com/search/results?subaction=viewrecord&amp;id=LNCT05738200&amp;from=export</v>
      </c>
    </row>
    <row r="339" spans="1:12" x14ac:dyDescent="0.35">
      <c r="A339">
        <v>96</v>
      </c>
      <c r="B339" t="s">
        <v>2443</v>
      </c>
      <c r="C339" t="s">
        <v>2444</v>
      </c>
      <c r="D339" t="s">
        <v>2445</v>
      </c>
      <c r="E339" t="s">
        <v>130</v>
      </c>
      <c r="F339">
        <v>2015</v>
      </c>
      <c r="G339" t="s">
        <v>2446</v>
      </c>
      <c r="H339" t="s">
        <v>2447</v>
      </c>
      <c r="I339" t="s">
        <v>2448</v>
      </c>
      <c r="J339" t="s">
        <v>2449</v>
      </c>
      <c r="K339" s="4" t="str">
        <f>HYPERLINK("https://www.embase.com/search/results?subaction=viewrecord&amp;id=LNCT05738200&amp;from=export")</f>
        <v>https://www.embase.com/search/results?subaction=viewrecord&amp;id=LNCT05738200&amp;from=export</v>
      </c>
    </row>
    <row r="340" spans="1:12" x14ac:dyDescent="0.35">
      <c r="A340">
        <v>97</v>
      </c>
      <c r="B340" t="s">
        <v>2450</v>
      </c>
      <c r="C340" t="s">
        <v>2451</v>
      </c>
      <c r="D340" t="s">
        <v>2452</v>
      </c>
      <c r="E340" t="s">
        <v>71</v>
      </c>
      <c r="F340">
        <v>2016</v>
      </c>
      <c r="G340" t="s">
        <v>2453</v>
      </c>
      <c r="H340" t="s">
        <v>2454</v>
      </c>
      <c r="I340" t="s">
        <v>2455</v>
      </c>
      <c r="J340" t="s">
        <v>2456</v>
      </c>
      <c r="K340" s="4" t="str">
        <f>HYPERLINK("https://www.embase.com/search/results?subaction=viewrecord&amp;id=LNCT05814445&amp;from=export")</f>
        <v>https://www.embase.com/search/results?subaction=viewrecord&amp;id=LNCT05814445&amp;from=export</v>
      </c>
    </row>
    <row r="341" spans="1:12" x14ac:dyDescent="0.35">
      <c r="A341">
        <v>99</v>
      </c>
      <c r="B341" t="s">
        <v>2457</v>
      </c>
      <c r="C341" t="s">
        <v>2458</v>
      </c>
      <c r="D341" t="s">
        <v>2459</v>
      </c>
      <c r="E341" t="s">
        <v>161</v>
      </c>
      <c r="F341">
        <v>2015</v>
      </c>
      <c r="G341" t="s">
        <v>2460</v>
      </c>
      <c r="H341" t="s">
        <v>624</v>
      </c>
      <c r="I341" t="s">
        <v>2461</v>
      </c>
      <c r="J341" t="s">
        <v>2462</v>
      </c>
      <c r="K341" s="4" t="str">
        <f>HYPERLINK("https://www.embase.com/search/results?subaction=viewrecord&amp;id=LNCT05876013&amp;from=export")</f>
        <v>https://www.embase.com/search/results?subaction=viewrecord&amp;id=LNCT05876013&amp;from=export</v>
      </c>
    </row>
    <row r="342" spans="1:12" x14ac:dyDescent="0.35">
      <c r="A342">
        <v>100</v>
      </c>
      <c r="B342" t="s">
        <v>2463</v>
      </c>
      <c r="C342" t="s">
        <v>2464</v>
      </c>
      <c r="D342" t="s">
        <v>2465</v>
      </c>
      <c r="E342" t="s">
        <v>130</v>
      </c>
      <c r="F342">
        <v>2015</v>
      </c>
      <c r="G342" t="s">
        <v>2466</v>
      </c>
      <c r="H342" t="s">
        <v>552</v>
      </c>
      <c r="I342" t="s">
        <v>2467</v>
      </c>
      <c r="J342" t="s">
        <v>2468</v>
      </c>
      <c r="K342" s="4" t="str">
        <f>HYPERLINK("https://www.embase.com/search/results?subaction=viewrecord&amp;id=LNCT05876013&amp;from=export")</f>
        <v>https://www.embase.com/search/results?subaction=viewrecord&amp;id=LNCT05876013&amp;from=export</v>
      </c>
    </row>
    <row r="343" spans="1:12" x14ac:dyDescent="0.35">
      <c r="A343">
        <v>101</v>
      </c>
      <c r="B343" t="s">
        <v>2469</v>
      </c>
      <c r="C343" t="s">
        <v>2470</v>
      </c>
      <c r="D343" t="s">
        <v>2445</v>
      </c>
      <c r="E343" t="s">
        <v>79</v>
      </c>
      <c r="F343">
        <v>2015</v>
      </c>
      <c r="G343" t="s">
        <v>2471</v>
      </c>
      <c r="H343" t="s">
        <v>2447</v>
      </c>
      <c r="I343" t="s">
        <v>2472</v>
      </c>
      <c r="J343" t="s">
        <v>2473</v>
      </c>
      <c r="K343" s="4" t="str">
        <f>HYPERLINK("https://www.embase.com/search/results?subaction=viewrecord&amp;id=LNCT05876013&amp;from=export")</f>
        <v>https://www.embase.com/search/results?subaction=viewrecord&amp;id=LNCT05876013&amp;from=export</v>
      </c>
    </row>
    <row r="344" spans="1:12" x14ac:dyDescent="0.35">
      <c r="A344">
        <v>104</v>
      </c>
      <c r="B344" t="s">
        <v>2474</v>
      </c>
      <c r="C344" t="s">
        <v>2475</v>
      </c>
      <c r="D344" t="s">
        <v>2476</v>
      </c>
      <c r="E344" t="s">
        <v>436</v>
      </c>
      <c r="F344">
        <v>2014</v>
      </c>
      <c r="G344" t="s">
        <v>2477</v>
      </c>
      <c r="H344" t="s">
        <v>2478</v>
      </c>
      <c r="I344" t="s">
        <v>2479</v>
      </c>
      <c r="J344" t="s">
        <v>2480</v>
      </c>
      <c r="K344" s="4" t="str">
        <f>HYPERLINK("https://www.embase.com/search/results?subaction=viewrecord&amp;id=LNCT05904158&amp;from=export")</f>
        <v>https://www.embase.com/search/results?subaction=viewrecord&amp;id=LNCT05904158&amp;from=export</v>
      </c>
    </row>
    <row r="345" spans="1:12" x14ac:dyDescent="0.35">
      <c r="A345">
        <v>108</v>
      </c>
      <c r="B345" t="s">
        <v>2481</v>
      </c>
      <c r="C345" t="s">
        <v>2482</v>
      </c>
      <c r="D345" t="s">
        <v>2483</v>
      </c>
      <c r="E345" t="s">
        <v>79</v>
      </c>
      <c r="F345">
        <v>2014</v>
      </c>
      <c r="G345" t="s">
        <v>2484</v>
      </c>
      <c r="H345" t="s">
        <v>1784</v>
      </c>
      <c r="I345" t="s">
        <v>2485</v>
      </c>
      <c r="J345" t="s">
        <v>2486</v>
      </c>
      <c r="K345" s="4" t="str">
        <f>HYPERLINK("https://www.embase.com/search/results?subaction=viewrecord&amp;id=LNCT05904158&amp;from=export")</f>
        <v>https://www.embase.com/search/results?subaction=viewrecord&amp;id=LNCT05904158&amp;from=export</v>
      </c>
    </row>
    <row r="346" spans="1:12" x14ac:dyDescent="0.35">
      <c r="A346">
        <v>109</v>
      </c>
      <c r="B346" t="s">
        <v>2487</v>
      </c>
      <c r="C346" t="s">
        <v>2488</v>
      </c>
      <c r="D346" t="s">
        <v>2489</v>
      </c>
      <c r="E346" t="s">
        <v>2490</v>
      </c>
      <c r="F346">
        <v>2014</v>
      </c>
      <c r="G346" t="s">
        <v>2491</v>
      </c>
      <c r="H346" t="s">
        <v>987</v>
      </c>
      <c r="I346" t="s">
        <v>2492</v>
      </c>
      <c r="J346" t="s">
        <v>2493</v>
      </c>
      <c r="K346" s="4" t="str">
        <f>HYPERLINK("https://www.embase.com/search/results?subaction=viewrecord&amp;id=LNCT05983692&amp;from=export")</f>
        <v>https://www.embase.com/search/results?subaction=viewrecord&amp;id=LNCT05983692&amp;from=export</v>
      </c>
    </row>
    <row r="347" spans="1:12" x14ac:dyDescent="0.35">
      <c r="A347">
        <v>110</v>
      </c>
      <c r="B347" t="s">
        <v>2494</v>
      </c>
      <c r="C347" t="s">
        <v>2495</v>
      </c>
      <c r="D347" t="s">
        <v>2496</v>
      </c>
      <c r="E347" t="s">
        <v>71</v>
      </c>
      <c r="F347">
        <v>2015</v>
      </c>
      <c r="G347" t="s">
        <v>2497</v>
      </c>
      <c r="H347" t="s">
        <v>2498</v>
      </c>
      <c r="I347" t="s">
        <v>2499</v>
      </c>
      <c r="J347" t="s">
        <v>2500</v>
      </c>
      <c r="K347" s="4" t="str">
        <f>HYPERLINK("https://www.embase.com/search/results?subaction=viewrecord&amp;id=LNCT06050785&amp;from=export")</f>
        <v>https://www.embase.com/search/results?subaction=viewrecord&amp;id=LNCT06050785&amp;from=export</v>
      </c>
    </row>
    <row r="348" spans="1:12" x14ac:dyDescent="0.35">
      <c r="A348">
        <v>111</v>
      </c>
      <c r="B348" t="s">
        <v>2501</v>
      </c>
      <c r="C348" t="s">
        <v>2502</v>
      </c>
      <c r="D348" t="s">
        <v>2503</v>
      </c>
      <c r="E348" t="s">
        <v>71</v>
      </c>
      <c r="F348">
        <v>2014</v>
      </c>
      <c r="G348" t="s">
        <v>2504</v>
      </c>
      <c r="H348" t="s">
        <v>1554</v>
      </c>
      <c r="I348" t="s">
        <v>2505</v>
      </c>
      <c r="J348" t="s">
        <v>2506</v>
      </c>
      <c r="K348" s="4" t="str">
        <f>HYPERLINK("https://www.embase.com/search/results?subaction=viewrecord&amp;id=LNCT06050785&amp;from=export")</f>
        <v>https://www.embase.com/search/results?subaction=viewrecord&amp;id=LNCT06050785&amp;from=export</v>
      </c>
    </row>
    <row r="349" spans="1:12" x14ac:dyDescent="0.35">
      <c r="A349">
        <v>115</v>
      </c>
      <c r="B349" t="s">
        <v>2507</v>
      </c>
      <c r="C349" t="s">
        <v>2508</v>
      </c>
      <c r="D349" t="s">
        <v>2509</v>
      </c>
      <c r="E349" t="s">
        <v>2510</v>
      </c>
      <c r="F349">
        <v>2013</v>
      </c>
      <c r="G349" t="s">
        <v>2511</v>
      </c>
      <c r="H349" t="s">
        <v>2512</v>
      </c>
      <c r="I349" t="s">
        <v>2513</v>
      </c>
      <c r="J349" t="s">
        <v>2514</v>
      </c>
      <c r="K349" s="4" t="str">
        <f>HYPERLINK("https://www.embase.com/search/results?subaction=viewrecord&amp;id=LNCT06147427&amp;from=export")</f>
        <v>https://www.embase.com/search/results?subaction=viewrecord&amp;id=LNCT06147427&amp;from=export</v>
      </c>
    </row>
    <row r="350" spans="1:12" x14ac:dyDescent="0.35">
      <c r="A350">
        <v>117</v>
      </c>
      <c r="B350" t="s">
        <v>2515</v>
      </c>
      <c r="C350" t="s">
        <v>2516</v>
      </c>
      <c r="D350" t="s">
        <v>2517</v>
      </c>
      <c r="E350" t="s">
        <v>2016</v>
      </c>
      <c r="F350">
        <v>2013</v>
      </c>
      <c r="G350" t="s">
        <v>2518</v>
      </c>
      <c r="H350" t="s">
        <v>2519</v>
      </c>
      <c r="I350" t="s">
        <v>2520</v>
      </c>
      <c r="J350" t="s">
        <v>2521</v>
      </c>
      <c r="K350" s="4" t="str">
        <f>HYPERLINK("https://www.embase.com/search/results?subaction=viewrecord&amp;id=LNCT06189573&amp;from=export")</f>
        <v>https://www.embase.com/search/results?subaction=viewrecord&amp;id=LNCT06189573&amp;from=export</v>
      </c>
    </row>
    <row r="351" spans="1:12" s="6" customFormat="1" x14ac:dyDescent="0.35">
      <c r="A351" s="6">
        <v>118</v>
      </c>
      <c r="B351" s="6" t="s">
        <v>2522</v>
      </c>
      <c r="C351" s="6" t="s">
        <v>2523</v>
      </c>
      <c r="D351" s="6" t="s">
        <v>2524</v>
      </c>
      <c r="E351" s="6" t="s">
        <v>130</v>
      </c>
      <c r="F351" s="6">
        <v>2013</v>
      </c>
      <c r="G351" s="6" t="s">
        <v>2525</v>
      </c>
      <c r="H351" s="6" t="s">
        <v>1266</v>
      </c>
      <c r="I351" s="6" t="s">
        <v>2526</v>
      </c>
      <c r="J351" s="6" t="s">
        <v>2527</v>
      </c>
      <c r="K351" s="4" t="str">
        <f>HYPERLINK("https://www.embase.com/search/results?subaction=viewrecord&amp;id=LNCT06189573&amp;from=export")</f>
        <v>https://www.embase.com/search/results?subaction=viewrecord&amp;id=LNCT06189573&amp;from=export</v>
      </c>
      <c r="L351" s="1"/>
    </row>
    <row r="352" spans="1:12" s="6" customFormat="1" x14ac:dyDescent="0.35">
      <c r="A352" s="6">
        <v>119</v>
      </c>
      <c r="B352" s="6" t="s">
        <v>2528</v>
      </c>
      <c r="C352" s="6" t="s">
        <v>2529</v>
      </c>
      <c r="D352" s="6" t="s">
        <v>2530</v>
      </c>
      <c r="E352" s="6" t="s">
        <v>130</v>
      </c>
      <c r="F352" s="6">
        <v>2013</v>
      </c>
      <c r="G352" s="6" t="s">
        <v>2531</v>
      </c>
      <c r="H352" s="6" t="s">
        <v>2532</v>
      </c>
      <c r="I352" s="6" t="s">
        <v>2533</v>
      </c>
      <c r="J352" s="6" t="s">
        <v>2534</v>
      </c>
      <c r="K352" s="4" t="str">
        <f>HYPERLINK("https://www.embase.com/search/results?subaction=viewrecord&amp;id=LNCT06280456&amp;from=export")</f>
        <v>https://www.embase.com/search/results?subaction=viewrecord&amp;id=LNCT06280456&amp;from=export</v>
      </c>
      <c r="L352" s="1"/>
    </row>
    <row r="353" spans="1:12" s="6" customFormat="1" x14ac:dyDescent="0.35">
      <c r="A353" s="6">
        <v>120</v>
      </c>
      <c r="B353" s="6" t="s">
        <v>2535</v>
      </c>
      <c r="C353" s="6" t="s">
        <v>2536</v>
      </c>
      <c r="D353" s="6" t="s">
        <v>2537</v>
      </c>
      <c r="E353" s="6" t="s">
        <v>2538</v>
      </c>
      <c r="F353" s="6">
        <v>2013</v>
      </c>
      <c r="G353" s="6" t="s">
        <v>2539</v>
      </c>
      <c r="H353" s="6" t="s">
        <v>438</v>
      </c>
      <c r="I353" s="6" t="s">
        <v>2540</v>
      </c>
      <c r="J353" s="6" t="s">
        <v>2541</v>
      </c>
      <c r="K353" s="4" t="str">
        <f>HYPERLINK("https://www.embase.com/search/results?subaction=viewrecord&amp;id=LNCT06303726&amp;from=export")</f>
        <v>https://www.embase.com/search/results?subaction=viewrecord&amp;id=LNCT06303726&amp;from=export</v>
      </c>
      <c r="L353" s="1"/>
    </row>
    <row r="354" spans="1:12" s="6" customFormat="1" x14ac:dyDescent="0.35">
      <c r="A354" s="6">
        <v>121</v>
      </c>
      <c r="B354" s="6" t="s">
        <v>2542</v>
      </c>
      <c r="C354" s="6" t="s">
        <v>2543</v>
      </c>
      <c r="D354" s="6" t="s">
        <v>2544</v>
      </c>
      <c r="E354" s="6" t="s">
        <v>79</v>
      </c>
      <c r="F354" s="6">
        <v>2013</v>
      </c>
      <c r="G354" s="6" t="s">
        <v>2545</v>
      </c>
      <c r="H354" s="6" t="s">
        <v>2546</v>
      </c>
      <c r="I354" s="6" t="s">
        <v>2547</v>
      </c>
      <c r="J354" s="6" t="s">
        <v>2548</v>
      </c>
      <c r="K354" s="4" t="str">
        <f>HYPERLINK("https://www.embase.com/search/results?subaction=viewrecord&amp;id=LNCT06303726&amp;from=export")</f>
        <v>https://www.embase.com/search/results?subaction=viewrecord&amp;id=LNCT06303726&amp;from=export</v>
      </c>
      <c r="L354" s="1"/>
    </row>
    <row r="355" spans="1:12" s="6" customFormat="1" x14ac:dyDescent="0.35">
      <c r="A355" s="6">
        <v>122</v>
      </c>
      <c r="B355" s="6" t="s">
        <v>2549</v>
      </c>
      <c r="C355" s="6" t="s">
        <v>2550</v>
      </c>
      <c r="D355" s="6" t="s">
        <v>2551</v>
      </c>
      <c r="E355" s="6" t="s">
        <v>79</v>
      </c>
      <c r="F355" s="6">
        <v>2013</v>
      </c>
      <c r="G355" s="6" t="s">
        <v>2552</v>
      </c>
      <c r="H355" s="6" t="s">
        <v>2553</v>
      </c>
      <c r="I355" s="6" t="s">
        <v>2554</v>
      </c>
      <c r="J355" s="6" t="s">
        <v>2555</v>
      </c>
      <c r="K355" s="4" t="str">
        <f>HYPERLINK("https://www.embase.com/search/results?subaction=viewrecord&amp;id=LNCT06430775&amp;from=export")</f>
        <v>https://www.embase.com/search/results?subaction=viewrecord&amp;id=LNCT06430775&amp;from=export</v>
      </c>
      <c r="L355" s="1"/>
    </row>
    <row r="356" spans="1:12" x14ac:dyDescent="0.35">
      <c r="A356">
        <v>124</v>
      </c>
      <c r="B356" t="s">
        <v>2556</v>
      </c>
      <c r="C356" t="s">
        <v>2557</v>
      </c>
      <c r="D356" t="s">
        <v>2558</v>
      </c>
      <c r="E356" t="s">
        <v>71</v>
      </c>
      <c r="F356">
        <v>2014</v>
      </c>
      <c r="G356" t="s">
        <v>2559</v>
      </c>
      <c r="H356" t="s">
        <v>453</v>
      </c>
      <c r="I356" t="s">
        <v>2560</v>
      </c>
      <c r="J356" t="s">
        <v>2561</v>
      </c>
      <c r="K356" s="4" t="str">
        <f>HYPERLINK("https://www.embase.com/search/results?subaction=viewrecord&amp;id=LNCT06505525&amp;from=export")</f>
        <v>https://www.embase.com/search/results?subaction=viewrecord&amp;id=LNCT06505525&amp;from=export</v>
      </c>
    </row>
    <row r="357" spans="1:12" x14ac:dyDescent="0.35">
      <c r="A357">
        <v>129</v>
      </c>
      <c r="B357" t="s">
        <v>2562</v>
      </c>
      <c r="C357" t="s">
        <v>2563</v>
      </c>
      <c r="D357" t="s">
        <v>2564</v>
      </c>
      <c r="E357" t="s">
        <v>130</v>
      </c>
      <c r="F357">
        <v>2012</v>
      </c>
      <c r="G357" t="s">
        <v>2565</v>
      </c>
      <c r="H357" t="s">
        <v>1168</v>
      </c>
      <c r="I357" t="s">
        <v>2566</v>
      </c>
      <c r="J357" t="s">
        <v>2567</v>
      </c>
      <c r="K357" s="4" t="str">
        <f>HYPERLINK("https://www.embase.com/search/results?subaction=viewrecord&amp;id=LNCT06505525&amp;from=export")</f>
        <v>https://www.embase.com/search/results?subaction=viewrecord&amp;id=LNCT06505525&amp;from=export</v>
      </c>
    </row>
    <row r="358" spans="1:12" x14ac:dyDescent="0.35">
      <c r="A358">
        <v>134</v>
      </c>
      <c r="B358" t="s">
        <v>2568</v>
      </c>
      <c r="C358" t="s">
        <v>2569</v>
      </c>
      <c r="D358" t="s">
        <v>2570</v>
      </c>
      <c r="E358" t="s">
        <v>71</v>
      </c>
      <c r="F358">
        <v>2012</v>
      </c>
      <c r="G358" t="s">
        <v>2571</v>
      </c>
      <c r="H358" t="s">
        <v>530</v>
      </c>
      <c r="I358" t="s">
        <v>2572</v>
      </c>
      <c r="J358" t="s">
        <v>2573</v>
      </c>
      <c r="K358" s="4" t="str">
        <f>HYPERLINK("https://www.embase.com/search/results?subaction=viewrecord&amp;id=LNCT06727344&amp;from=export")</f>
        <v>https://www.embase.com/search/results?subaction=viewrecord&amp;id=LNCT06727344&amp;from=export</v>
      </c>
    </row>
    <row r="359" spans="1:12" x14ac:dyDescent="0.35">
      <c r="A359">
        <v>143</v>
      </c>
      <c r="B359" t="s">
        <v>2574</v>
      </c>
      <c r="C359" t="s">
        <v>2575</v>
      </c>
      <c r="D359" t="s">
        <v>2576</v>
      </c>
      <c r="E359" t="s">
        <v>79</v>
      </c>
      <c r="F359">
        <v>2011</v>
      </c>
      <c r="G359" t="s">
        <v>2577</v>
      </c>
      <c r="H359" t="s">
        <v>2578</v>
      </c>
      <c r="I359" t="s">
        <v>2579</v>
      </c>
      <c r="J359" t="s">
        <v>2580</v>
      </c>
      <c r="K359" s="4" t="str">
        <f>HYPERLINK("https://www.embase.com/search/results?subaction=viewrecord&amp;id=LNCT06727344&amp;from=export")</f>
        <v>https://www.embase.com/search/results?subaction=viewrecord&amp;id=LNCT06727344&amp;from=export</v>
      </c>
    </row>
    <row r="360" spans="1:12" x14ac:dyDescent="0.35">
      <c r="A360">
        <v>151</v>
      </c>
      <c r="B360" t="s">
        <v>2581</v>
      </c>
      <c r="C360" t="s">
        <v>2582</v>
      </c>
      <c r="D360" t="s">
        <v>2583</v>
      </c>
      <c r="E360" t="s">
        <v>2584</v>
      </c>
      <c r="F360">
        <v>2010</v>
      </c>
      <c r="G360" t="s">
        <v>2585</v>
      </c>
      <c r="H360" t="s">
        <v>2586</v>
      </c>
      <c r="I360" t="s">
        <v>2587</v>
      </c>
      <c r="J360" t="s">
        <v>2588</v>
      </c>
      <c r="K360" s="4" t="str">
        <f>HYPERLINK("https://www.embase.com/search/results?subaction=viewrecord&amp;id=LNCT06755398&amp;from=export")</f>
        <v>https://www.embase.com/search/results?subaction=viewrecord&amp;id=LNCT06755398&amp;from=export</v>
      </c>
    </row>
    <row r="361" spans="1:12" x14ac:dyDescent="0.35">
      <c r="A361">
        <v>153</v>
      </c>
      <c r="B361" t="s">
        <v>2589</v>
      </c>
      <c r="C361" t="s">
        <v>2590</v>
      </c>
      <c r="D361" t="s">
        <v>2591</v>
      </c>
      <c r="E361" t="s">
        <v>1483</v>
      </c>
      <c r="F361">
        <v>2010</v>
      </c>
      <c r="G361" t="s">
        <v>2592</v>
      </c>
      <c r="H361" t="s">
        <v>2593</v>
      </c>
      <c r="I361" t="s">
        <v>2594</v>
      </c>
      <c r="J361" t="s">
        <v>2595</v>
      </c>
      <c r="K361" s="4" t="str">
        <f>HYPERLINK("https://www.embase.com/search/results?subaction=viewrecord&amp;id=LNCT06755398&amp;from=export")</f>
        <v>https://www.embase.com/search/results?subaction=viewrecord&amp;id=LNCT06755398&amp;from=export</v>
      </c>
    </row>
    <row r="362" spans="1:12" x14ac:dyDescent="0.35">
      <c r="A362">
        <v>154</v>
      </c>
      <c r="B362" t="s">
        <v>2596</v>
      </c>
      <c r="C362" t="s">
        <v>2597</v>
      </c>
      <c r="D362" t="s">
        <v>2598</v>
      </c>
      <c r="E362" t="s">
        <v>130</v>
      </c>
      <c r="F362">
        <v>2010</v>
      </c>
      <c r="G362" t="s">
        <v>2599</v>
      </c>
      <c r="H362" t="s">
        <v>2600</v>
      </c>
      <c r="I362" t="s">
        <v>2601</v>
      </c>
      <c r="J362" t="s">
        <v>2602</v>
      </c>
      <c r="K362" s="4" t="str">
        <f>HYPERLINK("https://www.embase.com/search/results?subaction=viewrecord&amp;id=LNCT06769711&amp;from=export")</f>
        <v>https://www.embase.com/search/results?subaction=viewrecord&amp;id=LNCT06769711&amp;from=export</v>
      </c>
    </row>
    <row r="363" spans="1:12" x14ac:dyDescent="0.35">
      <c r="A363">
        <v>155</v>
      </c>
      <c r="B363" t="s">
        <v>2603</v>
      </c>
      <c r="C363" t="s">
        <v>2604</v>
      </c>
      <c r="D363" t="s">
        <v>2605</v>
      </c>
      <c r="E363" t="s">
        <v>145</v>
      </c>
      <c r="F363">
        <v>2010</v>
      </c>
      <c r="G363" t="s">
        <v>2606</v>
      </c>
      <c r="H363" t="s">
        <v>2607</v>
      </c>
      <c r="I363" t="s">
        <v>2608</v>
      </c>
      <c r="J363" t="s">
        <v>2609</v>
      </c>
      <c r="K363" s="4" t="str">
        <f>HYPERLINK("https://www.embase.com/search/results?subaction=viewrecord&amp;id=LNCT06769711&amp;from=export")</f>
        <v>https://www.embase.com/search/results?subaction=viewrecord&amp;id=LNCT06769711&amp;from=export</v>
      </c>
    </row>
    <row r="364" spans="1:12" x14ac:dyDescent="0.35">
      <c r="A364">
        <v>159</v>
      </c>
      <c r="B364" t="s">
        <v>2610</v>
      </c>
      <c r="C364" t="s">
        <v>2611</v>
      </c>
      <c r="D364" t="s">
        <v>2612</v>
      </c>
      <c r="E364" t="s">
        <v>130</v>
      </c>
      <c r="F364">
        <v>2010</v>
      </c>
      <c r="G364" t="s">
        <v>2613</v>
      </c>
      <c r="H364" t="s">
        <v>2614</v>
      </c>
      <c r="I364" t="s">
        <v>2615</v>
      </c>
      <c r="J364" t="s">
        <v>2616</v>
      </c>
      <c r="K364" s="4" t="str">
        <f>HYPERLINK("https://www.embase.com/search/results?subaction=viewrecord&amp;id=LNCT06831279&amp;from=export")</f>
        <v>https://www.embase.com/search/results?subaction=viewrecord&amp;id=LNCT06831279&amp;from=export</v>
      </c>
    </row>
    <row r="365" spans="1:12" x14ac:dyDescent="0.35">
      <c r="A365">
        <v>165</v>
      </c>
      <c r="B365" t="s">
        <v>2617</v>
      </c>
      <c r="C365" t="s">
        <v>2618</v>
      </c>
      <c r="D365" t="s">
        <v>2619</v>
      </c>
      <c r="E365" t="s">
        <v>71</v>
      </c>
      <c r="F365">
        <v>2010</v>
      </c>
      <c r="G365" t="s">
        <v>2620</v>
      </c>
      <c r="H365" t="s">
        <v>2621</v>
      </c>
      <c r="I365" t="s">
        <v>2622</v>
      </c>
      <c r="J365" t="s">
        <v>2623</v>
      </c>
      <c r="K365" s="4" t="str">
        <f>HYPERLINK("https://www.embase.com/search/results?subaction=viewrecord&amp;id=LNCT06831279&amp;from=export")</f>
        <v>https://www.embase.com/search/results?subaction=viewrecord&amp;id=LNCT06831279&amp;from=export</v>
      </c>
    </row>
    <row r="366" spans="1:12" x14ac:dyDescent="0.35">
      <c r="A366">
        <v>166</v>
      </c>
      <c r="B366" t="s">
        <v>2624</v>
      </c>
      <c r="C366" t="s">
        <v>2625</v>
      </c>
      <c r="D366" t="s">
        <v>2626</v>
      </c>
      <c r="E366" t="s">
        <v>153</v>
      </c>
      <c r="F366">
        <v>2010</v>
      </c>
      <c r="G366" t="s">
        <v>2627</v>
      </c>
      <c r="H366" t="s">
        <v>2628</v>
      </c>
      <c r="I366" t="s">
        <v>2629</v>
      </c>
      <c r="J366" t="s">
        <v>2630</v>
      </c>
      <c r="K366" s="4" t="str">
        <f>HYPERLINK("https://www.embase.com/search/results?subaction=viewrecord&amp;id=LNCT06961292&amp;from=export")</f>
        <v>https://www.embase.com/search/results?subaction=viewrecord&amp;id=LNCT06961292&amp;from=export</v>
      </c>
    </row>
    <row r="367" spans="1:12" x14ac:dyDescent="0.35">
      <c r="A367">
        <v>167</v>
      </c>
      <c r="B367" t="s">
        <v>2631</v>
      </c>
      <c r="C367" t="s">
        <v>2632</v>
      </c>
      <c r="D367" t="s">
        <v>2633</v>
      </c>
      <c r="E367" t="s">
        <v>130</v>
      </c>
      <c r="F367">
        <v>2009</v>
      </c>
      <c r="G367" t="s">
        <v>2634</v>
      </c>
      <c r="H367" t="s">
        <v>2635</v>
      </c>
      <c r="I367" t="s">
        <v>2636</v>
      </c>
      <c r="J367" t="s">
        <v>2637</v>
      </c>
      <c r="K367" s="4" t="str">
        <f>HYPERLINK("https://www.embase.com/search/results?subaction=viewrecord&amp;id=LNCT06975306&amp;from=export")</f>
        <v>https://www.embase.com/search/results?subaction=viewrecord&amp;id=LNCT06975306&amp;from=export</v>
      </c>
    </row>
    <row r="368" spans="1:12" x14ac:dyDescent="0.35">
      <c r="A368">
        <v>176</v>
      </c>
      <c r="B368" t="s">
        <v>2638</v>
      </c>
      <c r="C368" t="s">
        <v>2639</v>
      </c>
      <c r="D368" t="s">
        <v>2640</v>
      </c>
      <c r="E368" t="s">
        <v>71</v>
      </c>
      <c r="F368">
        <v>2008</v>
      </c>
      <c r="G368" t="s">
        <v>2641</v>
      </c>
      <c r="H368" t="s">
        <v>2642</v>
      </c>
      <c r="I368" t="s">
        <v>2643</v>
      </c>
      <c r="J368" t="s">
        <v>2644</v>
      </c>
      <c r="K368" s="4" t="str">
        <f>HYPERLINK("https://www.embase.com/search/results?subaction=viewrecord&amp;id=LNCT06980285&amp;from=export")</f>
        <v>https://www.embase.com/search/results?subaction=viewrecord&amp;id=LNCT06980285&amp;from=export</v>
      </c>
    </row>
    <row r="369" spans="1:12" x14ac:dyDescent="0.35">
      <c r="A369">
        <v>178</v>
      </c>
      <c r="B369" t="s">
        <v>2645</v>
      </c>
      <c r="C369" t="s">
        <v>2646</v>
      </c>
      <c r="D369" t="s">
        <v>2647</v>
      </c>
      <c r="E369" t="s">
        <v>79</v>
      </c>
      <c r="F369">
        <v>2008</v>
      </c>
      <c r="G369" t="s">
        <v>2648</v>
      </c>
      <c r="H369" t="s">
        <v>2649</v>
      </c>
      <c r="I369" t="s">
        <v>2650</v>
      </c>
      <c r="J369" t="s">
        <v>2651</v>
      </c>
      <c r="K369" s="4" t="str">
        <f>HYPERLINK("https://www.embase.com/search/results?subaction=viewrecord&amp;id=LNCT06980285&amp;from=export")</f>
        <v>https://www.embase.com/search/results?subaction=viewrecord&amp;id=LNCT06980285&amp;from=export</v>
      </c>
    </row>
    <row r="370" spans="1:12" x14ac:dyDescent="0.35">
      <c r="A370">
        <v>179</v>
      </c>
      <c r="B370" t="s">
        <v>2652</v>
      </c>
      <c r="C370" t="s">
        <v>2653</v>
      </c>
      <c r="D370" t="s">
        <v>2654</v>
      </c>
      <c r="E370" t="s">
        <v>130</v>
      </c>
      <c r="F370">
        <v>2008</v>
      </c>
      <c r="G370" t="s">
        <v>2655</v>
      </c>
      <c r="H370" t="s">
        <v>2656</v>
      </c>
      <c r="I370" t="s">
        <v>2657</v>
      </c>
      <c r="J370" t="s">
        <v>2658</v>
      </c>
      <c r="K370" s="4" t="str">
        <f>HYPERLINK("https://www.embase.com/search/results?subaction=viewrecord&amp;id=LNCT07023653&amp;from=export")</f>
        <v>https://www.embase.com/search/results?subaction=viewrecord&amp;id=LNCT07023653&amp;from=export</v>
      </c>
    </row>
    <row r="371" spans="1:12" x14ac:dyDescent="0.35">
      <c r="A371">
        <v>180</v>
      </c>
      <c r="B371" t="s">
        <v>2659</v>
      </c>
      <c r="C371" t="s">
        <v>2660</v>
      </c>
      <c r="D371" t="s">
        <v>2661</v>
      </c>
      <c r="E371" t="s">
        <v>71</v>
      </c>
      <c r="F371">
        <v>2008</v>
      </c>
      <c r="G371" t="s">
        <v>2662</v>
      </c>
      <c r="H371" t="s">
        <v>2663</v>
      </c>
      <c r="I371" t="s">
        <v>2664</v>
      </c>
      <c r="J371" t="s">
        <v>2665</v>
      </c>
      <c r="K371" s="4" t="str">
        <f>HYPERLINK("https://www.embase.com/search/results?subaction=viewrecord&amp;id=LNCT07040384&amp;from=export")</f>
        <v>https://www.embase.com/search/results?subaction=viewrecord&amp;id=LNCT07040384&amp;from=export</v>
      </c>
    </row>
    <row r="372" spans="1:12" x14ac:dyDescent="0.35">
      <c r="A372">
        <v>181</v>
      </c>
      <c r="B372" t="s">
        <v>2666</v>
      </c>
      <c r="C372" t="s">
        <v>2667</v>
      </c>
      <c r="D372" t="s">
        <v>2668</v>
      </c>
      <c r="E372" t="s">
        <v>528</v>
      </c>
      <c r="F372">
        <v>2008</v>
      </c>
      <c r="G372" t="s">
        <v>2669</v>
      </c>
      <c r="H372" t="s">
        <v>2670</v>
      </c>
      <c r="I372" t="s">
        <v>2671</v>
      </c>
      <c r="J372" t="s">
        <v>2672</v>
      </c>
      <c r="K372" s="4" t="str">
        <f>HYPERLINK("https://www.embase.com/search/results?subaction=viewrecord&amp;id=LNCT07145606&amp;from=export")</f>
        <v>https://www.embase.com/search/results?subaction=viewrecord&amp;id=LNCT07145606&amp;from=export</v>
      </c>
    </row>
    <row r="373" spans="1:12" x14ac:dyDescent="0.35">
      <c r="A373">
        <v>182</v>
      </c>
      <c r="B373" t="s">
        <v>2673</v>
      </c>
      <c r="C373" t="s">
        <v>2674</v>
      </c>
      <c r="D373" t="s">
        <v>2675</v>
      </c>
      <c r="E373" t="s">
        <v>79</v>
      </c>
      <c r="F373">
        <v>2008</v>
      </c>
      <c r="G373" t="s">
        <v>2676</v>
      </c>
      <c r="H373" t="s">
        <v>2677</v>
      </c>
      <c r="I373" t="s">
        <v>2678</v>
      </c>
      <c r="J373" t="s">
        <v>2679</v>
      </c>
      <c r="K373" s="4" t="str">
        <f>HYPERLINK("https://doi.org/10.1097/JSM.0b013e31812570fa","Huang (2007)")</f>
        <v>Huang (2007)</v>
      </c>
      <c r="L373" s="1" t="s">
        <v>4</v>
      </c>
    </row>
    <row r="374" spans="1:12" x14ac:dyDescent="0.35">
      <c r="A374">
        <v>183</v>
      </c>
      <c r="B374" t="s">
        <v>2680</v>
      </c>
      <c r="C374" t="s">
        <v>2681</v>
      </c>
      <c r="D374" t="s">
        <v>2682</v>
      </c>
      <c r="E374" t="s">
        <v>130</v>
      </c>
      <c r="F374">
        <v>2008</v>
      </c>
      <c r="G374" t="s">
        <v>2683</v>
      </c>
      <c r="H374" t="s">
        <v>2684</v>
      </c>
      <c r="I374" t="s">
        <v>2685</v>
      </c>
      <c r="J374" t="s">
        <v>2686</v>
      </c>
      <c r="K374" s="4" t="str">
        <f>HYPERLINK("https://doi.org/10.1177/0363546511426416","Hussein (2012)")</f>
        <v>Hussein (2012)</v>
      </c>
      <c r="L374" s="1" t="s">
        <v>4</v>
      </c>
    </row>
    <row r="375" spans="1:12" x14ac:dyDescent="0.35">
      <c r="A375">
        <v>184</v>
      </c>
      <c r="B375" t="s">
        <v>2687</v>
      </c>
      <c r="C375" t="s">
        <v>2688</v>
      </c>
      <c r="D375" t="s">
        <v>2689</v>
      </c>
      <c r="E375" t="s">
        <v>153</v>
      </c>
      <c r="F375">
        <v>2008</v>
      </c>
      <c r="G375" t="s">
        <v>2690</v>
      </c>
      <c r="H375" t="s">
        <v>1595</v>
      </c>
      <c r="I375" t="s">
        <v>2691</v>
      </c>
      <c r="J375" t="s">
        <v>2692</v>
      </c>
      <c r="K375" s="7" t="str">
        <f>HYPERLINK("https://doi.org/10.1016/j.arthro.2012.07.007","Hwang (2013)")</f>
        <v>Hwang (2013)</v>
      </c>
      <c r="L375" s="8" t="s">
        <v>7</v>
      </c>
    </row>
    <row r="376" spans="1:12" x14ac:dyDescent="0.35">
      <c r="A376">
        <v>185</v>
      </c>
      <c r="B376" t="s">
        <v>2693</v>
      </c>
      <c r="C376" t="s">
        <v>2694</v>
      </c>
      <c r="D376" t="s">
        <v>2695</v>
      </c>
      <c r="E376" t="s">
        <v>71</v>
      </c>
      <c r="F376">
        <v>2008</v>
      </c>
      <c r="G376" t="s">
        <v>2696</v>
      </c>
      <c r="H376" t="s">
        <v>2697</v>
      </c>
      <c r="I376" t="s">
        <v>2698</v>
      </c>
      <c r="J376" t="s">
        <v>2699</v>
      </c>
      <c r="K376" s="4" t="str">
        <f>HYPERLINK("https://doi.org/10.1016/j.arthro.2004.12.002","Ibrahim (2005)")</f>
        <v>Ibrahim (2005)</v>
      </c>
      <c r="L376" s="1" t="s">
        <v>4</v>
      </c>
    </row>
    <row r="377" spans="1:12" x14ac:dyDescent="0.35">
      <c r="A377">
        <v>186</v>
      </c>
      <c r="B377" t="s">
        <v>2700</v>
      </c>
      <c r="C377" t="s">
        <v>2701</v>
      </c>
      <c r="D377" t="s">
        <v>2702</v>
      </c>
      <c r="E377" t="s">
        <v>130</v>
      </c>
      <c r="F377">
        <v>2008</v>
      </c>
      <c r="G377" t="s">
        <v>2703</v>
      </c>
      <c r="H377" t="s">
        <v>2704</v>
      </c>
      <c r="I377" t="s">
        <v>2705</v>
      </c>
      <c r="J377" t="s">
        <v>2706</v>
      </c>
      <c r="K377" s="4" t="str">
        <f>HYPERLINK("https://doi.org/10.1302/0301-620X.91B10.21886","Ibrahim (2009)")</f>
        <v>Ibrahim (2009)</v>
      </c>
      <c r="L377" s="1" t="s">
        <v>4</v>
      </c>
    </row>
    <row r="378" spans="1:12" x14ac:dyDescent="0.35">
      <c r="A378">
        <v>187</v>
      </c>
      <c r="B378" t="s">
        <v>2707</v>
      </c>
      <c r="C378" t="s">
        <v>2708</v>
      </c>
      <c r="D378" t="s">
        <v>2709</v>
      </c>
      <c r="E378" t="s">
        <v>79</v>
      </c>
      <c r="F378">
        <v>2007</v>
      </c>
      <c r="G378" t="s">
        <v>2710</v>
      </c>
      <c r="H378" t="s">
        <v>2711</v>
      </c>
      <c r="I378" t="s">
        <v>2712</v>
      </c>
      <c r="J378" t="s">
        <v>2713</v>
      </c>
      <c r="K378" s="4" t="str">
        <f>HYPERLINK("https://doi.org/10.1177/0363546514554189","Ibrahim (2015)")</f>
        <v>Ibrahim (2015)</v>
      </c>
      <c r="L378" s="1" t="s">
        <v>4</v>
      </c>
    </row>
    <row r="379" spans="1:12" x14ac:dyDescent="0.35">
      <c r="A379">
        <v>188</v>
      </c>
      <c r="B379" t="s">
        <v>2714</v>
      </c>
      <c r="C379" t="s">
        <v>2715</v>
      </c>
      <c r="D379" t="s">
        <v>2716</v>
      </c>
      <c r="E379" t="s">
        <v>130</v>
      </c>
      <c r="F379">
        <v>2008</v>
      </c>
      <c r="G379" t="s">
        <v>2717</v>
      </c>
      <c r="H379" t="s">
        <v>2628</v>
      </c>
      <c r="I379" t="s">
        <v>2718</v>
      </c>
      <c r="J379" t="s">
        <v>2719</v>
      </c>
      <c r="K379" s="4" t="str">
        <f>HYPERLINK("https://doi.org/10.1007/s00167-016-4229-4","Iliopoulos (2017)")</f>
        <v>Iliopoulos (2017)</v>
      </c>
      <c r="L379" s="1" t="s">
        <v>4</v>
      </c>
    </row>
    <row r="380" spans="1:12" x14ac:dyDescent="0.35">
      <c r="A380">
        <v>189</v>
      </c>
      <c r="B380" t="s">
        <v>2720</v>
      </c>
      <c r="C380" t="s">
        <v>2721</v>
      </c>
      <c r="D380" t="s">
        <v>2722</v>
      </c>
      <c r="E380" t="s">
        <v>130</v>
      </c>
      <c r="F380">
        <v>2008</v>
      </c>
      <c r="G380" t="s">
        <v>2723</v>
      </c>
      <c r="H380" t="s">
        <v>205</v>
      </c>
      <c r="I380" t="s">
        <v>2724</v>
      </c>
      <c r="J380" t="s">
        <v>2725</v>
      </c>
      <c r="K380" s="4" t="str">
        <f>HYPERLINK("https://doi.org/10.1007/s00776-013-0427-9","Inagaki (2013)")</f>
        <v>Inagaki (2013)</v>
      </c>
      <c r="L380" s="1" t="s">
        <v>4</v>
      </c>
    </row>
    <row r="381" spans="1:12" x14ac:dyDescent="0.35">
      <c r="A381">
        <v>190</v>
      </c>
      <c r="B381" t="s">
        <v>2726</v>
      </c>
      <c r="C381" t="s">
        <v>2727</v>
      </c>
      <c r="D381" t="s">
        <v>2728</v>
      </c>
      <c r="E381" t="s">
        <v>71</v>
      </c>
      <c r="F381">
        <v>2008</v>
      </c>
      <c r="G381" t="s">
        <v>2729</v>
      </c>
      <c r="H381" t="s">
        <v>2730</v>
      </c>
      <c r="I381" t="s">
        <v>2731</v>
      </c>
      <c r="J381" t="s">
        <v>2732</v>
      </c>
      <c r="K381" s="4" t="str">
        <f>HYPERLINK("https://doi.org/10.1007/s00167-012-2309-7","Indelicato (2013)")</f>
        <v>Indelicato (2013)</v>
      </c>
      <c r="L381" s="1" t="s">
        <v>4</v>
      </c>
    </row>
    <row r="382" spans="1:12" x14ac:dyDescent="0.35">
      <c r="A382">
        <v>191</v>
      </c>
      <c r="B382" t="s">
        <v>2733</v>
      </c>
      <c r="C382" t="s">
        <v>2734</v>
      </c>
      <c r="D382" t="s">
        <v>2735</v>
      </c>
      <c r="E382" t="s">
        <v>145</v>
      </c>
      <c r="F382">
        <v>2007</v>
      </c>
      <c r="G382" t="s">
        <v>2736</v>
      </c>
      <c r="H382" t="s">
        <v>2737</v>
      </c>
      <c r="I382" t="s">
        <v>2738</v>
      </c>
      <c r="J382" t="s">
        <v>2739</v>
      </c>
      <c r="K382" s="4" t="str">
        <f>HYPERLINK("https://doi.org/10.2739/kurumemedj.MS66002","Inoue (2015)")</f>
        <v>Inoue (2015)</v>
      </c>
      <c r="L382" s="1" t="s">
        <v>15</v>
      </c>
    </row>
    <row r="383" spans="1:12" x14ac:dyDescent="0.35">
      <c r="A383">
        <v>192</v>
      </c>
      <c r="B383" t="s">
        <v>2740</v>
      </c>
      <c r="C383" t="s">
        <v>2741</v>
      </c>
      <c r="D383" t="s">
        <v>2742</v>
      </c>
      <c r="E383" t="s">
        <v>79</v>
      </c>
      <c r="F383">
        <v>2007</v>
      </c>
      <c r="G383" t="s">
        <v>2743</v>
      </c>
      <c r="H383" t="s">
        <v>603</v>
      </c>
      <c r="I383" t="s">
        <v>2744</v>
      </c>
      <c r="J383" t="s">
        <v>2745</v>
      </c>
      <c r="K383" s="4" t="str">
        <f>HYPERLINK("https://doi.org/10.7417/CT.2013.1540","Iorio (2013)")</f>
        <v>Iorio (2013)</v>
      </c>
      <c r="L383" s="1" t="s">
        <v>7</v>
      </c>
    </row>
    <row r="384" spans="1:12" x14ac:dyDescent="0.35">
      <c r="A384">
        <v>193</v>
      </c>
      <c r="B384" t="s">
        <v>2746</v>
      </c>
      <c r="C384" t="s">
        <v>2747</v>
      </c>
      <c r="D384" t="s">
        <v>2748</v>
      </c>
      <c r="E384" t="s">
        <v>79</v>
      </c>
      <c r="F384">
        <v>2007</v>
      </c>
      <c r="G384" t="s">
        <v>2749</v>
      </c>
      <c r="H384" t="s">
        <v>2750</v>
      </c>
      <c r="I384" t="s">
        <v>2751</v>
      </c>
      <c r="J384" t="s">
        <v>2752</v>
      </c>
      <c r="K384" s="4" t="str">
        <f>HYPERLINK("https://doi.org/10.1007/s00167-021-06585-w","Irrgang (2021)")</f>
        <v>Irrgang (2021)</v>
      </c>
      <c r="L384" s="1" t="s">
        <v>4</v>
      </c>
    </row>
    <row r="385" spans="1:12" x14ac:dyDescent="0.35">
      <c r="A385">
        <v>200</v>
      </c>
      <c r="B385" t="s">
        <v>2753</v>
      </c>
      <c r="C385" t="s">
        <v>2754</v>
      </c>
      <c r="D385" t="s">
        <v>2755</v>
      </c>
      <c r="E385" t="s">
        <v>71</v>
      </c>
      <c r="F385">
        <v>2007</v>
      </c>
      <c r="G385" t="s">
        <v>2756</v>
      </c>
      <c r="H385" t="s">
        <v>205</v>
      </c>
      <c r="I385" t="s">
        <v>2757</v>
      </c>
      <c r="J385" t="s">
        <v>2758</v>
      </c>
      <c r="K385" s="4" t="str">
        <f>HYPERLINK("https://doi.org/10.1007/s00167-006-0138-2","Isberg (2006)")</f>
        <v>Isberg (2006)</v>
      </c>
      <c r="L385" s="1" t="s">
        <v>7</v>
      </c>
    </row>
    <row r="386" spans="1:12" x14ac:dyDescent="0.35">
      <c r="A386">
        <v>204</v>
      </c>
      <c r="B386" t="s">
        <v>2759</v>
      </c>
      <c r="C386" t="s">
        <v>2760</v>
      </c>
      <c r="D386" t="s">
        <v>2761</v>
      </c>
      <c r="E386" t="s">
        <v>130</v>
      </c>
      <c r="F386">
        <v>2006</v>
      </c>
      <c r="G386" t="s">
        <v>2762</v>
      </c>
      <c r="H386" t="s">
        <v>1824</v>
      </c>
      <c r="I386" t="s">
        <v>2763</v>
      </c>
      <c r="J386" t="s">
        <v>2764</v>
      </c>
      <c r="K386" s="4" t="str">
        <f>HYPERLINK("https://doi.org/10.1007/s00167-011-1399-y","Isberg (2011)")</f>
        <v>Isberg (2011)</v>
      </c>
      <c r="L386" s="1" t="s">
        <v>7</v>
      </c>
    </row>
    <row r="387" spans="1:12" x14ac:dyDescent="0.35">
      <c r="A387">
        <v>206</v>
      </c>
      <c r="B387" t="s">
        <v>2765</v>
      </c>
      <c r="C387" t="s">
        <v>2766</v>
      </c>
      <c r="D387" t="s">
        <v>2767</v>
      </c>
      <c r="E387" t="s">
        <v>79</v>
      </c>
      <c r="F387">
        <v>2006</v>
      </c>
      <c r="G387" t="s">
        <v>2768</v>
      </c>
      <c r="H387" t="s">
        <v>474</v>
      </c>
      <c r="I387" t="s">
        <v>2769</v>
      </c>
      <c r="J387" t="s">
        <v>2770</v>
      </c>
      <c r="K387" s="4" t="str">
        <f>HYPERLINK("https://doi.org/10.1007/s00167-017-4678-4","Ithurburn (2018)")</f>
        <v>Ithurburn (2018)</v>
      </c>
      <c r="L387" s="1" t="s">
        <v>7</v>
      </c>
    </row>
    <row r="388" spans="1:12" x14ac:dyDescent="0.35">
      <c r="A388">
        <v>208</v>
      </c>
      <c r="B388" t="s">
        <v>2771</v>
      </c>
      <c r="C388" t="s">
        <v>2772</v>
      </c>
      <c r="D388" t="s">
        <v>2773</v>
      </c>
      <c r="E388" t="s">
        <v>71</v>
      </c>
      <c r="F388">
        <v>2006</v>
      </c>
      <c r="G388" t="s">
        <v>2774</v>
      </c>
      <c r="H388" t="s">
        <v>2373</v>
      </c>
      <c r="I388" t="s">
        <v>2775</v>
      </c>
      <c r="J388" t="s">
        <v>2776</v>
      </c>
      <c r="K388" s="4" t="str">
        <f>HYPERLINK("https://doi.org/10.1016/j.knee.2006.10.004","Ito (2007)")</f>
        <v>Ito (2007)</v>
      </c>
      <c r="L388" s="1" t="s">
        <v>4</v>
      </c>
    </row>
    <row r="389" spans="1:12" x14ac:dyDescent="0.35">
      <c r="A389">
        <v>209</v>
      </c>
      <c r="B389" t="s">
        <v>2777</v>
      </c>
      <c r="C389" t="s">
        <v>2778</v>
      </c>
      <c r="D389" t="s">
        <v>2779</v>
      </c>
      <c r="E389" t="s">
        <v>79</v>
      </c>
      <c r="F389">
        <v>2005</v>
      </c>
      <c r="G389" t="s">
        <v>2780</v>
      </c>
      <c r="H389" t="s">
        <v>2781</v>
      </c>
      <c r="I389" t="s">
        <v>2782</v>
      </c>
      <c r="J389" t="s">
        <v>2783</v>
      </c>
      <c r="K389" s="4" t="str">
        <f>HYPERLINK("https://doi.org/10.1177/0363546510397172","Izawa (2011)")</f>
        <v>Izawa (2011)</v>
      </c>
      <c r="L389" s="1" t="s">
        <v>7</v>
      </c>
    </row>
    <row r="390" spans="1:12" x14ac:dyDescent="0.35">
      <c r="A390">
        <v>212</v>
      </c>
      <c r="B390" t="s">
        <v>2784</v>
      </c>
      <c r="C390" t="s">
        <v>2785</v>
      </c>
      <c r="D390" t="s">
        <v>2786</v>
      </c>
      <c r="E390" t="s">
        <v>2787</v>
      </c>
      <c r="F390">
        <v>2005</v>
      </c>
      <c r="G390" t="s">
        <v>2788</v>
      </c>
      <c r="H390" t="s">
        <v>2789</v>
      </c>
      <c r="I390" t="s">
        <v>2790</v>
      </c>
      <c r="J390" t="s">
        <v>2791</v>
      </c>
      <c r="K390" s="4" t="str">
        <f>HYPERLINK("https://doi.org/10.1177/0363546509350325","Jagodzinski (2010)")</f>
        <v>Jagodzinski (2010)</v>
      </c>
    </row>
    <row r="391" spans="1:12" x14ac:dyDescent="0.35">
      <c r="A391">
        <v>217</v>
      </c>
      <c r="B391" t="s">
        <v>2792</v>
      </c>
      <c r="C391" t="s">
        <v>2793</v>
      </c>
      <c r="D391" t="s">
        <v>2794</v>
      </c>
      <c r="E391" t="s">
        <v>79</v>
      </c>
      <c r="F391">
        <v>2005</v>
      </c>
      <c r="G391" t="s">
        <v>2795</v>
      </c>
      <c r="H391" t="s">
        <v>496</v>
      </c>
      <c r="I391" t="s">
        <v>2796</v>
      </c>
      <c r="J391" t="s">
        <v>2797</v>
      </c>
      <c r="K391" s="4" t="str">
        <f>HYPERLINK("https://doi.org/10.1007/s001670050166","Jansson (1999)")</f>
        <v>Jansson (1999)</v>
      </c>
      <c r="L391" s="1" t="s">
        <v>7</v>
      </c>
    </row>
    <row r="392" spans="1:12" x14ac:dyDescent="0.35">
      <c r="A392">
        <v>218</v>
      </c>
      <c r="B392" t="s">
        <v>2798</v>
      </c>
      <c r="C392" t="s">
        <v>2799</v>
      </c>
      <c r="D392" t="s">
        <v>2800</v>
      </c>
      <c r="E392" t="s">
        <v>2074</v>
      </c>
      <c r="F392">
        <v>2005</v>
      </c>
      <c r="G392" t="s">
        <v>2801</v>
      </c>
      <c r="H392" t="s">
        <v>2635</v>
      </c>
      <c r="I392" t="s">
        <v>2802</v>
      </c>
      <c r="J392" t="s">
        <v>2803</v>
      </c>
      <c r="K392" s="4" t="str">
        <f>HYPERLINK("https://doi.org/10.1177/03635465030310010501","Jansson (2003)")</f>
        <v>Jansson (2003)</v>
      </c>
      <c r="L392" s="1" t="s">
        <v>4</v>
      </c>
    </row>
    <row r="393" spans="1:12" x14ac:dyDescent="0.35">
      <c r="A393">
        <v>221</v>
      </c>
      <c r="B393" t="s">
        <v>2804</v>
      </c>
      <c r="C393" t="s">
        <v>2805</v>
      </c>
      <c r="D393" t="s">
        <v>2806</v>
      </c>
      <c r="E393" t="s">
        <v>79</v>
      </c>
      <c r="F393">
        <v>2005</v>
      </c>
      <c r="G393" t="s">
        <v>2807</v>
      </c>
      <c r="H393" t="s">
        <v>1751</v>
      </c>
      <c r="I393" t="s">
        <v>2808</v>
      </c>
      <c r="J393" t="s">
        <v>2809</v>
      </c>
      <c r="K393" s="4" t="str">
        <f>HYPERLINK("https://doi.org/10.1007/s002640050357","Järvelä (1999)")</f>
        <v>Järvelä (1999)</v>
      </c>
      <c r="L393" s="1" t="s">
        <v>7</v>
      </c>
    </row>
    <row r="394" spans="1:12" x14ac:dyDescent="0.35">
      <c r="A394">
        <v>228</v>
      </c>
      <c r="B394" t="s">
        <v>2810</v>
      </c>
      <c r="C394" t="s">
        <v>2811</v>
      </c>
      <c r="D394" t="s">
        <v>2812</v>
      </c>
      <c r="E394" t="s">
        <v>130</v>
      </c>
      <c r="F394">
        <v>2004</v>
      </c>
      <c r="G394" t="s">
        <v>2813</v>
      </c>
      <c r="H394" t="s">
        <v>2814</v>
      </c>
      <c r="I394" t="s">
        <v>2815</v>
      </c>
      <c r="J394" t="s">
        <v>2816</v>
      </c>
      <c r="K394" s="4" t="str">
        <f>HYPERLINK("https://doi.org/10.1007/s00167-006-0254-z","Järvelä (2007)")</f>
        <v>Järvelä (2007)</v>
      </c>
    </row>
    <row r="395" spans="1:12" x14ac:dyDescent="0.35">
      <c r="A395">
        <v>232</v>
      </c>
      <c r="B395" t="s">
        <v>2817</v>
      </c>
      <c r="C395" t="s">
        <v>2818</v>
      </c>
      <c r="D395" t="s">
        <v>2819</v>
      </c>
      <c r="E395" t="s">
        <v>145</v>
      </c>
      <c r="F395">
        <v>2003</v>
      </c>
      <c r="G395" t="s">
        <v>2820</v>
      </c>
      <c r="H395" t="s">
        <v>2821</v>
      </c>
      <c r="I395" t="s">
        <v>2822</v>
      </c>
      <c r="J395" t="s">
        <v>2823</v>
      </c>
      <c r="K395" s="4" t="str">
        <f>HYPERLINK("https://doi.org/10.1177/0363546507308360","Järvelä (2008)")</f>
        <v>Järvelä (2008)</v>
      </c>
    </row>
    <row r="396" spans="1:12" x14ac:dyDescent="0.35">
      <c r="A396">
        <v>240</v>
      </c>
      <c r="B396" t="s">
        <v>2824</v>
      </c>
      <c r="C396" t="s">
        <v>2825</v>
      </c>
      <c r="D396" t="s">
        <v>2826</v>
      </c>
      <c r="E396" t="s">
        <v>79</v>
      </c>
      <c r="F396">
        <v>2002</v>
      </c>
      <c r="G396" t="s">
        <v>2827</v>
      </c>
      <c r="H396" t="s">
        <v>2828</v>
      </c>
      <c r="I396" t="s">
        <v>2829</v>
      </c>
      <c r="J396" t="s">
        <v>2830</v>
      </c>
      <c r="K396" s="4" t="str">
        <f>HYPERLINK("https://doi.org/10.1016/j.arthro.2007.09.010","Jepsen (2007)")</f>
        <v>Jepsen (2007)</v>
      </c>
    </row>
    <row r="397" spans="1:12" x14ac:dyDescent="0.35">
      <c r="A397">
        <v>244</v>
      </c>
      <c r="B397" t="s">
        <v>2831</v>
      </c>
      <c r="C397" t="s">
        <v>2832</v>
      </c>
      <c r="D397" t="s">
        <v>2833</v>
      </c>
      <c r="E397" t="s">
        <v>47</v>
      </c>
      <c r="F397">
        <v>2001</v>
      </c>
      <c r="G397" t="s">
        <v>2834</v>
      </c>
      <c r="H397" t="s">
        <v>2835</v>
      </c>
      <c r="I397" t="s">
        <v>2836</v>
      </c>
      <c r="J397" t="s">
        <v>2837</v>
      </c>
      <c r="K397" s="4" t="str">
        <f>HYPERLINK("https://doi.org/10.1155/2022/6779207","Jin (2022)")</f>
        <v>Jin (2022)</v>
      </c>
      <c r="L397" s="1" t="s">
        <v>7</v>
      </c>
    </row>
    <row r="398" spans="1:12" x14ac:dyDescent="0.35">
      <c r="A398">
        <v>251</v>
      </c>
      <c r="B398" t="s">
        <v>2838</v>
      </c>
      <c r="C398" t="s">
        <v>2839</v>
      </c>
      <c r="D398" t="s">
        <v>2840</v>
      </c>
      <c r="E398" t="s">
        <v>71</v>
      </c>
      <c r="F398">
        <v>2000</v>
      </c>
      <c r="G398" t="s">
        <v>2841</v>
      </c>
      <c r="H398" t="s">
        <v>1845</v>
      </c>
      <c r="I398" t="s">
        <v>2842</v>
      </c>
      <c r="J398" t="s">
        <v>2843</v>
      </c>
      <c r="K398" s="4" t="str">
        <f>HYPERLINK("https://doi.org/10.1302/0301-620x.81b5.8644","Jomha (1999)")</f>
        <v>Jomha (1999)</v>
      </c>
      <c r="L398" s="1" t="s">
        <v>15</v>
      </c>
    </row>
    <row r="399" spans="1:12" x14ac:dyDescent="0.35">
      <c r="A399">
        <v>261</v>
      </c>
      <c r="B399" t="s">
        <v>2844</v>
      </c>
      <c r="C399" t="s">
        <v>2845</v>
      </c>
      <c r="D399" t="s">
        <v>2846</v>
      </c>
      <c r="E399" t="s">
        <v>130</v>
      </c>
      <c r="F399">
        <v>1996</v>
      </c>
      <c r="G399" t="s">
        <v>2847</v>
      </c>
      <c r="H399" t="s">
        <v>2848</v>
      </c>
      <c r="I399" t="s">
        <v>2849</v>
      </c>
      <c r="J399" t="s">
        <v>2850</v>
      </c>
      <c r="K399" s="4" t="str">
        <f>HYPERLINK("https://doi.org/10.1007/s001670050007","Jørgensen (2000)")</f>
        <v>Jørgensen (2000)</v>
      </c>
      <c r="L399" s="1" t="s">
        <v>7</v>
      </c>
    </row>
    <row r="400" spans="1:12" x14ac:dyDescent="0.35">
      <c r="A400">
        <v>264</v>
      </c>
      <c r="B400" t="s">
        <v>2851</v>
      </c>
      <c r="C400" t="s">
        <v>2852</v>
      </c>
      <c r="D400" t="s">
        <v>2853</v>
      </c>
      <c r="E400" t="s">
        <v>2854</v>
      </c>
      <c r="F400">
        <v>1994</v>
      </c>
      <c r="G400" t="s">
        <v>2855</v>
      </c>
      <c r="H400" t="s">
        <v>2856</v>
      </c>
      <c r="I400" t="s">
        <v>2857</v>
      </c>
      <c r="J400" t="s">
        <v>2858</v>
      </c>
      <c r="K400" s="4" t="str">
        <f>HYPERLINK("https://doi.org/10.69605/ijlbpr_14.7.2025.278","Kadivar (2025)")</f>
        <v>Kadivar (2025)</v>
      </c>
    </row>
    <row r="401" spans="1:12" x14ac:dyDescent="0.35">
      <c r="A401">
        <v>0</v>
      </c>
      <c r="B401" t="s">
        <v>2859</v>
      </c>
      <c r="C401" t="s">
        <v>2860</v>
      </c>
      <c r="D401" t="s">
        <v>2861</v>
      </c>
      <c r="E401" t="s">
        <v>1399</v>
      </c>
      <c r="F401">
        <v>2025</v>
      </c>
      <c r="G401" t="s">
        <v>2862</v>
      </c>
      <c r="H401" t="s">
        <v>2863</v>
      </c>
      <c r="I401" t="s">
        <v>2864</v>
      </c>
      <c r="J401" t="s">
        <v>2865</v>
      </c>
      <c r="K401" s="4" t="str">
        <f>HYPERLINK("https://doi.org/10.1016/j.arthro.2004.09.012","Kaeding (2005)")</f>
        <v>Kaeding (2005)</v>
      </c>
      <c r="L401" s="1" t="s">
        <v>4</v>
      </c>
    </row>
    <row r="402" spans="1:12" x14ac:dyDescent="0.35">
      <c r="A402">
        <v>6</v>
      </c>
      <c r="B402" t="s">
        <v>2866</v>
      </c>
      <c r="C402" t="s">
        <v>2867</v>
      </c>
      <c r="D402" t="s">
        <v>2868</v>
      </c>
      <c r="E402" t="s">
        <v>2869</v>
      </c>
      <c r="F402">
        <v>2025</v>
      </c>
      <c r="G402" t="s">
        <v>2870</v>
      </c>
      <c r="H402" t="s">
        <v>987</v>
      </c>
      <c r="I402" t="s">
        <v>2871</v>
      </c>
      <c r="J402" t="s">
        <v>2872</v>
      </c>
      <c r="K402" s="4" t="str">
        <f>HYPERLINK("https://doi.org/10.1177/0363546515626543","Karikis (2016)")</f>
        <v>Karikis (2016)</v>
      </c>
      <c r="L402" s="1" t="s">
        <v>4</v>
      </c>
    </row>
    <row r="403" spans="1:12" x14ac:dyDescent="0.35">
      <c r="A403">
        <v>10</v>
      </c>
      <c r="B403" t="s">
        <v>2873</v>
      </c>
      <c r="C403" t="s">
        <v>2874</v>
      </c>
      <c r="D403" t="s">
        <v>2875</v>
      </c>
      <c r="E403" t="s">
        <v>2876</v>
      </c>
      <c r="F403">
        <v>2022</v>
      </c>
      <c r="G403" t="s">
        <v>2877</v>
      </c>
      <c r="H403" t="s">
        <v>1090</v>
      </c>
      <c r="I403" t="s">
        <v>2878</v>
      </c>
      <c r="J403" t="s">
        <v>2879</v>
      </c>
      <c r="K403" s="4" t="str">
        <f>HYPERLINK("https://doi.org/10.1016/j.arthro.2017.06.025","Karikis (2017)")</f>
        <v>Karikis (2017)</v>
      </c>
      <c r="L403" s="1" t="s">
        <v>15</v>
      </c>
    </row>
    <row r="404" spans="1:12" x14ac:dyDescent="0.35">
      <c r="A404">
        <v>11</v>
      </c>
      <c r="B404" t="s">
        <v>2880</v>
      </c>
      <c r="C404" t="s">
        <v>2881</v>
      </c>
      <c r="D404" t="s">
        <v>2882</v>
      </c>
      <c r="E404" t="s">
        <v>130</v>
      </c>
      <c r="F404">
        <v>2022</v>
      </c>
      <c r="G404" t="s">
        <v>2883</v>
      </c>
      <c r="H404" t="s">
        <v>2293</v>
      </c>
      <c r="I404" t="s">
        <v>2884</v>
      </c>
      <c r="J404" t="s">
        <v>2885</v>
      </c>
      <c r="K404" s="4" t="str">
        <f>HYPERLINK("https://doi.org/10.1007/s00167-014-2890-z","Karimi-Mobarakeh (2015)")</f>
        <v>Karimi-Mobarakeh (2015)</v>
      </c>
      <c r="L404" s="1" t="s">
        <v>4</v>
      </c>
    </row>
    <row r="405" spans="1:12" x14ac:dyDescent="0.35">
      <c r="A405">
        <v>13</v>
      </c>
      <c r="B405" t="s">
        <v>2886</v>
      </c>
      <c r="C405" t="s">
        <v>2887</v>
      </c>
      <c r="D405" t="s">
        <v>2888</v>
      </c>
      <c r="E405" t="s">
        <v>379</v>
      </c>
      <c r="F405">
        <v>2021</v>
      </c>
      <c r="G405" t="s">
        <v>2889</v>
      </c>
      <c r="H405" t="s">
        <v>2890</v>
      </c>
      <c r="I405" t="s">
        <v>2891</v>
      </c>
      <c r="J405" t="s">
        <v>2892</v>
      </c>
      <c r="K405" s="4" t="str">
        <f>HYPERLINK("https://doi.org/10.1177/036354659402200514","Karlson (1994)")</f>
        <v>Karlson (1994)</v>
      </c>
      <c r="L405" s="1" t="s">
        <v>7</v>
      </c>
    </row>
    <row r="406" spans="1:12" x14ac:dyDescent="0.35">
      <c r="A406">
        <v>15</v>
      </c>
      <c r="B406" t="s">
        <v>2893</v>
      </c>
      <c r="C406" t="s">
        <v>2894</v>
      </c>
      <c r="D406" t="s">
        <v>2895</v>
      </c>
      <c r="E406" t="s">
        <v>2896</v>
      </c>
      <c r="F406">
        <v>2021</v>
      </c>
      <c r="G406" t="s">
        <v>2897</v>
      </c>
      <c r="H406" t="s">
        <v>2898</v>
      </c>
      <c r="I406" t="s">
        <v>2899</v>
      </c>
      <c r="J406" t="s">
        <v>2900</v>
      </c>
      <c r="K406" s="4" t="str">
        <f>HYPERLINK("https://doi.org/10.1007/s00264-014-2495-7","Kautzner (2015)")</f>
        <v>Kautzner (2015)</v>
      </c>
      <c r="L406" s="1" t="s">
        <v>4</v>
      </c>
    </row>
    <row r="407" spans="1:12" x14ac:dyDescent="0.35">
      <c r="A407">
        <v>17</v>
      </c>
      <c r="B407" t="s">
        <v>2901</v>
      </c>
      <c r="C407" t="s">
        <v>2902</v>
      </c>
      <c r="D407" t="s">
        <v>2903</v>
      </c>
      <c r="E407" t="s">
        <v>71</v>
      </c>
      <c r="F407">
        <v>2021</v>
      </c>
      <c r="G407" t="s">
        <v>2904</v>
      </c>
      <c r="H407" t="s">
        <v>2905</v>
      </c>
      <c r="I407" t="s">
        <v>2906</v>
      </c>
      <c r="J407" t="s">
        <v>2907</v>
      </c>
      <c r="K407" s="4" t="str">
        <f>HYPERLINK("https://doi.org/10.1177/2325967114S00274","Kaya (2014)")</f>
        <v>Kaya (2014)</v>
      </c>
    </row>
    <row r="408" spans="1:12" x14ac:dyDescent="0.35">
      <c r="A408">
        <v>22</v>
      </c>
      <c r="B408" t="s">
        <v>2908</v>
      </c>
      <c r="C408" t="s">
        <v>2909</v>
      </c>
      <c r="D408" t="s">
        <v>2910</v>
      </c>
      <c r="E408" t="s">
        <v>2146</v>
      </c>
      <c r="F408">
        <v>2020</v>
      </c>
      <c r="G408" t="s">
        <v>2911</v>
      </c>
      <c r="H408" t="s">
        <v>453</v>
      </c>
      <c r="I408" t="s">
        <v>2912</v>
      </c>
      <c r="J408" t="s">
        <v>2913</v>
      </c>
      <c r="K408" s="4" t="str">
        <f>HYPERLINK("https://doi.org/10.1016/j.knee.2025.07.024","Kentel (2025)")</f>
        <v>Kentel (2025)</v>
      </c>
      <c r="L408" s="1" t="s">
        <v>15</v>
      </c>
    </row>
    <row r="409" spans="1:12" x14ac:dyDescent="0.35">
      <c r="A409">
        <v>27</v>
      </c>
      <c r="B409" t="s">
        <v>2914</v>
      </c>
      <c r="C409" t="s">
        <v>2915</v>
      </c>
      <c r="D409" t="s">
        <v>2916</v>
      </c>
      <c r="E409" t="s">
        <v>2917</v>
      </c>
      <c r="F409">
        <v>2020</v>
      </c>
      <c r="G409" t="s">
        <v>2918</v>
      </c>
      <c r="H409" t="s">
        <v>2919</v>
      </c>
      <c r="I409" t="s">
        <v>2920</v>
      </c>
      <c r="J409" t="s">
        <v>2921</v>
      </c>
      <c r="K409" s="4" t="str">
        <f>HYPERLINK("https://doi.org/10.1007/s00264-025-06468-6","Khalil (2025)")</f>
        <v>Khalil (2025)</v>
      </c>
    </row>
    <row r="410" spans="1:12" x14ac:dyDescent="0.35">
      <c r="A410">
        <v>34</v>
      </c>
      <c r="B410" t="s">
        <v>2922</v>
      </c>
      <c r="C410" t="s">
        <v>2923</v>
      </c>
      <c r="D410" t="s">
        <v>2924</v>
      </c>
      <c r="E410" t="s">
        <v>494</v>
      </c>
      <c r="F410">
        <v>2017</v>
      </c>
      <c r="G410" t="s">
        <v>2925</v>
      </c>
      <c r="H410" t="s">
        <v>2926</v>
      </c>
      <c r="I410" t="s">
        <v>2927</v>
      </c>
      <c r="J410" t="s">
        <v>2928</v>
      </c>
      <c r="K410" s="4" t="str">
        <f>HYPERLINK("https://doi.org/10.53555/yqb1tm68","Khan (2024)")</f>
        <v>Khan (2024)</v>
      </c>
      <c r="L410" s="1" t="s">
        <v>7</v>
      </c>
    </row>
    <row r="411" spans="1:12" x14ac:dyDescent="0.35">
      <c r="A411">
        <v>36</v>
      </c>
      <c r="B411" t="s">
        <v>2929</v>
      </c>
      <c r="C411" t="s">
        <v>2930</v>
      </c>
      <c r="D411" t="s">
        <v>2931</v>
      </c>
      <c r="E411" t="s">
        <v>130</v>
      </c>
      <c r="F411">
        <v>2016</v>
      </c>
      <c r="G411" t="s">
        <v>2932</v>
      </c>
      <c r="H411" t="s">
        <v>2933</v>
      </c>
      <c r="I411" t="s">
        <v>2934</v>
      </c>
      <c r="J411" t="s">
        <v>2935</v>
      </c>
      <c r="K411" s="4" t="str">
        <f>HYPERLINK("https://doi.org/10.4103/jajs.jajs_137_22","Khan (2024)")</f>
        <v>Khan (2024)</v>
      </c>
      <c r="L411" s="1" t="s">
        <v>4</v>
      </c>
    </row>
    <row r="412" spans="1:12" x14ac:dyDescent="0.35">
      <c r="A412">
        <v>69</v>
      </c>
      <c r="B412" t="s">
        <v>2936</v>
      </c>
      <c r="C412" t="s">
        <v>2937</v>
      </c>
      <c r="D412" t="s">
        <v>2938</v>
      </c>
      <c r="E412" t="s">
        <v>2939</v>
      </c>
      <c r="F412">
        <v>1994</v>
      </c>
      <c r="G412" t="s">
        <v>2940</v>
      </c>
      <c r="H412" t="s">
        <v>2941</v>
      </c>
      <c r="I412" t="s">
        <v>2942</v>
      </c>
      <c r="J412" t="s">
        <v>2943</v>
      </c>
      <c r="K412" s="4" t="str">
        <f>HYPERLINK("https://doi.org/10.1016/j.jcot.2017.06.015","Khare (2017)")</f>
        <v>Khare (2017)</v>
      </c>
      <c r="L412" s="1" t="s">
        <v>7</v>
      </c>
    </row>
    <row r="413" spans="1:12" x14ac:dyDescent="0.35">
      <c r="A413">
        <v>0</v>
      </c>
      <c r="B413" t="s">
        <v>2944</v>
      </c>
      <c r="C413" t="s">
        <v>2945</v>
      </c>
      <c r="D413" t="s">
        <v>2946</v>
      </c>
      <c r="E413" t="s">
        <v>2947</v>
      </c>
      <c r="F413">
        <v>2026</v>
      </c>
      <c r="G413" t="s">
        <v>2948</v>
      </c>
      <c r="H413" t="s">
        <v>2949</v>
      </c>
      <c r="I413" t="s">
        <v>2950</v>
      </c>
      <c r="J413" t="s">
        <v>2951</v>
      </c>
      <c r="K413" s="4" t="str">
        <f>HYPERLINK("https://doi.org/10.7860/JCDR/2023/64284.18350","Khatri (2023)")</f>
        <v>Khatri (2023)</v>
      </c>
    </row>
    <row r="414" spans="1:12" x14ac:dyDescent="0.35">
      <c r="A414">
        <v>2</v>
      </c>
      <c r="B414" t="s">
        <v>2952</v>
      </c>
      <c r="C414" t="s">
        <v>2953</v>
      </c>
      <c r="D414" t="s">
        <v>2954</v>
      </c>
      <c r="E414" t="s">
        <v>2955</v>
      </c>
      <c r="F414">
        <v>2025</v>
      </c>
      <c r="G414" t="s">
        <v>2956</v>
      </c>
      <c r="H414" t="s">
        <v>2957</v>
      </c>
      <c r="I414" t="s">
        <v>2958</v>
      </c>
      <c r="J414" t="s">
        <v>2959</v>
      </c>
      <c r="K414" s="4" t="str">
        <f>HYPERLINK("https://doi.org/10.1177/2325967116685525","Kiekara (2017)")</f>
        <v>Kiekara (2017)</v>
      </c>
      <c r="L414" s="1" t="s">
        <v>7</v>
      </c>
    </row>
    <row r="415" spans="1:12" x14ac:dyDescent="0.35">
      <c r="A415">
        <v>3</v>
      </c>
      <c r="B415" t="s">
        <v>2960</v>
      </c>
      <c r="C415" t="s">
        <v>2961</v>
      </c>
      <c r="D415" t="s">
        <v>2962</v>
      </c>
      <c r="E415" t="s">
        <v>2963</v>
      </c>
      <c r="F415">
        <v>2025</v>
      </c>
      <c r="G415" t="s">
        <v>2964</v>
      </c>
      <c r="H415" t="s">
        <v>2965</v>
      </c>
      <c r="I415" t="s">
        <v>2966</v>
      </c>
      <c r="J415" t="s">
        <v>2967</v>
      </c>
      <c r="K415" s="4" t="str">
        <f>HYPERLINK("https://doi.org/10.2106/JBJS.L.00356","Kim (2013)")</f>
        <v>Kim (2013)</v>
      </c>
      <c r="L415" s="1" t="s">
        <v>4</v>
      </c>
    </row>
    <row r="416" spans="1:12" x14ac:dyDescent="0.35">
      <c r="A416">
        <v>7</v>
      </c>
      <c r="B416" t="s">
        <v>2968</v>
      </c>
      <c r="C416" t="s">
        <v>2969</v>
      </c>
      <c r="D416" t="s">
        <v>2970</v>
      </c>
      <c r="E416" t="s">
        <v>2971</v>
      </c>
      <c r="F416">
        <v>2023</v>
      </c>
      <c r="G416" t="s">
        <v>2972</v>
      </c>
      <c r="H416" t="s">
        <v>2973</v>
      </c>
      <c r="I416" t="s">
        <v>2974</v>
      </c>
      <c r="J416" t="s">
        <v>2975</v>
      </c>
      <c r="K416" s="4" t="str">
        <f>HYPERLINK("https://doi.org/10.1177/0363546517744535","Kim (2018)")</f>
        <v>Kim (2018)</v>
      </c>
      <c r="L416" s="1" t="s">
        <v>4</v>
      </c>
    </row>
    <row r="417" spans="1:12" x14ac:dyDescent="0.35">
      <c r="A417">
        <v>13</v>
      </c>
      <c r="B417" t="s">
        <v>2976</v>
      </c>
      <c r="C417" t="s">
        <v>2977</v>
      </c>
      <c r="D417" t="s">
        <v>2978</v>
      </c>
      <c r="E417" t="s">
        <v>2979</v>
      </c>
      <c r="F417">
        <v>2023</v>
      </c>
      <c r="G417" t="s">
        <v>2980</v>
      </c>
      <c r="H417" t="s">
        <v>2981</v>
      </c>
      <c r="I417" t="s">
        <v>2982</v>
      </c>
      <c r="J417" t="s">
        <v>2983</v>
      </c>
      <c r="K417" s="5" t="str">
        <f>HYPERLINK("https://doi.org/10.3944/AOTT.2014.13.0111","Klinikli (2014)")</f>
        <v>Klinikli (2014)</v>
      </c>
      <c r="L417" s="1" t="s">
        <v>7</v>
      </c>
    </row>
    <row r="418" spans="1:12" x14ac:dyDescent="0.35">
      <c r="A418">
        <v>20</v>
      </c>
      <c r="B418" t="s">
        <v>2984</v>
      </c>
      <c r="C418" t="s">
        <v>2985</v>
      </c>
      <c r="D418" t="s">
        <v>2986</v>
      </c>
      <c r="E418" t="s">
        <v>2987</v>
      </c>
      <c r="F418">
        <v>2022</v>
      </c>
      <c r="G418" t="s">
        <v>2988</v>
      </c>
      <c r="H418" t="s">
        <v>2989</v>
      </c>
      <c r="I418" t="s">
        <v>2990</v>
      </c>
      <c r="J418" t="s">
        <v>2991</v>
      </c>
      <c r="K418" s="4" t="str">
        <f>HYPERLINK("https://doi.org/10.1177/0363546514567069","Koga (2015)")</f>
        <v>Koga (2015)</v>
      </c>
      <c r="L418" s="1" t="s">
        <v>4</v>
      </c>
    </row>
    <row r="419" spans="1:12" x14ac:dyDescent="0.35">
      <c r="A419">
        <v>23</v>
      </c>
      <c r="B419" t="s">
        <v>2992</v>
      </c>
      <c r="C419" t="s">
        <v>2993</v>
      </c>
      <c r="D419" t="s">
        <v>2994</v>
      </c>
      <c r="E419" t="s">
        <v>2995</v>
      </c>
      <c r="F419">
        <v>2022</v>
      </c>
      <c r="G419" t="s">
        <v>2996</v>
      </c>
      <c r="H419" t="s">
        <v>2997</v>
      </c>
      <c r="I419" t="s">
        <v>2998</v>
      </c>
      <c r="J419" t="s">
        <v>2999</v>
      </c>
      <c r="K419" s="4" t="str">
        <f>HYPERLINK("https://doi.org/10.1016/j.arthro.2014.07.020","Koga (2015)")</f>
        <v>Koga (2015)</v>
      </c>
      <c r="L419" s="1" t="s">
        <v>4</v>
      </c>
    </row>
    <row r="420" spans="1:12" x14ac:dyDescent="0.35">
      <c r="A420">
        <v>24</v>
      </c>
      <c r="B420" t="s">
        <v>3000</v>
      </c>
      <c r="C420" t="s">
        <v>3001</v>
      </c>
      <c r="D420" t="s">
        <v>3002</v>
      </c>
      <c r="E420" t="s">
        <v>3003</v>
      </c>
      <c r="F420">
        <v>2022</v>
      </c>
      <c r="G420" t="s">
        <v>3004</v>
      </c>
      <c r="H420" t="s">
        <v>3005</v>
      </c>
      <c r="I420" t="s">
        <v>3006</v>
      </c>
      <c r="J420" t="s">
        <v>3007</v>
      </c>
      <c r="K420" s="4" t="str">
        <f>HYPERLINK("https://doi.org/10.1007/s12570-013-0231-1","Koken (2014)")</f>
        <v>Koken (2014)</v>
      </c>
      <c r="L420" s="1" t="s">
        <v>4</v>
      </c>
    </row>
    <row r="421" spans="1:12" x14ac:dyDescent="0.35">
      <c r="A421">
        <v>29</v>
      </c>
      <c r="B421" t="s">
        <v>3008</v>
      </c>
      <c r="C421" t="s">
        <v>3009</v>
      </c>
      <c r="D421" t="s">
        <v>3010</v>
      </c>
      <c r="E421" t="s">
        <v>3011</v>
      </c>
      <c r="F421">
        <v>2021</v>
      </c>
      <c r="G421" t="s">
        <v>3012</v>
      </c>
      <c r="H421" t="s">
        <v>3013</v>
      </c>
      <c r="I421" t="s">
        <v>3014</v>
      </c>
      <c r="J421" t="s">
        <v>3015</v>
      </c>
      <c r="K421" s="4" t="str">
        <f>HYPERLINK("https://doi.org/10.1007/s00402-021-04195-2","Komzák (2022)")</f>
        <v>Komzák (2022)</v>
      </c>
      <c r="L421" s="1" t="s">
        <v>4</v>
      </c>
    </row>
    <row r="422" spans="1:12" x14ac:dyDescent="0.35">
      <c r="A422">
        <v>30</v>
      </c>
      <c r="B422" t="s">
        <v>3016</v>
      </c>
      <c r="C422" t="s">
        <v>3017</v>
      </c>
      <c r="D422" t="s">
        <v>3018</v>
      </c>
      <c r="E422" t="s">
        <v>3019</v>
      </c>
      <c r="F422">
        <v>2020</v>
      </c>
      <c r="G422" t="s">
        <v>3020</v>
      </c>
      <c r="H422" t="s">
        <v>809</v>
      </c>
      <c r="I422" t="s">
        <v>3021</v>
      </c>
      <c r="J422" t="s">
        <v>3022</v>
      </c>
      <c r="K422" s="4" t="str">
        <f>HYPERLINK("https://doi.org/10.1177/0363546508317123","Kondo (2008)")</f>
        <v>Kondo (2008)</v>
      </c>
    </row>
    <row r="423" spans="1:12" x14ac:dyDescent="0.35">
      <c r="A423">
        <v>36</v>
      </c>
      <c r="B423" t="s">
        <v>3023</v>
      </c>
      <c r="C423" t="s">
        <v>3024</v>
      </c>
      <c r="D423" t="s">
        <v>3025</v>
      </c>
      <c r="E423" t="s">
        <v>3026</v>
      </c>
      <c r="F423">
        <v>2020</v>
      </c>
      <c r="G423" t="s">
        <v>3027</v>
      </c>
      <c r="H423" t="s">
        <v>2949</v>
      </c>
      <c r="I423" t="s">
        <v>3028</v>
      </c>
      <c r="J423" t="s">
        <v>3029</v>
      </c>
      <c r="K423" s="4" t="str">
        <f>HYPERLINK("https://doi.org/10.1007/s00402-015-2386-4","Konrads (2016)")</f>
        <v>Konrads (2016)</v>
      </c>
      <c r="L423" s="1" t="s">
        <v>4</v>
      </c>
    </row>
    <row r="424" spans="1:12" x14ac:dyDescent="0.35">
      <c r="A424">
        <v>41</v>
      </c>
      <c r="B424" t="s">
        <v>3030</v>
      </c>
      <c r="C424" t="s">
        <v>3031</v>
      </c>
      <c r="D424" t="s">
        <v>3032</v>
      </c>
      <c r="E424" t="s">
        <v>3033</v>
      </c>
      <c r="F424">
        <v>2019</v>
      </c>
      <c r="G424" t="s">
        <v>3034</v>
      </c>
      <c r="H424" t="s">
        <v>824</v>
      </c>
      <c r="I424" t="s">
        <v>3035</v>
      </c>
      <c r="J424" t="s">
        <v>3036</v>
      </c>
      <c r="K424" s="4" t="str">
        <f>HYPERLINK("https://doi.org/10.1177/0363546507299238","Kostogiannis (2007)")</f>
        <v>Kostogiannis (2007)</v>
      </c>
    </row>
    <row r="425" spans="1:12" x14ac:dyDescent="0.35">
      <c r="A425">
        <v>43</v>
      </c>
      <c r="B425" t="s">
        <v>3037</v>
      </c>
      <c r="C425" t="s">
        <v>3038</v>
      </c>
      <c r="D425" t="s">
        <v>3039</v>
      </c>
      <c r="E425" t="s">
        <v>3040</v>
      </c>
      <c r="F425">
        <v>2019</v>
      </c>
      <c r="G425" t="s">
        <v>3041</v>
      </c>
      <c r="H425" t="s">
        <v>3042</v>
      </c>
      <c r="I425" t="s">
        <v>3043</v>
      </c>
      <c r="J425" t="s">
        <v>3044</v>
      </c>
      <c r="K425" s="4" t="str">
        <f>HYPERLINK("https://doi.org/10.1007/s00167-019-05456-9","Kouloumentas (2019)")</f>
        <v>Kouloumentas (2019)</v>
      </c>
      <c r="L425" s="1" t="s">
        <v>4</v>
      </c>
    </row>
    <row r="426" spans="1:12" x14ac:dyDescent="0.35">
      <c r="A426">
        <v>44</v>
      </c>
      <c r="B426" t="s">
        <v>3045</v>
      </c>
      <c r="C426" t="s">
        <v>3046</v>
      </c>
      <c r="D426" t="s">
        <v>3047</v>
      </c>
      <c r="E426" t="s">
        <v>3048</v>
      </c>
      <c r="F426">
        <v>2018</v>
      </c>
      <c r="G426" t="s">
        <v>3049</v>
      </c>
      <c r="H426" t="s">
        <v>3050</v>
      </c>
      <c r="I426" t="s">
        <v>3051</v>
      </c>
      <c r="J426" t="s">
        <v>3052</v>
      </c>
      <c r="K426" s="4" t="str">
        <f>HYPERLINK("https://doi.org/10.1007/s00167-012-2323-9","Koutras (2013)")</f>
        <v>Koutras (2013)</v>
      </c>
      <c r="L426" s="1" t="s">
        <v>15</v>
      </c>
    </row>
    <row r="427" spans="1:12" x14ac:dyDescent="0.35">
      <c r="A427">
        <v>47</v>
      </c>
      <c r="B427" t="s">
        <v>3053</v>
      </c>
      <c r="C427" t="s">
        <v>3054</v>
      </c>
      <c r="D427" t="s">
        <v>3055</v>
      </c>
      <c r="E427" t="s">
        <v>3056</v>
      </c>
      <c r="F427">
        <v>2018</v>
      </c>
      <c r="G427" t="s">
        <v>3057</v>
      </c>
      <c r="H427" t="s">
        <v>3058</v>
      </c>
      <c r="I427" t="s">
        <v>3059</v>
      </c>
      <c r="J427" t="s">
        <v>3060</v>
      </c>
      <c r="K427" s="4" t="str">
        <f>HYPERLINK("https://doi.org/10.1016/j.arthro.2020.08.012","Krishna (2021)")</f>
        <v>Krishna (2021)</v>
      </c>
      <c r="L427" s="1" t="s">
        <v>4</v>
      </c>
    </row>
    <row r="428" spans="1:12" x14ac:dyDescent="0.35">
      <c r="A428">
        <v>51</v>
      </c>
      <c r="B428" t="s">
        <v>3061</v>
      </c>
      <c r="C428" t="s">
        <v>3062</v>
      </c>
      <c r="D428" t="s">
        <v>3063</v>
      </c>
      <c r="E428" t="s">
        <v>3064</v>
      </c>
      <c r="F428">
        <v>2017</v>
      </c>
      <c r="G428" t="s">
        <v>3065</v>
      </c>
      <c r="H428" t="s">
        <v>3066</v>
      </c>
      <c r="I428" t="s">
        <v>3067</v>
      </c>
      <c r="J428" t="s">
        <v>3068</v>
      </c>
      <c r="K428" s="4" t="str">
        <f>HYPERLINK("https://doi.org/10.3928/0147-7447-19980101-10","Kühne (1998)")</f>
        <v>Kühne (1998)</v>
      </c>
      <c r="L428" s="1" t="s">
        <v>7</v>
      </c>
    </row>
    <row r="429" spans="1:12" x14ac:dyDescent="0.35">
      <c r="A429">
        <v>107</v>
      </c>
      <c r="B429" t="s">
        <v>3069</v>
      </c>
      <c r="C429" t="s">
        <v>3070</v>
      </c>
      <c r="D429" t="s">
        <v>3071</v>
      </c>
      <c r="E429" t="s">
        <v>3072</v>
      </c>
      <c r="F429">
        <v>2004</v>
      </c>
      <c r="G429" t="s">
        <v>3073</v>
      </c>
      <c r="H429" t="s">
        <v>559</v>
      </c>
      <c r="I429" t="s">
        <v>3074</v>
      </c>
      <c r="J429" t="s">
        <v>3075</v>
      </c>
      <c r="K429" s="4" t="str">
        <f>HYPERLINK("https://doi.org/10.1177/03635465221149738","Kuli?ski (2023)")</f>
        <v>Kuli?ski (2023)</v>
      </c>
      <c r="L429" s="1" t="s">
        <v>4</v>
      </c>
    </row>
    <row r="430" spans="1:12" x14ac:dyDescent="0.35">
      <c r="A430">
        <v>112</v>
      </c>
      <c r="B430" t="s">
        <v>3076</v>
      </c>
      <c r="C430" t="s">
        <v>3077</v>
      </c>
      <c r="D430" t="s">
        <v>3078</v>
      </c>
      <c r="E430" t="s">
        <v>3079</v>
      </c>
      <c r="F430">
        <v>2002</v>
      </c>
      <c r="G430" t="s">
        <v>3080</v>
      </c>
      <c r="H430" t="s">
        <v>147</v>
      </c>
      <c r="I430" t="s">
        <v>3081</v>
      </c>
      <c r="J430" t="s">
        <v>3082</v>
      </c>
      <c r="K430" s="4" t="str">
        <f>HYPERLINK("https://doi.org/10.1007/s00590-021-02912-6","Kulshrestha (2021)")</f>
        <v>Kulshrestha (2021)</v>
      </c>
      <c r="L430" s="1" t="s">
        <v>4</v>
      </c>
    </row>
    <row r="431" spans="1:12" x14ac:dyDescent="0.35">
      <c r="A431">
        <v>122</v>
      </c>
      <c r="B431" t="s">
        <v>3083</v>
      </c>
      <c r="C431" t="s">
        <v>1941</v>
      </c>
      <c r="D431" t="s">
        <v>3084</v>
      </c>
      <c r="E431" t="s">
        <v>3085</v>
      </c>
      <c r="F431">
        <v>2001</v>
      </c>
      <c r="G431" t="s">
        <v>3086</v>
      </c>
      <c r="H431" t="s">
        <v>1944</v>
      </c>
      <c r="I431" t="s">
        <v>1945</v>
      </c>
      <c r="J431" t="s">
        <v>1946</v>
      </c>
      <c r="K431" s="4" t="str">
        <f>HYPERLINK("https://doi.org/10.23750/abm.v92i6.10875","Labianca (2022)")</f>
        <v>Labianca (2022)</v>
      </c>
      <c r="L431" s="1" t="s">
        <v>4</v>
      </c>
    </row>
    <row r="432" spans="1:12" x14ac:dyDescent="0.35">
      <c r="A432">
        <v>4</v>
      </c>
      <c r="B432" t="s">
        <v>3087</v>
      </c>
      <c r="C432" t="s">
        <v>3088</v>
      </c>
      <c r="D432" t="s">
        <v>3089</v>
      </c>
      <c r="E432" t="s">
        <v>3090</v>
      </c>
      <c r="F432">
        <v>2025</v>
      </c>
      <c r="G432" t="s">
        <v>3091</v>
      </c>
      <c r="H432" t="s">
        <v>3092</v>
      </c>
      <c r="I432" t="s">
        <v>3093</v>
      </c>
      <c r="J432" t="s">
        <v>3094</v>
      </c>
      <c r="K432" s="4" t="str">
        <f>HYPERLINK("https://doi.org/10.1016/j.rco.2008.01.008","Laboute (2008)")</f>
        <v>Laboute (2008)</v>
      </c>
      <c r="L432" s="1" t="s">
        <v>7</v>
      </c>
    </row>
    <row r="433" spans="1:12" x14ac:dyDescent="0.35">
      <c r="A433">
        <v>5</v>
      </c>
      <c r="B433" t="s">
        <v>3095</v>
      </c>
      <c r="C433" t="s">
        <v>3096</v>
      </c>
      <c r="D433" t="s">
        <v>3097</v>
      </c>
      <c r="E433" t="s">
        <v>3098</v>
      </c>
      <c r="F433">
        <v>2025</v>
      </c>
      <c r="G433" t="s">
        <v>3099</v>
      </c>
      <c r="H433" t="s">
        <v>3100</v>
      </c>
      <c r="I433" t="s">
        <v>3101</v>
      </c>
      <c r="J433" t="s">
        <v>3102</v>
      </c>
      <c r="K433" s="4" t="str">
        <f>HYPERLINK("https://doi.org/10.1007/s00132-012-1898-7","Lahner (2012)")</f>
        <v>Lahner (2012)</v>
      </c>
      <c r="L433" s="1" t="s">
        <v>7</v>
      </c>
    </row>
    <row r="434" spans="1:12" x14ac:dyDescent="0.35">
      <c r="A434">
        <v>7</v>
      </c>
      <c r="B434" t="s">
        <v>3103</v>
      </c>
      <c r="C434" t="s">
        <v>3104</v>
      </c>
      <c r="D434" t="s">
        <v>3105</v>
      </c>
      <c r="E434" t="s">
        <v>3106</v>
      </c>
      <c r="F434">
        <v>2025</v>
      </c>
      <c r="G434" t="s">
        <v>3107</v>
      </c>
      <c r="H434" t="s">
        <v>3108</v>
      </c>
      <c r="I434" t="s">
        <v>3109</v>
      </c>
      <c r="J434" t="s">
        <v>3110</v>
      </c>
      <c r="K434" s="4" t="str">
        <f>HYPERLINK("https://doi.org/10.1002/ksa.12710","LaPrade (2025)")</f>
        <v>LaPrade (2025)</v>
      </c>
    </row>
    <row r="435" spans="1:12" x14ac:dyDescent="0.35">
      <c r="A435">
        <v>9</v>
      </c>
      <c r="B435" t="s">
        <v>3111</v>
      </c>
      <c r="C435" t="s">
        <v>3112</v>
      </c>
      <c r="D435" t="s">
        <v>3113</v>
      </c>
      <c r="E435" t="s">
        <v>3114</v>
      </c>
      <c r="F435">
        <v>2025</v>
      </c>
      <c r="G435" t="s">
        <v>3115</v>
      </c>
      <c r="H435" t="s">
        <v>3116</v>
      </c>
      <c r="I435" t="s">
        <v>3117</v>
      </c>
      <c r="J435" t="s">
        <v>3118</v>
      </c>
      <c r="K435" s="4" t="str">
        <f>HYPERLINK("https://doi.org/10.1016/j.arthro.2024.06.042","Lavender (2025)")</f>
        <v>Lavender (2025)</v>
      </c>
      <c r="L435" s="1" t="s">
        <v>4</v>
      </c>
    </row>
    <row r="436" spans="1:12" x14ac:dyDescent="0.35">
      <c r="A436">
        <v>13</v>
      </c>
      <c r="B436" t="s">
        <v>3119</v>
      </c>
      <c r="C436" t="s">
        <v>3120</v>
      </c>
      <c r="D436" t="s">
        <v>3121</v>
      </c>
      <c r="E436" t="s">
        <v>3122</v>
      </c>
      <c r="F436">
        <v>2025</v>
      </c>
      <c r="G436" t="s">
        <v>3123</v>
      </c>
      <c r="H436" t="s">
        <v>3124</v>
      </c>
      <c r="I436" t="s">
        <v>3125</v>
      </c>
      <c r="J436" t="s">
        <v>3126</v>
      </c>
      <c r="K436" s="4" t="str">
        <f>HYPERLINK("https://doi.org/10.1002/ksa.12698","Lawless (2026)")</f>
        <v>Lawless (2026)</v>
      </c>
      <c r="L436" s="1" t="s">
        <v>4</v>
      </c>
    </row>
    <row r="437" spans="1:12" x14ac:dyDescent="0.35">
      <c r="A437">
        <v>15</v>
      </c>
      <c r="B437" t="s">
        <v>3127</v>
      </c>
      <c r="C437" t="s">
        <v>3128</v>
      </c>
      <c r="D437" t="s">
        <v>3129</v>
      </c>
      <c r="E437" t="s">
        <v>3130</v>
      </c>
      <c r="F437">
        <v>2025</v>
      </c>
      <c r="G437" t="s">
        <v>3131</v>
      </c>
      <c r="H437" t="s">
        <v>3132</v>
      </c>
      <c r="I437" t="s">
        <v>3133</v>
      </c>
      <c r="J437" t="s">
        <v>3134</v>
      </c>
      <c r="K437" s="4" t="str">
        <f>HYPERLINK("https://doi.org/10.1016/j.arthro.2004.09.014","Laxdal (2005)")</f>
        <v>Laxdal (2005)</v>
      </c>
      <c r="L437" s="1" t="s">
        <v>4</v>
      </c>
    </row>
    <row r="438" spans="1:12" x14ac:dyDescent="0.35">
      <c r="A438">
        <v>34</v>
      </c>
      <c r="B438" t="s">
        <v>3135</v>
      </c>
      <c r="C438" t="s">
        <v>3136</v>
      </c>
      <c r="D438" t="s">
        <v>3137</v>
      </c>
      <c r="E438" t="s">
        <v>3138</v>
      </c>
      <c r="F438">
        <v>2024</v>
      </c>
      <c r="G438" t="s">
        <v>3139</v>
      </c>
      <c r="H438" t="s">
        <v>3140</v>
      </c>
      <c r="I438" t="s">
        <v>3141</v>
      </c>
      <c r="J438" t="s">
        <v>3142</v>
      </c>
      <c r="K438" s="4" t="str">
        <f>HYPERLINK("https://doi.org/10.1177/0363546506288014","Laxdal (2006)")</f>
        <v>Laxdal (2006)</v>
      </c>
    </row>
    <row r="439" spans="1:12" x14ac:dyDescent="0.35">
      <c r="A439">
        <v>37</v>
      </c>
      <c r="B439" t="s">
        <v>3143</v>
      </c>
      <c r="C439" t="s">
        <v>3144</v>
      </c>
      <c r="D439" t="s">
        <v>3145</v>
      </c>
      <c r="E439" t="s">
        <v>3146</v>
      </c>
      <c r="F439">
        <v>2023</v>
      </c>
      <c r="G439" t="s">
        <v>3147</v>
      </c>
      <c r="H439" t="s">
        <v>3148</v>
      </c>
      <c r="I439" t="s">
        <v>3149</v>
      </c>
      <c r="J439" t="s">
        <v>3150</v>
      </c>
      <c r="K439" s="4" t="str">
        <f>HYPERLINK("https://doi.org/10.1097/JSM.0b013e31822153cb","Leal-Blanquet (2011)")</f>
        <v>Leal-Blanquet (2011)</v>
      </c>
      <c r="L439" s="1" t="s">
        <v>15</v>
      </c>
    </row>
    <row r="440" spans="1:12" x14ac:dyDescent="0.35">
      <c r="A440">
        <v>46</v>
      </c>
      <c r="B440" t="s">
        <v>3151</v>
      </c>
      <c r="C440" t="s">
        <v>3152</v>
      </c>
      <c r="D440" t="s">
        <v>3153</v>
      </c>
      <c r="E440" t="s">
        <v>3154</v>
      </c>
      <c r="F440">
        <v>2023</v>
      </c>
      <c r="G440" t="s">
        <v>3155</v>
      </c>
      <c r="H440" t="s">
        <v>3156</v>
      </c>
      <c r="I440" t="s">
        <v>3157</v>
      </c>
      <c r="J440" t="s">
        <v>3158</v>
      </c>
      <c r="K440" s="4" t="str">
        <f>HYPERLINK("https://doi.org/10.1177/0363546518795137","Lecoq (2018)")</f>
        <v>Lecoq (2018)</v>
      </c>
    </row>
    <row r="441" spans="1:12" x14ac:dyDescent="0.35">
      <c r="A441">
        <v>70</v>
      </c>
      <c r="B441" t="s">
        <v>3159</v>
      </c>
      <c r="C441" t="s">
        <v>3160</v>
      </c>
      <c r="D441" t="s">
        <v>3161</v>
      </c>
      <c r="E441" t="s">
        <v>3162</v>
      </c>
      <c r="F441">
        <v>2022</v>
      </c>
      <c r="G441" t="s">
        <v>3163</v>
      </c>
      <c r="H441" t="s">
        <v>453</v>
      </c>
      <c r="I441" t="s">
        <v>3164</v>
      </c>
      <c r="J441" t="s">
        <v>3165</v>
      </c>
      <c r="K441" s="4" t="str">
        <f>HYPERLINK("https://doi.org/10.1016/j.knee.2010.09.004","Lee (2011)")</f>
        <v>Lee (2011)</v>
      </c>
      <c r="L441" s="1" t="s">
        <v>15</v>
      </c>
    </row>
    <row r="442" spans="1:12" x14ac:dyDescent="0.35">
      <c r="A442">
        <v>74</v>
      </c>
      <c r="B442" t="s">
        <v>3166</v>
      </c>
      <c r="C442" t="s">
        <v>3167</v>
      </c>
      <c r="D442" t="s">
        <v>3168</v>
      </c>
      <c r="E442" t="s">
        <v>3169</v>
      </c>
      <c r="F442">
        <v>2022</v>
      </c>
      <c r="G442" t="s">
        <v>3170</v>
      </c>
      <c r="H442" t="s">
        <v>3171</v>
      </c>
      <c r="I442" t="s">
        <v>3172</v>
      </c>
      <c r="J442" t="s">
        <v>3173</v>
      </c>
      <c r="K442" s="4" t="str">
        <f>HYPERLINK("https://doi.org/10.1007/s00167-012-1880-2","Lee (2012)")</f>
        <v>Lee (2012)</v>
      </c>
      <c r="L442" s="1" t="s">
        <v>4</v>
      </c>
    </row>
    <row r="443" spans="1:12" x14ac:dyDescent="0.35">
      <c r="A443">
        <v>82</v>
      </c>
      <c r="B443" t="s">
        <v>3174</v>
      </c>
      <c r="C443" t="s">
        <v>3175</v>
      </c>
      <c r="D443" t="s">
        <v>3176</v>
      </c>
      <c r="E443" t="s">
        <v>3177</v>
      </c>
      <c r="F443">
        <v>2021</v>
      </c>
      <c r="G443" t="s">
        <v>3178</v>
      </c>
      <c r="H443" t="s">
        <v>232</v>
      </c>
      <c r="I443" t="s">
        <v>3179</v>
      </c>
      <c r="J443" t="s">
        <v>3180</v>
      </c>
      <c r="K443" s="4" t="str">
        <f>HYPERLINK("https://doi.org/10.1177/2325967120933135","Lee (2020)")</f>
        <v>Lee (2020)</v>
      </c>
      <c r="L443" s="1" t="s">
        <v>4</v>
      </c>
    </row>
    <row r="444" spans="1:12" x14ac:dyDescent="0.35">
      <c r="A444">
        <v>83</v>
      </c>
      <c r="B444" t="s">
        <v>3181</v>
      </c>
      <c r="C444" t="s">
        <v>3182</v>
      </c>
      <c r="D444" t="s">
        <v>3183</v>
      </c>
      <c r="E444" t="s">
        <v>3184</v>
      </c>
      <c r="F444">
        <v>2021</v>
      </c>
      <c r="G444" t="s">
        <v>3185</v>
      </c>
      <c r="H444" t="s">
        <v>3186</v>
      </c>
      <c r="I444" t="s">
        <v>3187</v>
      </c>
      <c r="J444" t="s">
        <v>3188</v>
      </c>
      <c r="K444" s="4" t="str">
        <f>HYPERLINK("https://doi.org/10.1007/s00508-014-0550-4","Leitgeb (2014)")</f>
        <v>Leitgeb (2014)</v>
      </c>
      <c r="L444" s="1" t="s">
        <v>7</v>
      </c>
    </row>
    <row r="445" spans="1:12" x14ac:dyDescent="0.35">
      <c r="A445">
        <v>132</v>
      </c>
      <c r="B445" t="s">
        <v>3189</v>
      </c>
      <c r="C445" t="s">
        <v>3190</v>
      </c>
      <c r="D445" t="s">
        <v>3191</v>
      </c>
      <c r="E445" t="s">
        <v>3192</v>
      </c>
      <c r="F445">
        <v>2019</v>
      </c>
      <c r="G445" t="s">
        <v>3193</v>
      </c>
      <c r="H445" t="s">
        <v>3194</v>
      </c>
      <c r="I445" t="s">
        <v>3195</v>
      </c>
      <c r="J445" t="s">
        <v>3196</v>
      </c>
      <c r="K445" s="4" t="str">
        <f>HYPERLINK("https://doi.org/10.1007/s00167-014-3490-7","Lelli (2016)")</f>
        <v>Lelli (2016)</v>
      </c>
      <c r="L445" s="1" t="s">
        <v>7</v>
      </c>
    </row>
    <row r="446" spans="1:12" x14ac:dyDescent="0.35">
      <c r="A446">
        <v>148</v>
      </c>
      <c r="B446" t="s">
        <v>3197</v>
      </c>
      <c r="C446" t="s">
        <v>3198</v>
      </c>
      <c r="D446" t="s">
        <v>3199</v>
      </c>
      <c r="E446" t="s">
        <v>3200</v>
      </c>
      <c r="F446">
        <v>2018</v>
      </c>
      <c r="G446" t="s">
        <v>3201</v>
      </c>
      <c r="H446" t="s">
        <v>3202</v>
      </c>
      <c r="I446" t="s">
        <v>3203</v>
      </c>
      <c r="J446" t="s">
        <v>3204</v>
      </c>
      <c r="K446" s="4" t="str">
        <f>HYPERLINK("https://doi.org/10.1177/0363546511430375","Leys (2012)")</f>
        <v>Leys (2012)</v>
      </c>
      <c r="L446" s="1" t="s">
        <v>15</v>
      </c>
    </row>
    <row r="447" spans="1:12" x14ac:dyDescent="0.35">
      <c r="A447">
        <v>193</v>
      </c>
      <c r="B447" t="s">
        <v>3205</v>
      </c>
      <c r="C447" t="s">
        <v>3206</v>
      </c>
      <c r="D447" t="s">
        <v>3207</v>
      </c>
      <c r="E447" t="s">
        <v>3208</v>
      </c>
      <c r="F447">
        <v>2014</v>
      </c>
      <c r="G447" t="s">
        <v>3209</v>
      </c>
      <c r="H447" t="s">
        <v>729</v>
      </c>
      <c r="I447" t="s">
        <v>3210</v>
      </c>
      <c r="J447" t="s">
        <v>3211</v>
      </c>
      <c r="K447" s="4" t="str">
        <f>HYPERLINK("https://doi.org/10.3969/j.issn.2095-4344.2014.51.023","Li (2014)")</f>
        <v>Li (2014)</v>
      </c>
    </row>
    <row r="448" spans="1:12" x14ac:dyDescent="0.35">
      <c r="A448">
        <v>204</v>
      </c>
      <c r="B448" t="s">
        <v>3212</v>
      </c>
      <c r="C448" t="s">
        <v>3213</v>
      </c>
      <c r="D448" t="s">
        <v>3214</v>
      </c>
      <c r="E448" t="s">
        <v>3215</v>
      </c>
      <c r="F448">
        <v>2014</v>
      </c>
      <c r="G448" t="s">
        <v>3216</v>
      </c>
      <c r="H448" t="s">
        <v>3217</v>
      </c>
      <c r="I448" t="s">
        <v>3218</v>
      </c>
      <c r="J448" t="s">
        <v>3219</v>
      </c>
      <c r="K448" s="4" t="str">
        <f>HYPERLINK("https://doi.org/10.1016/j.physio.2021.11.003","Li (2022)")</f>
        <v>Li (2022)</v>
      </c>
      <c r="L448" s="1" t="s">
        <v>4</v>
      </c>
    </row>
    <row r="449" spans="1:12" x14ac:dyDescent="0.35">
      <c r="A449">
        <v>298</v>
      </c>
      <c r="B449" t="s">
        <v>3220</v>
      </c>
      <c r="C449" t="s">
        <v>3221</v>
      </c>
      <c r="D449" t="s">
        <v>3222</v>
      </c>
      <c r="E449" t="s">
        <v>3223</v>
      </c>
      <c r="F449">
        <v>2003</v>
      </c>
      <c r="G449" t="s">
        <v>3224</v>
      </c>
      <c r="H449" t="s">
        <v>2821</v>
      </c>
      <c r="I449" t="s">
        <v>3225</v>
      </c>
      <c r="J449" t="s">
        <v>3226</v>
      </c>
      <c r="K449" s="4" t="str">
        <f>HYPERLINK("https://doi.org/10.1177/10538127241296376","Li (2025)")</f>
        <v>Li (2025)</v>
      </c>
      <c r="L449" s="1" t="s">
        <v>4</v>
      </c>
    </row>
    <row r="450" spans="1:12" x14ac:dyDescent="0.35">
      <c r="A450">
        <v>1</v>
      </c>
      <c r="B450" t="s">
        <v>3227</v>
      </c>
      <c r="C450" t="s">
        <v>3228</v>
      </c>
      <c r="D450" t="s">
        <v>3229</v>
      </c>
      <c r="E450" t="s">
        <v>3230</v>
      </c>
      <c r="F450">
        <v>2025</v>
      </c>
      <c r="G450" t="s">
        <v>3231</v>
      </c>
      <c r="H450" t="s">
        <v>3232</v>
      </c>
      <c r="I450" t="s">
        <v>3233</v>
      </c>
      <c r="J450" t="s">
        <v>3234</v>
      </c>
      <c r="K450" s="4" t="str">
        <f>HYPERLINK("https://doi.org/10.1177/0363546506298275","Lidén (2007)")</f>
        <v>Lidén (2007)</v>
      </c>
      <c r="L450" s="1" t="s">
        <v>4</v>
      </c>
    </row>
    <row r="451" spans="1:12" x14ac:dyDescent="0.35">
      <c r="A451">
        <v>18</v>
      </c>
      <c r="B451" t="s">
        <v>3235</v>
      </c>
      <c r="C451" t="s">
        <v>3236</v>
      </c>
      <c r="D451" t="s">
        <v>3237</v>
      </c>
      <c r="E451" t="s">
        <v>3238</v>
      </c>
      <c r="F451">
        <v>2024</v>
      </c>
      <c r="G451" t="s">
        <v>3239</v>
      </c>
      <c r="H451" t="s">
        <v>3240</v>
      </c>
      <c r="I451" t="s">
        <v>3241</v>
      </c>
      <c r="J451" t="s">
        <v>3242</v>
      </c>
      <c r="K451" s="4" t="str">
        <f>HYPERLINK("https://doi.org/10.1177/23259671241271729","Lim (2024)")</f>
        <v>Lim (2024)</v>
      </c>
    </row>
    <row r="452" spans="1:12" x14ac:dyDescent="0.35">
      <c r="A452">
        <v>7</v>
      </c>
      <c r="B452" t="s">
        <v>3243</v>
      </c>
      <c r="C452" t="s">
        <v>3244</v>
      </c>
      <c r="D452" t="s">
        <v>3245</v>
      </c>
      <c r="E452" t="s">
        <v>1174</v>
      </c>
      <c r="F452">
        <v>2022</v>
      </c>
      <c r="G452" t="s">
        <v>3246</v>
      </c>
      <c r="H452" t="s">
        <v>3247</v>
      </c>
      <c r="I452" t="s">
        <v>3248</v>
      </c>
      <c r="J452" t="s">
        <v>3249</v>
      </c>
      <c r="K452" s="4" t="str">
        <f>HYPERLINK("https://doi.org/10.1136/bjsports-2019-101000","Lind (2020)")</f>
        <v>Lind (2020)</v>
      </c>
      <c r="L452" s="1" t="s">
        <v>4</v>
      </c>
    </row>
    <row r="453" spans="1:12" x14ac:dyDescent="0.35">
      <c r="A453">
        <v>26</v>
      </c>
      <c r="B453" t="s">
        <v>3250</v>
      </c>
      <c r="C453" t="s">
        <v>3251</v>
      </c>
      <c r="D453" t="s">
        <v>3252</v>
      </c>
      <c r="E453" t="s">
        <v>1174</v>
      </c>
      <c r="F453">
        <v>2016</v>
      </c>
      <c r="G453" t="s">
        <v>3253</v>
      </c>
      <c r="H453" t="s">
        <v>3254</v>
      </c>
      <c r="I453" t="s">
        <v>3255</v>
      </c>
      <c r="J453" t="s">
        <v>3256</v>
      </c>
      <c r="K453" s="4" t="str">
        <f>HYPERLINK("https://doi.org/10.1016/j.knee.2015.04.015","Lindström (2015)")</f>
        <v>Lindström (2015)</v>
      </c>
      <c r="L453" s="1" t="s">
        <v>7</v>
      </c>
    </row>
    <row r="454" spans="1:12" x14ac:dyDescent="0.35">
      <c r="A454">
        <v>32</v>
      </c>
      <c r="B454" t="s">
        <v>3257</v>
      </c>
      <c r="C454" t="s">
        <v>3258</v>
      </c>
      <c r="D454" t="s">
        <v>3259</v>
      </c>
      <c r="E454" t="s">
        <v>1174</v>
      </c>
      <c r="F454">
        <v>2017</v>
      </c>
      <c r="G454" t="s">
        <v>3260</v>
      </c>
      <c r="H454" t="s">
        <v>624</v>
      </c>
      <c r="I454" t="s">
        <v>3261</v>
      </c>
      <c r="J454" t="s">
        <v>3262</v>
      </c>
      <c r="K454" s="4" t="str">
        <f>HYPERLINK("https://doi.org/10.1177/0363546516650876","Liu (2016)")</f>
        <v>Liu (2016)</v>
      </c>
    </row>
    <row r="455" spans="1:12" x14ac:dyDescent="0.35">
      <c r="A455">
        <v>35</v>
      </c>
      <c r="B455" t="s">
        <v>3263</v>
      </c>
      <c r="C455" t="s">
        <v>3264</v>
      </c>
      <c r="D455" t="s">
        <v>3265</v>
      </c>
      <c r="E455" t="s">
        <v>1243</v>
      </c>
      <c r="F455">
        <v>2022</v>
      </c>
      <c r="G455" t="s">
        <v>3266</v>
      </c>
      <c r="H455" t="s">
        <v>1951</v>
      </c>
      <c r="I455" t="s">
        <v>3267</v>
      </c>
      <c r="J455" t="s">
        <v>3268</v>
      </c>
      <c r="K455" s="4" t="str">
        <f>HYPERLINK("https://doi.org/10.3760/cma.j.issn.0529-5815.2017.03.001","Liu (2017)")</f>
        <v>Liu (2017)</v>
      </c>
    </row>
    <row r="456" spans="1:12" x14ac:dyDescent="0.35">
      <c r="A456">
        <v>38</v>
      </c>
      <c r="B456" t="s">
        <v>3269</v>
      </c>
      <c r="C456" t="s">
        <v>3270</v>
      </c>
      <c r="D456" t="s">
        <v>3271</v>
      </c>
      <c r="E456" t="s">
        <v>1174</v>
      </c>
      <c r="F456">
        <v>2018</v>
      </c>
      <c r="G456" t="s">
        <v>3272</v>
      </c>
      <c r="H456" t="s">
        <v>3273</v>
      </c>
      <c r="I456" t="s">
        <v>3274</v>
      </c>
      <c r="J456" t="s">
        <v>3275</v>
      </c>
      <c r="K456" s="4" t="str">
        <f>HYPERLINK("https://doi.org/10.1177/0363546517752918","Liu (2018)")</f>
        <v>Liu (2018)</v>
      </c>
      <c r="L456" s="1" t="s">
        <v>4</v>
      </c>
    </row>
    <row r="457" spans="1:12" x14ac:dyDescent="0.35">
      <c r="A457">
        <v>40</v>
      </c>
      <c r="B457" t="s">
        <v>3276</v>
      </c>
      <c r="C457" t="s">
        <v>3277</v>
      </c>
      <c r="D457" t="s">
        <v>3278</v>
      </c>
      <c r="E457" t="s">
        <v>3279</v>
      </c>
      <c r="F457">
        <v>2013</v>
      </c>
      <c r="G457" t="s">
        <v>3280</v>
      </c>
      <c r="H457" t="s">
        <v>3281</v>
      </c>
      <c r="I457" t="s">
        <v>3282</v>
      </c>
      <c r="J457" t="s">
        <v>3283</v>
      </c>
      <c r="K457" s="4" t="str">
        <f>HYPERLINK("https://doi.org/10.7507/1002-1892.201902059","Liu (2019)")</f>
        <v>Liu (2019)</v>
      </c>
      <c r="L457" s="1" t="s">
        <v>4</v>
      </c>
    </row>
    <row r="458" spans="1:12" x14ac:dyDescent="0.35">
      <c r="A458">
        <v>46</v>
      </c>
      <c r="B458" t="s">
        <v>3284</v>
      </c>
      <c r="C458" t="s">
        <v>3285</v>
      </c>
      <c r="D458" t="s">
        <v>3286</v>
      </c>
      <c r="E458" t="s">
        <v>3287</v>
      </c>
      <c r="F458">
        <v>2025</v>
      </c>
      <c r="G458" t="s">
        <v>3288</v>
      </c>
      <c r="H458" t="s">
        <v>453</v>
      </c>
      <c r="I458" t="s">
        <v>3289</v>
      </c>
      <c r="J458" t="s">
        <v>3290</v>
      </c>
      <c r="K458" s="4" t="str">
        <f>HYPERLINK("https://doi.org/10.1177/03635465221128581","Lodhia (2022)")</f>
        <v>Lodhia (2022)</v>
      </c>
      <c r="L458" s="1" t="s">
        <v>7</v>
      </c>
    </row>
    <row r="459" spans="1:12" x14ac:dyDescent="0.35">
      <c r="A459">
        <v>52</v>
      </c>
      <c r="B459" t="s">
        <v>3291</v>
      </c>
      <c r="C459" t="s">
        <v>3292</v>
      </c>
      <c r="D459" t="s">
        <v>3293</v>
      </c>
      <c r="E459" t="s">
        <v>3294</v>
      </c>
      <c r="F459">
        <v>2015</v>
      </c>
      <c r="G459" t="s">
        <v>3295</v>
      </c>
      <c r="H459" t="s">
        <v>3296</v>
      </c>
      <c r="I459" t="s">
        <v>3297</v>
      </c>
      <c r="J459" t="s">
        <v>3298</v>
      </c>
      <c r="K459" s="4" t="str">
        <f>HYPERLINK("https://doi.org/10.2519/jospt.2014.4852","Logerstedt (2014)")</f>
        <v>Logerstedt (2014)</v>
      </c>
      <c r="L459" s="1" t="s">
        <v>7</v>
      </c>
    </row>
    <row r="460" spans="1:12" x14ac:dyDescent="0.35">
      <c r="A460">
        <v>53</v>
      </c>
      <c r="B460" t="s">
        <v>3299</v>
      </c>
      <c r="C460" t="s">
        <v>3300</v>
      </c>
      <c r="D460" t="s">
        <v>3301</v>
      </c>
      <c r="E460" t="s">
        <v>3302</v>
      </c>
      <c r="F460">
        <v>2023</v>
      </c>
      <c r="G460" t="s">
        <v>3303</v>
      </c>
      <c r="H460" t="s">
        <v>3304</v>
      </c>
      <c r="I460" t="s">
        <v>3305</v>
      </c>
      <c r="J460" t="s">
        <v>3306</v>
      </c>
      <c r="K460" s="4" t="str">
        <f>HYPERLINK("https://doi.org/10.1177/2325967119827237","López-Vidriero (2019)")</f>
        <v>López-Vidriero (2019)</v>
      </c>
    </row>
    <row r="461" spans="1:12" x14ac:dyDescent="0.35">
      <c r="A461">
        <v>57</v>
      </c>
      <c r="B461" t="s">
        <v>3307</v>
      </c>
      <c r="C461" t="s">
        <v>3308</v>
      </c>
      <c r="D461" t="s">
        <v>3309</v>
      </c>
      <c r="E461" t="s">
        <v>3310</v>
      </c>
      <c r="F461">
        <v>2016</v>
      </c>
      <c r="G461" t="s">
        <v>3311</v>
      </c>
      <c r="H461" t="s">
        <v>3312</v>
      </c>
      <c r="I461" t="s">
        <v>3313</v>
      </c>
      <c r="J461" t="s">
        <v>3314</v>
      </c>
      <c r="K461" s="4" t="str">
        <f>HYPERLINK("https://doi.org/10.1177/23259671241302348","Lucidi (2025)")</f>
        <v>Lucidi (2025)</v>
      </c>
    </row>
    <row r="462" spans="1:12" x14ac:dyDescent="0.35">
      <c r="A462">
        <v>58</v>
      </c>
      <c r="B462" t="s">
        <v>3315</v>
      </c>
      <c r="C462" t="s">
        <v>3316</v>
      </c>
      <c r="D462" t="s">
        <v>3317</v>
      </c>
      <c r="E462" t="s">
        <v>1174</v>
      </c>
      <c r="F462">
        <v>2018</v>
      </c>
      <c r="G462" t="s">
        <v>3318</v>
      </c>
      <c r="H462" t="s">
        <v>3319</v>
      </c>
      <c r="I462" t="s">
        <v>3320</v>
      </c>
      <c r="J462" t="s">
        <v>3321</v>
      </c>
      <c r="K462" s="4" t="str">
        <f>HYPERLINK("https://doi.org/10.1016/j.knee.2012.02.005","Lui (2012)")</f>
        <v>Lui (2012)</v>
      </c>
      <c r="L462" s="1" t="s">
        <v>4</v>
      </c>
    </row>
    <row r="463" spans="1:12" x14ac:dyDescent="0.35">
      <c r="A463">
        <v>65</v>
      </c>
      <c r="B463" t="s">
        <v>3322</v>
      </c>
      <c r="C463" t="s">
        <v>3323</v>
      </c>
      <c r="D463" t="s">
        <v>3324</v>
      </c>
      <c r="E463" t="s">
        <v>1174</v>
      </c>
      <c r="F463">
        <v>2011</v>
      </c>
      <c r="G463" t="s">
        <v>3325</v>
      </c>
      <c r="H463" t="s">
        <v>3326</v>
      </c>
      <c r="I463" t="s">
        <v>3327</v>
      </c>
      <c r="J463" t="s">
        <v>3328</v>
      </c>
      <c r="K463" s="4" t="str">
        <f>HYPERLINK("https://doi.org/10.1016/j.arthro.2014.01.012","Lund (2014)")</f>
        <v>Lund (2014)</v>
      </c>
      <c r="L463" s="1" t="s">
        <v>4</v>
      </c>
    </row>
    <row r="464" spans="1:12" x14ac:dyDescent="0.35">
      <c r="A464">
        <v>66</v>
      </c>
      <c r="B464" t="s">
        <v>3329</v>
      </c>
      <c r="C464" t="s">
        <v>3330</v>
      </c>
      <c r="D464" t="s">
        <v>3331</v>
      </c>
      <c r="E464" t="s">
        <v>1174</v>
      </c>
      <c r="F464">
        <v>2013</v>
      </c>
      <c r="G464" t="s">
        <v>3332</v>
      </c>
      <c r="H464" t="s">
        <v>904</v>
      </c>
      <c r="I464" t="s">
        <v>3333</v>
      </c>
      <c r="J464" t="s">
        <v>3334</v>
      </c>
      <c r="K464" s="4" t="str">
        <f>HYPERLINK("https://doi.org/10.1186/s12893-023-02271-5","Ma (2023)")</f>
        <v>Ma (2023)</v>
      </c>
      <c r="L464" s="1" t="s">
        <v>4</v>
      </c>
    </row>
    <row r="465" spans="1:12" x14ac:dyDescent="0.35">
      <c r="A465">
        <v>67</v>
      </c>
      <c r="B465" t="s">
        <v>3335</v>
      </c>
      <c r="C465" t="s">
        <v>3336</v>
      </c>
      <c r="D465" t="s">
        <v>3337</v>
      </c>
      <c r="E465" t="s">
        <v>1174</v>
      </c>
      <c r="F465">
        <v>2022</v>
      </c>
      <c r="G465" t="s">
        <v>3338</v>
      </c>
      <c r="H465" t="s">
        <v>3339</v>
      </c>
      <c r="I465" t="s">
        <v>3340</v>
      </c>
      <c r="J465" t="s">
        <v>3341</v>
      </c>
      <c r="K465" s="4" t="str">
        <f>HYPERLINK("https://doi.org/10.1177/036354659502300512","MacDonald (1995)")</f>
        <v>MacDonald (1995)</v>
      </c>
      <c r="L465" s="1" t="s">
        <v>7</v>
      </c>
    </row>
    <row r="466" spans="1:12" x14ac:dyDescent="0.35">
      <c r="A466">
        <v>69</v>
      </c>
      <c r="B466" t="s">
        <v>3342</v>
      </c>
      <c r="C466" t="s">
        <v>3343</v>
      </c>
      <c r="D466" t="s">
        <v>3344</v>
      </c>
      <c r="E466" t="s">
        <v>3345</v>
      </c>
      <c r="F466">
        <v>2010</v>
      </c>
      <c r="G466" t="s">
        <v>3346</v>
      </c>
      <c r="H466" t="s">
        <v>388</v>
      </c>
      <c r="I466" t="s">
        <v>3347</v>
      </c>
      <c r="J466" t="s">
        <v>3348</v>
      </c>
      <c r="K466" s="4" t="str">
        <f>HYPERLINK("https://doi.org/10.1177/036354659602400612","MacDonald (1996)")</f>
        <v>MacDonald (1996)</v>
      </c>
      <c r="L466" s="1" t="s">
        <v>15</v>
      </c>
    </row>
    <row r="467" spans="1:12" x14ac:dyDescent="0.35">
      <c r="A467">
        <v>70</v>
      </c>
      <c r="B467" t="s">
        <v>3349</v>
      </c>
      <c r="C467" t="s">
        <v>3350</v>
      </c>
      <c r="D467" t="s">
        <v>3351</v>
      </c>
      <c r="E467" t="s">
        <v>3352</v>
      </c>
      <c r="F467">
        <v>2010</v>
      </c>
      <c r="G467" t="s">
        <v>3353</v>
      </c>
      <c r="H467" t="s">
        <v>3354</v>
      </c>
      <c r="I467" t="s">
        <v>3355</v>
      </c>
      <c r="J467" t="s">
        <v>3356</v>
      </c>
      <c r="K467" s="4" t="str">
        <f>HYPERLINK("https://doi.org/10.1007/s00167-017-4664-x","MacDonald (2018)")</f>
        <v>MacDonald (2018)</v>
      </c>
      <c r="L467" s="1" t="s">
        <v>4</v>
      </c>
    </row>
    <row r="468" spans="1:12" x14ac:dyDescent="0.35">
      <c r="A468">
        <v>72</v>
      </c>
      <c r="B468" t="s">
        <v>3357</v>
      </c>
      <c r="C468" t="s">
        <v>3358</v>
      </c>
      <c r="D468" t="s">
        <v>3359</v>
      </c>
      <c r="E468" t="s">
        <v>1174</v>
      </c>
      <c r="F468">
        <v>2007</v>
      </c>
      <c r="G468" t="s">
        <v>3360</v>
      </c>
      <c r="H468" t="s">
        <v>3361</v>
      </c>
      <c r="I468" t="s">
        <v>3362</v>
      </c>
      <c r="J468" t="s">
        <v>3363</v>
      </c>
      <c r="K468" s="4" t="str">
        <f>HYPERLINK("https://doi.org/10.1177/0363546506294361","Maletis (2007)")</f>
        <v>Maletis (2007)</v>
      </c>
      <c r="L468" s="1" t="s">
        <v>4</v>
      </c>
    </row>
    <row r="469" spans="1:12" x14ac:dyDescent="0.35">
      <c r="A469">
        <v>73</v>
      </c>
      <c r="B469" t="s">
        <v>3364</v>
      </c>
      <c r="C469" t="s">
        <v>3365</v>
      </c>
      <c r="D469" t="s">
        <v>3366</v>
      </c>
      <c r="E469" t="s">
        <v>1189</v>
      </c>
      <c r="F469">
        <v>2011</v>
      </c>
      <c r="G469" t="s">
        <v>3367</v>
      </c>
      <c r="H469" t="s">
        <v>3368</v>
      </c>
      <c r="I469" t="s">
        <v>3369</v>
      </c>
      <c r="J469" t="s">
        <v>3370</v>
      </c>
      <c r="K469" s="4" t="str">
        <f>HYPERLINK("https://doi.org/10.1016/j.jcot.2017.03.001","Manandhar (2018)")</f>
        <v>Manandhar (2018)</v>
      </c>
      <c r="L469" s="1" t="s">
        <v>4</v>
      </c>
    </row>
    <row r="470" spans="1:12" x14ac:dyDescent="0.35">
      <c r="A470">
        <v>75</v>
      </c>
      <c r="B470" t="s">
        <v>3371</v>
      </c>
      <c r="C470" t="s">
        <v>3372</v>
      </c>
      <c r="D470" t="s">
        <v>3373</v>
      </c>
      <c r="E470" t="s">
        <v>1174</v>
      </c>
      <c r="F470">
        <v>2019</v>
      </c>
      <c r="G470" t="s">
        <v>3374</v>
      </c>
      <c r="H470" t="s">
        <v>2233</v>
      </c>
      <c r="I470" t="s">
        <v>3375</v>
      </c>
      <c r="J470" t="s">
        <v>3376</v>
      </c>
      <c r="K470" s="4" t="str">
        <f>HYPERLINK("https://doi.org/10.1007/s001670050075","Marcacci (1998)")</f>
        <v>Marcacci (1998)</v>
      </c>
      <c r="L470" s="1" t="s">
        <v>15</v>
      </c>
    </row>
    <row r="471" spans="1:12" x14ac:dyDescent="0.35">
      <c r="A471">
        <v>61</v>
      </c>
      <c r="B471" t="s">
        <v>3377</v>
      </c>
      <c r="C471" t="s">
        <v>3378</v>
      </c>
      <c r="D471" t="s">
        <v>3379</v>
      </c>
      <c r="E471" t="s">
        <v>3380</v>
      </c>
      <c r="F471">
        <v>2020</v>
      </c>
      <c r="G471" t="s">
        <v>3381</v>
      </c>
      <c r="H471" t="s">
        <v>3382</v>
      </c>
      <c r="I471" t="s">
        <v>3383</v>
      </c>
      <c r="J471" t="s">
        <v>3384</v>
      </c>
      <c r="K471" s="4" t="str">
        <f>HYPERLINK("https://doi.org/10.1177/0363546508328114","Marcacci (2009)")</f>
        <v>Marcacci (2009)</v>
      </c>
      <c r="L471" s="1" t="s">
        <v>7</v>
      </c>
    </row>
    <row r="472" spans="1:12" x14ac:dyDescent="0.35">
      <c r="A472">
        <v>79</v>
      </c>
      <c r="B472" t="s">
        <v>3385</v>
      </c>
      <c r="C472" t="s">
        <v>3386</v>
      </c>
      <c r="D472" t="s">
        <v>3387</v>
      </c>
      <c r="E472" t="s">
        <v>3388</v>
      </c>
      <c r="F472">
        <v>2024</v>
      </c>
      <c r="G472" t="s">
        <v>3389</v>
      </c>
      <c r="H472" t="s">
        <v>3390</v>
      </c>
      <c r="I472" t="s">
        <v>3391</v>
      </c>
      <c r="J472" t="s">
        <v>3392</v>
      </c>
      <c r="K472" s="4" t="str">
        <f>HYPERLINK("https://doi.org/10.1053/jars.2001.25277","Mariani (2001)")</f>
        <v>Mariani (2001)</v>
      </c>
      <c r="L472" s="1" t="s">
        <v>4</v>
      </c>
    </row>
    <row r="473" spans="1:12" x14ac:dyDescent="0.35">
      <c r="A473">
        <v>103</v>
      </c>
      <c r="B473" t="s">
        <v>3393</v>
      </c>
      <c r="C473" t="s">
        <v>3394</v>
      </c>
      <c r="D473" t="s">
        <v>3395</v>
      </c>
      <c r="E473" t="s">
        <v>3294</v>
      </c>
      <c r="F473">
        <v>2015</v>
      </c>
      <c r="G473" t="s">
        <v>3396</v>
      </c>
      <c r="H473" t="s">
        <v>2519</v>
      </c>
      <c r="I473" t="s">
        <v>3397</v>
      </c>
      <c r="J473" t="s">
        <v>3398</v>
      </c>
      <c r="K473" s="4" t="str">
        <f>HYPERLINK("https://doi.org/10.1177/03635465211010798","Marmura (2021)")</f>
        <v>Marmura (2021)</v>
      </c>
      <c r="L473" s="1" t="s">
        <v>15</v>
      </c>
    </row>
    <row r="474" spans="1:12" x14ac:dyDescent="0.35">
      <c r="A474">
        <v>1</v>
      </c>
      <c r="B474" t="s">
        <v>3399</v>
      </c>
      <c r="C474" t="s">
        <v>3400</v>
      </c>
      <c r="D474" t="s">
        <v>977</v>
      </c>
      <c r="E474" t="s">
        <v>3401</v>
      </c>
      <c r="F474">
        <v>2025</v>
      </c>
      <c r="G474" t="s">
        <v>977</v>
      </c>
      <c r="H474" t="s">
        <v>977</v>
      </c>
      <c r="I474" t="s">
        <v>3402</v>
      </c>
      <c r="J474" t="s">
        <v>977</v>
      </c>
      <c r="K474" s="4" t="str">
        <f>HYPERLINK("https://doi.org/10.1016/j.knee.2018.03.011","Martin-Alguacil (2018)")</f>
        <v>Martin-Alguacil (2018)</v>
      </c>
      <c r="L474" s="1" t="s">
        <v>4</v>
      </c>
    </row>
    <row r="475" spans="1:12" x14ac:dyDescent="0.35">
      <c r="A475">
        <v>5</v>
      </c>
      <c r="B475" t="s">
        <v>3403</v>
      </c>
      <c r="C475" t="s">
        <v>3404</v>
      </c>
      <c r="D475" t="s">
        <v>977</v>
      </c>
      <c r="E475" t="s">
        <v>3405</v>
      </c>
      <c r="F475">
        <v>2024</v>
      </c>
      <c r="G475" t="s">
        <v>977</v>
      </c>
      <c r="H475" t="s">
        <v>977</v>
      </c>
      <c r="I475" t="s">
        <v>3406</v>
      </c>
      <c r="J475" t="s">
        <v>977</v>
      </c>
      <c r="K475" s="4" t="str">
        <f>HYPERLINK("https://doi.org/10.1002/jeo2.70399","Martinez-Cano (2025)")</f>
        <v>Martinez-Cano (2025)</v>
      </c>
    </row>
    <row r="476" spans="1:12" x14ac:dyDescent="0.35">
      <c r="A476">
        <v>6</v>
      </c>
      <c r="B476" t="s">
        <v>3407</v>
      </c>
      <c r="C476" t="s">
        <v>3408</v>
      </c>
      <c r="D476" t="s">
        <v>977</v>
      </c>
      <c r="E476" t="s">
        <v>3409</v>
      </c>
      <c r="F476">
        <v>2023</v>
      </c>
      <c r="G476" t="s">
        <v>977</v>
      </c>
      <c r="H476" t="s">
        <v>977</v>
      </c>
      <c r="I476" t="s">
        <v>3410</v>
      </c>
      <c r="J476" t="s">
        <v>977</v>
      </c>
      <c r="K476" s="4" t="str">
        <f>HYPERLINK("https://doi.org/10.1177/0363546505279919","Matsumoto (2006)")</f>
        <v>Matsumoto (2006)</v>
      </c>
      <c r="L476" s="1" t="s">
        <v>4</v>
      </c>
    </row>
    <row r="477" spans="1:12" x14ac:dyDescent="0.35">
      <c r="A477">
        <v>9</v>
      </c>
      <c r="B477" t="s">
        <v>3411</v>
      </c>
      <c r="C477" t="s">
        <v>3412</v>
      </c>
      <c r="D477" t="s">
        <v>977</v>
      </c>
      <c r="E477" t="s">
        <v>3413</v>
      </c>
      <c r="F477">
        <v>2023</v>
      </c>
      <c r="G477" t="s">
        <v>977</v>
      </c>
      <c r="H477" t="s">
        <v>977</v>
      </c>
      <c r="I477" t="s">
        <v>3414</v>
      </c>
      <c r="J477" t="s">
        <v>977</v>
      </c>
      <c r="K477" s="4" t="str">
        <f>HYPERLINK("https://doi.org/10.1016/j.arthro.2013.12.014","Matsumoto (2014)")</f>
        <v>Matsumoto (2014)</v>
      </c>
      <c r="L477" s="1" t="s">
        <v>4</v>
      </c>
    </row>
    <row r="478" spans="1:12" x14ac:dyDescent="0.35">
      <c r="A478">
        <v>10</v>
      </c>
      <c r="B478" t="s">
        <v>3415</v>
      </c>
      <c r="C478" t="s">
        <v>3416</v>
      </c>
      <c r="D478" t="s">
        <v>977</v>
      </c>
      <c r="E478" t="s">
        <v>3417</v>
      </c>
      <c r="F478">
        <v>2023</v>
      </c>
      <c r="G478" t="s">
        <v>977</v>
      </c>
      <c r="H478" t="s">
        <v>977</v>
      </c>
      <c r="I478" t="s">
        <v>3418</v>
      </c>
      <c r="J478" t="s">
        <v>977</v>
      </c>
      <c r="K478" s="4" t="str">
        <f>HYPERLINK("https://doi.org/10.1016/j.knee.2009.07.002","Mayr (2010)")</f>
        <v>Mayr (2010)</v>
      </c>
    </row>
    <row r="479" spans="1:12" x14ac:dyDescent="0.35">
      <c r="A479">
        <v>11</v>
      </c>
      <c r="B479" t="s">
        <v>3419</v>
      </c>
      <c r="C479" t="s">
        <v>3420</v>
      </c>
      <c r="D479" t="s">
        <v>977</v>
      </c>
      <c r="E479" t="s">
        <v>3421</v>
      </c>
      <c r="F479">
        <v>2023</v>
      </c>
      <c r="G479" t="s">
        <v>977</v>
      </c>
      <c r="H479" t="s">
        <v>977</v>
      </c>
      <c r="I479" t="s">
        <v>3422</v>
      </c>
      <c r="J479" t="s">
        <v>977</v>
      </c>
      <c r="K479" s="4" t="str">
        <f>HYPERLINK("https://doi.org/10.1007/s00167-013-2564-2","Mayr (2014)")</f>
        <v>Mayr (2014)</v>
      </c>
      <c r="L479" s="1" t="s">
        <v>4</v>
      </c>
    </row>
    <row r="480" spans="1:12" x14ac:dyDescent="0.35">
      <c r="A480">
        <v>14</v>
      </c>
      <c r="B480" t="s">
        <v>3423</v>
      </c>
      <c r="C480" t="s">
        <v>3424</v>
      </c>
      <c r="D480" t="s">
        <v>977</v>
      </c>
      <c r="E480" t="s">
        <v>3425</v>
      </c>
      <c r="F480">
        <v>2023</v>
      </c>
      <c r="G480" t="s">
        <v>977</v>
      </c>
      <c r="H480" t="s">
        <v>977</v>
      </c>
      <c r="I480" t="s">
        <v>3426</v>
      </c>
      <c r="J480" t="s">
        <v>977</v>
      </c>
      <c r="K480" s="4" t="str">
        <f>HYPERLINK("https://doi.org/10.1016/j.arthro.2015.06.029","Mayr (2016)")</f>
        <v>Mayr (2016)</v>
      </c>
      <c r="L480" s="1" t="s">
        <v>4</v>
      </c>
    </row>
    <row r="481" spans="1:12" x14ac:dyDescent="0.35">
      <c r="A481">
        <v>15</v>
      </c>
      <c r="B481" t="s">
        <v>3427</v>
      </c>
      <c r="C481" t="s">
        <v>3428</v>
      </c>
      <c r="D481" t="s">
        <v>977</v>
      </c>
      <c r="E481" t="s">
        <v>3429</v>
      </c>
      <c r="F481">
        <v>2022</v>
      </c>
      <c r="G481" t="s">
        <v>977</v>
      </c>
      <c r="H481" t="s">
        <v>977</v>
      </c>
      <c r="I481" t="s">
        <v>3430</v>
      </c>
      <c r="J481" t="s">
        <v>977</v>
      </c>
      <c r="K481" s="4" t="str">
        <f>HYPERLINK("https://doi.org/10.1016/j.arthro.2018.03.034","Mayr (2018)")</f>
        <v>Mayr (2018)</v>
      </c>
      <c r="L481" s="1" t="s">
        <v>4</v>
      </c>
    </row>
    <row r="482" spans="1:12" x14ac:dyDescent="0.35">
      <c r="A482">
        <v>16</v>
      </c>
      <c r="B482" t="s">
        <v>3431</v>
      </c>
      <c r="C482" t="s">
        <v>3432</v>
      </c>
      <c r="D482" t="s">
        <v>977</v>
      </c>
      <c r="E482" t="s">
        <v>3433</v>
      </c>
      <c r="F482">
        <v>2022</v>
      </c>
      <c r="G482" t="s">
        <v>977</v>
      </c>
      <c r="H482" t="s">
        <v>977</v>
      </c>
      <c r="I482" t="s">
        <v>3434</v>
      </c>
      <c r="J482" t="s">
        <v>977</v>
      </c>
      <c r="K482" s="4" t="str">
        <f>HYPERLINK("https://doi.org/10.1123/jsr.2.3.171","McCarthy (1993)")</f>
        <v>McCarthy (1993)</v>
      </c>
      <c r="L482" s="1" t="s">
        <v>7</v>
      </c>
    </row>
    <row r="483" spans="1:12" x14ac:dyDescent="0.35">
      <c r="A483">
        <v>17</v>
      </c>
      <c r="B483" t="s">
        <v>3435</v>
      </c>
      <c r="C483" t="s">
        <v>3436</v>
      </c>
      <c r="D483" t="s">
        <v>977</v>
      </c>
      <c r="E483" t="s">
        <v>3437</v>
      </c>
      <c r="F483">
        <v>2022</v>
      </c>
      <c r="G483" t="s">
        <v>977</v>
      </c>
      <c r="H483" t="s">
        <v>977</v>
      </c>
      <c r="I483" t="s">
        <v>3438</v>
      </c>
      <c r="J483" t="s">
        <v>977</v>
      </c>
      <c r="K483" s="4" t="str">
        <f>HYPERLINK("https://doi.org/10.1053/ar.1999.v15.015046001","McGuire (1999)")</f>
        <v>McGuire (1999)</v>
      </c>
      <c r="L483" s="1" t="s">
        <v>4</v>
      </c>
    </row>
    <row r="484" spans="1:12" x14ac:dyDescent="0.35">
      <c r="A484">
        <v>21</v>
      </c>
      <c r="B484" t="s">
        <v>3439</v>
      </c>
      <c r="C484" t="s">
        <v>3440</v>
      </c>
      <c r="D484" t="s">
        <v>977</v>
      </c>
      <c r="E484" t="s">
        <v>3441</v>
      </c>
      <c r="F484">
        <v>2022</v>
      </c>
      <c r="G484" t="s">
        <v>977</v>
      </c>
      <c r="H484" t="s">
        <v>977</v>
      </c>
      <c r="I484" t="s">
        <v>3442</v>
      </c>
      <c r="J484" t="s">
        <v>977</v>
      </c>
      <c r="K484" s="4" t="str">
        <f>HYPERLINK("https://doi.org/10.1177/0363546513499140","McRae (2013)")</f>
        <v>McRae (2013)</v>
      </c>
      <c r="L484" s="1" t="s">
        <v>4</v>
      </c>
    </row>
    <row r="485" spans="1:12" x14ac:dyDescent="0.35">
      <c r="A485">
        <v>22</v>
      </c>
      <c r="B485" t="s">
        <v>3443</v>
      </c>
      <c r="C485" t="s">
        <v>3444</v>
      </c>
      <c r="D485" t="s">
        <v>977</v>
      </c>
      <c r="E485" t="s">
        <v>3445</v>
      </c>
      <c r="F485">
        <v>2022</v>
      </c>
      <c r="G485" t="s">
        <v>977</v>
      </c>
      <c r="H485" t="s">
        <v>977</v>
      </c>
      <c r="I485" t="s">
        <v>3446</v>
      </c>
      <c r="J485" t="s">
        <v>977</v>
      </c>
      <c r="K485" s="4" t="str">
        <f>HYPERLINK("https://doi.org/10.1007/s00402-016-2548-z","Mei (2016)")</f>
        <v>Mei (2016)</v>
      </c>
      <c r="L485" s="1" t="s">
        <v>4</v>
      </c>
    </row>
    <row r="486" spans="1:12" x14ac:dyDescent="0.35">
      <c r="A486">
        <v>25</v>
      </c>
      <c r="B486" t="s">
        <v>3447</v>
      </c>
      <c r="C486" t="s">
        <v>3448</v>
      </c>
      <c r="D486" t="s">
        <v>977</v>
      </c>
      <c r="E486" t="s">
        <v>3449</v>
      </c>
      <c r="F486">
        <v>2021</v>
      </c>
      <c r="G486" t="s">
        <v>977</v>
      </c>
      <c r="H486" t="s">
        <v>977</v>
      </c>
      <c r="I486" t="s">
        <v>3450</v>
      </c>
      <c r="J486" t="s">
        <v>977</v>
      </c>
      <c r="K486" s="4" t="str">
        <f>HYPERLINK("https://doi.org/10.1302/0301-620x.85b4.13743","Meighan (2003)")</f>
        <v>Meighan (2003)</v>
      </c>
    </row>
    <row r="487" spans="1:12" x14ac:dyDescent="0.35">
      <c r="A487">
        <v>26</v>
      </c>
      <c r="B487" t="s">
        <v>3451</v>
      </c>
      <c r="C487" t="s">
        <v>3452</v>
      </c>
      <c r="D487" t="s">
        <v>977</v>
      </c>
      <c r="E487" t="s">
        <v>3453</v>
      </c>
      <c r="F487">
        <v>2021</v>
      </c>
      <c r="G487" t="s">
        <v>977</v>
      </c>
      <c r="H487" t="s">
        <v>977</v>
      </c>
      <c r="I487" t="s">
        <v>3454</v>
      </c>
      <c r="J487" t="s">
        <v>977</v>
      </c>
      <c r="K487" s="4" t="str">
        <f>HYPERLINK("https://doi.org/10.1302/0301-620X.85B4.13743","Meighan (2003)")</f>
        <v>Meighan (2003)</v>
      </c>
    </row>
    <row r="488" spans="1:12" x14ac:dyDescent="0.35">
      <c r="A488">
        <v>28</v>
      </c>
      <c r="B488" t="s">
        <v>3455</v>
      </c>
      <c r="C488" t="s">
        <v>3456</v>
      </c>
      <c r="D488" t="s">
        <v>977</v>
      </c>
      <c r="E488" t="s">
        <v>3457</v>
      </c>
      <c r="F488">
        <v>2021</v>
      </c>
      <c r="G488" t="s">
        <v>977</v>
      </c>
      <c r="H488" t="s">
        <v>977</v>
      </c>
      <c r="I488" t="s">
        <v>3458</v>
      </c>
      <c r="J488" t="s">
        <v>977</v>
      </c>
      <c r="K488" s="4" t="str">
        <f>HYPERLINK("https://doi.org/10.1007/s00167-003-0386-3","Melegati (2003)")</f>
        <v>Melegati (2003)</v>
      </c>
      <c r="L488" s="1" t="s">
        <v>7</v>
      </c>
    </row>
    <row r="489" spans="1:12" x14ac:dyDescent="0.35">
      <c r="A489">
        <v>32</v>
      </c>
      <c r="B489" t="s">
        <v>3459</v>
      </c>
      <c r="C489" t="s">
        <v>3460</v>
      </c>
      <c r="D489" t="s">
        <v>977</v>
      </c>
      <c r="E489" t="s">
        <v>3461</v>
      </c>
      <c r="F489">
        <v>2020</v>
      </c>
      <c r="G489" t="s">
        <v>977</v>
      </c>
      <c r="H489" t="s">
        <v>977</v>
      </c>
      <c r="I489" t="s">
        <v>3462</v>
      </c>
      <c r="J489" t="s">
        <v>977</v>
      </c>
      <c r="K489" s="4" t="str">
        <f>HYPERLINK("https://doi.org/10.1007/s00264-011-1206-x","Mihelic (2011)")</f>
        <v>Mihelic (2011)</v>
      </c>
      <c r="L489" s="1" t="s">
        <v>7</v>
      </c>
    </row>
    <row r="490" spans="1:12" x14ac:dyDescent="0.35">
      <c r="A490">
        <v>38</v>
      </c>
      <c r="B490" t="s">
        <v>3463</v>
      </c>
      <c r="C490" t="s">
        <v>3464</v>
      </c>
      <c r="D490" t="s">
        <v>977</v>
      </c>
      <c r="E490" t="s">
        <v>3465</v>
      </c>
      <c r="F490">
        <v>2020</v>
      </c>
      <c r="G490" t="s">
        <v>977</v>
      </c>
      <c r="H490" t="s">
        <v>977</v>
      </c>
      <c r="I490" t="s">
        <v>3466</v>
      </c>
      <c r="J490" t="s">
        <v>977</v>
      </c>
      <c r="K490" s="4" t="str">
        <f>HYPERLINK("https://doi.org/10.1007/s001670000143","Mikkelsen (2000)")</f>
        <v>Mikkelsen (2000)</v>
      </c>
    </row>
    <row r="491" spans="1:12" x14ac:dyDescent="0.35">
      <c r="A491">
        <v>39</v>
      </c>
      <c r="B491" t="s">
        <v>3467</v>
      </c>
      <c r="C491" t="s">
        <v>3468</v>
      </c>
      <c r="D491" t="s">
        <v>977</v>
      </c>
      <c r="E491" t="s">
        <v>3469</v>
      </c>
      <c r="F491">
        <v>2019</v>
      </c>
      <c r="G491" t="s">
        <v>977</v>
      </c>
      <c r="H491" t="s">
        <v>977</v>
      </c>
      <c r="I491" t="s">
        <v>3470</v>
      </c>
      <c r="J491" t="s">
        <v>977</v>
      </c>
      <c r="K491" s="4" t="str">
        <f>HYPERLINK("https://doi.org/10.1007/s00167-003-0406-3","Mikkelsen (2003)")</f>
        <v>Mikkelsen (2003)</v>
      </c>
      <c r="L491" s="1" t="s">
        <v>4</v>
      </c>
    </row>
    <row r="492" spans="1:12" x14ac:dyDescent="0.35">
      <c r="A492">
        <v>48</v>
      </c>
      <c r="B492" t="s">
        <v>3471</v>
      </c>
      <c r="C492" t="s">
        <v>3472</v>
      </c>
      <c r="D492" t="s">
        <v>977</v>
      </c>
      <c r="E492" t="s">
        <v>3473</v>
      </c>
      <c r="F492">
        <v>2017</v>
      </c>
      <c r="G492" t="s">
        <v>977</v>
      </c>
      <c r="H492" t="s">
        <v>977</v>
      </c>
      <c r="I492" t="s">
        <v>3474</v>
      </c>
      <c r="J492" t="s">
        <v>977</v>
      </c>
      <c r="K492" s="4" t="str">
        <f>HYPERLINK("https://doi.org/10.1007/s00421-021-04812-3","Minshull (2021)")</f>
        <v>Minshull (2021)</v>
      </c>
    </row>
    <row r="493" spans="1:12" x14ac:dyDescent="0.35">
      <c r="A493">
        <v>49</v>
      </c>
      <c r="B493" t="s">
        <v>3475</v>
      </c>
      <c r="C493" t="s">
        <v>3476</v>
      </c>
      <c r="D493" t="s">
        <v>977</v>
      </c>
      <c r="E493" t="s">
        <v>3477</v>
      </c>
      <c r="F493">
        <v>2017</v>
      </c>
      <c r="G493" t="s">
        <v>977</v>
      </c>
      <c r="H493" t="s">
        <v>977</v>
      </c>
      <c r="I493" t="s">
        <v>3478</v>
      </c>
      <c r="J493" t="s">
        <v>977</v>
      </c>
      <c r="K493" s="4" t="str">
        <f>HYPERLINK("https://doi.org/10.1007/s00167-017-4623-6","Minzlaff (2018)")</f>
        <v>Minzlaff (2018)</v>
      </c>
      <c r="L493" s="1" t="s">
        <v>7</v>
      </c>
    </row>
    <row r="494" spans="1:12" x14ac:dyDescent="0.35">
      <c r="A494">
        <v>53</v>
      </c>
      <c r="B494" t="s">
        <v>3479</v>
      </c>
      <c r="C494" t="s">
        <v>3480</v>
      </c>
      <c r="D494" t="s">
        <v>977</v>
      </c>
      <c r="E494" t="s">
        <v>3481</v>
      </c>
      <c r="F494">
        <v>2016</v>
      </c>
      <c r="G494" t="s">
        <v>977</v>
      </c>
      <c r="H494" t="s">
        <v>977</v>
      </c>
      <c r="I494" t="s">
        <v>3482</v>
      </c>
      <c r="J494" t="s">
        <v>977</v>
      </c>
      <c r="K494" s="4" t="str">
        <f>HYPERLINK("https://doi.org/10.3944/aott.2012.2679","Mirzatolooei (2012)")</f>
        <v>Mirzatolooei (2012)</v>
      </c>
      <c r="L494" s="1" t="s">
        <v>4</v>
      </c>
    </row>
    <row r="495" spans="1:12" x14ac:dyDescent="0.35">
      <c r="A495">
        <v>88</v>
      </c>
      <c r="B495" t="s">
        <v>3483</v>
      </c>
      <c r="C495" t="s">
        <v>3484</v>
      </c>
      <c r="D495" t="s">
        <v>977</v>
      </c>
      <c r="E495" t="s">
        <v>3485</v>
      </c>
      <c r="F495">
        <v>2007</v>
      </c>
      <c r="G495" t="s">
        <v>977</v>
      </c>
      <c r="H495" t="s">
        <v>977</v>
      </c>
      <c r="I495" t="s">
        <v>3486</v>
      </c>
      <c r="J495" t="s">
        <v>977</v>
      </c>
      <c r="K495" s="4" t="str">
        <f>HYPERLINK("https://doi.org/10.3944/AOTT.2012.2679","Mirzatolooei (2012)")</f>
        <v>Mirzatolooei (2012)</v>
      </c>
      <c r="L495" s="1" t="s">
        <v>7</v>
      </c>
    </row>
    <row r="496" spans="1:12" x14ac:dyDescent="0.35">
      <c r="A496">
        <v>99</v>
      </c>
      <c r="B496" t="s">
        <v>3487</v>
      </c>
      <c r="C496" t="s">
        <v>3488</v>
      </c>
      <c r="D496" t="s">
        <v>977</v>
      </c>
      <c r="E496" t="s">
        <v>3489</v>
      </c>
      <c r="F496">
        <v>2005</v>
      </c>
      <c r="G496" t="s">
        <v>977</v>
      </c>
      <c r="H496" t="s">
        <v>977</v>
      </c>
      <c r="I496" t="s">
        <v>3490</v>
      </c>
      <c r="J496" t="s">
        <v>977</v>
      </c>
      <c r="K496" s="7" t="str">
        <f>HYPERLINK("https://doi.org/10.1302/0301-620X.95B1.30487","Mirzatolooei (2013)")</f>
        <v>Mirzatolooei (2013)</v>
      </c>
      <c r="L496" s="8" t="s">
        <v>7</v>
      </c>
    </row>
    <row r="497" spans="1:12" x14ac:dyDescent="0.35">
      <c r="A497">
        <v>12</v>
      </c>
      <c r="B497" t="s">
        <v>3491</v>
      </c>
      <c r="C497" t="s">
        <v>3492</v>
      </c>
      <c r="D497" t="s">
        <v>977</v>
      </c>
      <c r="E497" t="s">
        <v>3493</v>
      </c>
      <c r="F497">
        <v>2025</v>
      </c>
      <c r="G497" t="s">
        <v>977</v>
      </c>
      <c r="H497" t="s">
        <v>977</v>
      </c>
      <c r="I497" t="s">
        <v>3494</v>
      </c>
      <c r="J497" t="s">
        <v>977</v>
      </c>
      <c r="K497" s="4" t="str">
        <f>HYPERLINK("https://doi.org/10.1177/03635465241254048","Mo (2024)")</f>
        <v>Mo (2024)</v>
      </c>
      <c r="L497" s="1" t="s">
        <v>4</v>
      </c>
    </row>
    <row r="498" spans="1:12" x14ac:dyDescent="0.35">
      <c r="A498">
        <v>16</v>
      </c>
      <c r="B498" t="s">
        <v>3495</v>
      </c>
      <c r="C498" t="s">
        <v>3496</v>
      </c>
      <c r="D498" t="s">
        <v>977</v>
      </c>
      <c r="E498" t="s">
        <v>3497</v>
      </c>
      <c r="F498">
        <v>2025</v>
      </c>
      <c r="G498" t="s">
        <v>977</v>
      </c>
      <c r="H498" t="s">
        <v>977</v>
      </c>
      <c r="I498" t="s">
        <v>3498</v>
      </c>
      <c r="J498" t="s">
        <v>977</v>
      </c>
      <c r="K498" s="4" t="str">
        <f>HYPERLINK("https://doi.org/10.1177/03635465251344106","Mo (2025)")</f>
        <v>Mo (2025)</v>
      </c>
      <c r="L498" s="1" t="s">
        <v>4</v>
      </c>
    </row>
    <row r="499" spans="1:12" x14ac:dyDescent="0.35">
      <c r="A499">
        <v>17</v>
      </c>
      <c r="B499" t="s">
        <v>3499</v>
      </c>
      <c r="C499" t="s">
        <v>3500</v>
      </c>
      <c r="D499" t="s">
        <v>977</v>
      </c>
      <c r="E499" t="s">
        <v>3501</v>
      </c>
      <c r="F499">
        <v>2025</v>
      </c>
      <c r="G499" t="s">
        <v>977</v>
      </c>
      <c r="H499" t="s">
        <v>977</v>
      </c>
      <c r="I499" t="s">
        <v>3502</v>
      </c>
      <c r="J499" t="s">
        <v>977</v>
      </c>
      <c r="K499" s="4" t="str">
        <f>HYPERLINK("https://doi.org/10.1097/JSM.0000000000000165","Mohtadi (2015)")</f>
        <v>Mohtadi (2015)</v>
      </c>
      <c r="L499" s="1" t="s">
        <v>4</v>
      </c>
    </row>
    <row r="500" spans="1:12" x14ac:dyDescent="0.35">
      <c r="A500">
        <v>19</v>
      </c>
      <c r="B500" t="s">
        <v>3503</v>
      </c>
      <c r="C500" t="s">
        <v>3504</v>
      </c>
      <c r="D500" t="s">
        <v>977</v>
      </c>
      <c r="E500" t="s">
        <v>3505</v>
      </c>
      <c r="F500">
        <v>2025</v>
      </c>
      <c r="G500" t="s">
        <v>977</v>
      </c>
      <c r="H500" t="s">
        <v>977</v>
      </c>
      <c r="I500" t="s">
        <v>3506</v>
      </c>
      <c r="J500" t="s">
        <v>977</v>
      </c>
      <c r="K500" s="4" t="str">
        <f>HYPERLINK("https://doi.org/10.1097/JSM.0000000000000209","Mohtadi (2016)")</f>
        <v>Mohtadi (2016)</v>
      </c>
      <c r="L500" s="1" t="s">
        <v>4</v>
      </c>
    </row>
    <row r="501" spans="1:12" x14ac:dyDescent="0.35">
      <c r="A501">
        <v>23</v>
      </c>
      <c r="B501" t="s">
        <v>3507</v>
      </c>
      <c r="C501" t="s">
        <v>3508</v>
      </c>
      <c r="D501" t="s">
        <v>977</v>
      </c>
      <c r="E501" t="s">
        <v>3509</v>
      </c>
      <c r="F501">
        <v>2025</v>
      </c>
      <c r="G501" t="s">
        <v>977</v>
      </c>
      <c r="H501" t="s">
        <v>977</v>
      </c>
      <c r="I501" t="s">
        <v>3510</v>
      </c>
      <c r="J501" t="s">
        <v>977</v>
      </c>
      <c r="K501" s="4" t="str">
        <f>HYPERLINK("https://doi.org/10.2106/JBJS.18.01322","Mohtadi (2019)")</f>
        <v>Mohtadi (2019)</v>
      </c>
      <c r="L501" s="1" t="s">
        <v>4</v>
      </c>
    </row>
    <row r="502" spans="1:12" x14ac:dyDescent="0.35">
      <c r="A502">
        <v>24</v>
      </c>
      <c r="B502" t="s">
        <v>3511</v>
      </c>
      <c r="C502" t="s">
        <v>3512</v>
      </c>
      <c r="D502" t="s">
        <v>977</v>
      </c>
      <c r="E502" t="s">
        <v>3513</v>
      </c>
      <c r="F502">
        <v>2024</v>
      </c>
      <c r="G502" t="s">
        <v>977</v>
      </c>
      <c r="H502" t="s">
        <v>977</v>
      </c>
      <c r="I502" t="s">
        <v>3514</v>
      </c>
      <c r="J502" t="s">
        <v>977</v>
      </c>
      <c r="K502" s="4" t="str">
        <f>HYPERLINK("https://doi.org/10.1007/s00167-008-0593-z","Moisala (2008)")</f>
        <v>Moisala (2008)</v>
      </c>
    </row>
    <row r="503" spans="1:12" x14ac:dyDescent="0.35">
      <c r="A503">
        <v>25</v>
      </c>
      <c r="B503" t="s">
        <v>3515</v>
      </c>
      <c r="C503" t="s">
        <v>3516</v>
      </c>
      <c r="D503" t="s">
        <v>977</v>
      </c>
      <c r="E503" t="s">
        <v>3517</v>
      </c>
      <c r="F503">
        <v>2024</v>
      </c>
      <c r="G503" t="s">
        <v>977</v>
      </c>
      <c r="H503" t="s">
        <v>977</v>
      </c>
      <c r="I503" t="s">
        <v>3518</v>
      </c>
      <c r="J503" t="s">
        <v>977</v>
      </c>
      <c r="K503" s="4" t="str">
        <f>HYPERLINK("https://doi.org/10.1007/s00590-023-03522-0","Mousavi (2023)")</f>
        <v>Mousavi (2023)</v>
      </c>
      <c r="L503" s="1" t="s">
        <v>4</v>
      </c>
    </row>
    <row r="504" spans="1:12" x14ac:dyDescent="0.35">
      <c r="A504">
        <v>28</v>
      </c>
      <c r="B504" t="s">
        <v>3403</v>
      </c>
      <c r="C504" t="s">
        <v>3404</v>
      </c>
      <c r="D504" t="s">
        <v>977</v>
      </c>
      <c r="E504" t="s">
        <v>3405</v>
      </c>
      <c r="F504">
        <v>2024</v>
      </c>
      <c r="G504" t="s">
        <v>977</v>
      </c>
      <c r="H504" t="s">
        <v>977</v>
      </c>
      <c r="I504" t="s">
        <v>3406</v>
      </c>
      <c r="J504" t="s">
        <v>977</v>
      </c>
      <c r="K504" s="4" t="str">
        <f>HYPERLINK("https://doi.org/10.1007/s001670050078","Muellner (1998)")</f>
        <v>Muellner (1998)</v>
      </c>
      <c r="L504" s="1" t="s">
        <v>7</v>
      </c>
    </row>
    <row r="505" spans="1:12" x14ac:dyDescent="0.35">
      <c r="A505">
        <v>31</v>
      </c>
      <c r="B505" t="s">
        <v>3519</v>
      </c>
      <c r="C505" t="s">
        <v>3520</v>
      </c>
      <c r="D505" t="s">
        <v>977</v>
      </c>
      <c r="E505" t="s">
        <v>3521</v>
      </c>
      <c r="F505">
        <v>2024</v>
      </c>
      <c r="G505" t="s">
        <v>977</v>
      </c>
      <c r="H505" t="s">
        <v>977</v>
      </c>
      <c r="I505" t="s">
        <v>3522</v>
      </c>
      <c r="J505" t="s">
        <v>977</v>
      </c>
      <c r="K505" s="4" t="str">
        <f>HYPERLINK("https://doi.org/10.1016/j.arthro.2007.04.010","Muneta (2007)")</f>
        <v>Muneta (2007)</v>
      </c>
    </row>
    <row r="506" spans="1:12" x14ac:dyDescent="0.35">
      <c r="A506">
        <v>38</v>
      </c>
      <c r="B506" t="s">
        <v>3523</v>
      </c>
      <c r="C506" t="s">
        <v>3524</v>
      </c>
      <c r="D506" t="s">
        <v>977</v>
      </c>
      <c r="E506" t="s">
        <v>3525</v>
      </c>
      <c r="F506">
        <v>2023</v>
      </c>
      <c r="G506" t="s">
        <v>977</v>
      </c>
      <c r="H506" t="s">
        <v>977</v>
      </c>
      <c r="I506" t="s">
        <v>3526</v>
      </c>
      <c r="J506" t="s">
        <v>977</v>
      </c>
      <c r="K506" s="4" t="str">
        <f>HYPERLINK("https://doi.org/10.1007/s00402-002-0457-9","Muren (2003)")</f>
        <v>Muren (2003)</v>
      </c>
      <c r="L506" s="1" t="s">
        <v>4</v>
      </c>
    </row>
    <row r="507" spans="1:12" x14ac:dyDescent="0.35">
      <c r="A507">
        <v>44</v>
      </c>
      <c r="B507" t="s">
        <v>3411</v>
      </c>
      <c r="C507" t="s">
        <v>3412</v>
      </c>
      <c r="D507" t="s">
        <v>977</v>
      </c>
      <c r="E507" t="s">
        <v>3413</v>
      </c>
      <c r="F507">
        <v>2023</v>
      </c>
      <c r="G507" t="s">
        <v>977</v>
      </c>
      <c r="H507" t="s">
        <v>977</v>
      </c>
      <c r="I507" t="s">
        <v>3414</v>
      </c>
      <c r="J507" t="s">
        <v>977</v>
      </c>
      <c r="K507" s="4" t="str">
        <f>HYPERLINK("https://doi.org/10.1177/2325967118824356","Murray (2019)")</f>
        <v>Murray (2019)</v>
      </c>
      <c r="L507" s="1" t="s">
        <v>15</v>
      </c>
    </row>
    <row r="508" spans="1:12" x14ac:dyDescent="0.35">
      <c r="A508">
        <v>47</v>
      </c>
      <c r="B508" t="s">
        <v>3527</v>
      </c>
      <c r="C508" t="s">
        <v>3528</v>
      </c>
      <c r="D508" t="s">
        <v>977</v>
      </c>
      <c r="E508" t="s">
        <v>3529</v>
      </c>
      <c r="F508">
        <v>2023</v>
      </c>
      <c r="G508" t="s">
        <v>977</v>
      </c>
      <c r="H508" t="s">
        <v>977</v>
      </c>
      <c r="I508" t="s">
        <v>3530</v>
      </c>
      <c r="J508" t="s">
        <v>977</v>
      </c>
      <c r="K508" s="4" t="str">
        <f>HYPERLINK("https://doi.org/10.1177/0363546520913532","Murray (2020)")</f>
        <v>Murray (2020)</v>
      </c>
      <c r="L508" s="1" t="s">
        <v>4</v>
      </c>
    </row>
    <row r="509" spans="1:12" x14ac:dyDescent="0.35">
      <c r="A509">
        <v>48</v>
      </c>
      <c r="B509" t="s">
        <v>3415</v>
      </c>
      <c r="C509" t="s">
        <v>3416</v>
      </c>
      <c r="D509" t="s">
        <v>977</v>
      </c>
      <c r="E509" t="s">
        <v>3417</v>
      </c>
      <c r="F509">
        <v>2023</v>
      </c>
      <c r="G509" t="s">
        <v>977</v>
      </c>
      <c r="H509" t="s">
        <v>977</v>
      </c>
      <c r="I509" t="s">
        <v>3418</v>
      </c>
      <c r="J509" t="s">
        <v>977</v>
      </c>
      <c r="K509" s="4" t="str">
        <f>HYPERLINK("https://doi.org/10.1177/0363546512449618","Mutsuzaki (2012)")</f>
        <v>Mutsuzaki (2012)</v>
      </c>
      <c r="L509" s="1" t="s">
        <v>4</v>
      </c>
    </row>
    <row r="510" spans="1:12" x14ac:dyDescent="0.35">
      <c r="A510">
        <v>51</v>
      </c>
      <c r="B510" t="s">
        <v>3531</v>
      </c>
      <c r="C510" t="s">
        <v>3532</v>
      </c>
      <c r="D510" t="s">
        <v>977</v>
      </c>
      <c r="E510" t="s">
        <v>3533</v>
      </c>
      <c r="F510">
        <v>2023</v>
      </c>
      <c r="G510" t="s">
        <v>977</v>
      </c>
      <c r="H510" t="s">
        <v>977</v>
      </c>
      <c r="I510" t="s">
        <v>3534</v>
      </c>
      <c r="J510" t="s">
        <v>977</v>
      </c>
      <c r="K510" s="4" t="str">
        <f>HYPERLINK("https://doi.org/10.1186/s13018-018-1045-1","Mutsuzaki (2018)")</f>
        <v>Mutsuzaki (2018)</v>
      </c>
      <c r="L510" s="1" t="s">
        <v>4</v>
      </c>
    </row>
    <row r="511" spans="1:12" x14ac:dyDescent="0.35">
      <c r="A511">
        <v>53</v>
      </c>
      <c r="B511" t="s">
        <v>3419</v>
      </c>
      <c r="C511" t="s">
        <v>3420</v>
      </c>
      <c r="D511" t="s">
        <v>977</v>
      </c>
      <c r="E511" t="s">
        <v>3421</v>
      </c>
      <c r="F511">
        <v>2023</v>
      </c>
      <c r="G511" t="s">
        <v>977</v>
      </c>
      <c r="H511" t="s">
        <v>977</v>
      </c>
      <c r="I511" t="s">
        <v>3422</v>
      </c>
      <c r="J511" t="s">
        <v>977</v>
      </c>
      <c r="K511" s="4" t="str">
        <f>HYPERLINK("https://doi.org/10.1016/j.jor.2019.04.004","Mutsuzaki (2019)")</f>
        <v>Mutsuzaki (2019)</v>
      </c>
      <c r="L511" s="1" t="s">
        <v>4</v>
      </c>
    </row>
    <row r="512" spans="1:12" x14ac:dyDescent="0.35">
      <c r="A512">
        <v>55</v>
      </c>
      <c r="B512" t="s">
        <v>3535</v>
      </c>
      <c r="C512" t="s">
        <v>3536</v>
      </c>
      <c r="D512" t="s">
        <v>977</v>
      </c>
      <c r="E512" t="s">
        <v>3537</v>
      </c>
      <c r="F512">
        <v>2023</v>
      </c>
      <c r="G512" t="s">
        <v>977</v>
      </c>
      <c r="H512" t="s">
        <v>977</v>
      </c>
      <c r="I512" t="s">
        <v>3538</v>
      </c>
      <c r="J512" t="s">
        <v>977</v>
      </c>
      <c r="K512" s="4" t="str">
        <f>HYPERLINK("https://doi.org/10.1016/j.arthro.2008.02.011","Myers (2008)")</f>
        <v>Myers (2008)</v>
      </c>
    </row>
    <row r="513" spans="1:12" x14ac:dyDescent="0.35">
      <c r="A513">
        <v>60</v>
      </c>
      <c r="B513" t="s">
        <v>3423</v>
      </c>
      <c r="C513" t="s">
        <v>3424</v>
      </c>
      <c r="D513" t="s">
        <v>977</v>
      </c>
      <c r="E513" t="s">
        <v>3425</v>
      </c>
      <c r="F513">
        <v>2023</v>
      </c>
      <c r="G513" t="s">
        <v>977</v>
      </c>
      <c r="H513" t="s">
        <v>977</v>
      </c>
      <c r="I513" t="s">
        <v>3426</v>
      </c>
      <c r="J513" t="s">
        <v>977</v>
      </c>
      <c r="K513" s="4" t="str">
        <f>HYPERLINK("https://doi.org/10.1302/0301-620x.84b3.12400","Nau (2002)")</f>
        <v>Nau (2002)</v>
      </c>
      <c r="L513" s="1" t="s">
        <v>4</v>
      </c>
    </row>
    <row r="514" spans="1:12" x14ac:dyDescent="0.35">
      <c r="A514">
        <v>62</v>
      </c>
      <c r="B514" t="s">
        <v>3539</v>
      </c>
      <c r="C514" t="s">
        <v>3540</v>
      </c>
      <c r="D514" t="s">
        <v>977</v>
      </c>
      <c r="E514" t="s">
        <v>3541</v>
      </c>
      <c r="F514">
        <v>2022</v>
      </c>
      <c r="G514" t="s">
        <v>977</v>
      </c>
      <c r="H514" t="s">
        <v>977</v>
      </c>
      <c r="I514" t="s">
        <v>3542</v>
      </c>
      <c r="J514" t="s">
        <v>977</v>
      </c>
      <c r="K514" s="4" t="str">
        <f>HYPERLINK("https://doi.org/10.1302/0301-620X.84B3.12400","Nau (2002)")</f>
        <v>Nau (2002)</v>
      </c>
    </row>
    <row r="515" spans="1:12" x14ac:dyDescent="0.35">
      <c r="A515">
        <v>65</v>
      </c>
      <c r="B515" t="s">
        <v>3543</v>
      </c>
      <c r="C515" t="s">
        <v>3544</v>
      </c>
      <c r="D515" t="s">
        <v>977</v>
      </c>
      <c r="E515" t="s">
        <v>3429</v>
      </c>
      <c r="F515">
        <v>2022</v>
      </c>
      <c r="G515" t="s">
        <v>977</v>
      </c>
      <c r="H515" t="s">
        <v>977</v>
      </c>
      <c r="I515" t="s">
        <v>3545</v>
      </c>
      <c r="J515" t="s">
        <v>977</v>
      </c>
      <c r="K515" s="4" t="str">
        <f>HYPERLINK("https://doi.org/10.1177/0363546504265924","Nicholas (2004)")</f>
        <v>Nicholas (2004)</v>
      </c>
      <c r="L515" s="1" t="s">
        <v>4</v>
      </c>
    </row>
    <row r="516" spans="1:12" x14ac:dyDescent="0.35">
      <c r="A516">
        <v>68</v>
      </c>
      <c r="B516" t="s">
        <v>3431</v>
      </c>
      <c r="C516" t="s">
        <v>3432</v>
      </c>
      <c r="D516" t="s">
        <v>977</v>
      </c>
      <c r="E516" t="s">
        <v>3433</v>
      </c>
      <c r="F516">
        <v>2022</v>
      </c>
      <c r="G516" t="s">
        <v>977</v>
      </c>
      <c r="H516" t="s">
        <v>977</v>
      </c>
      <c r="I516" t="s">
        <v>3434</v>
      </c>
      <c r="J516" t="s">
        <v>977</v>
      </c>
      <c r="K516" s="4" t="str">
        <f>HYPERLINK("https://doi.org/10.1016/j.arthro.2011.06.027","Noh (2011)")</f>
        <v>Noh (2011)</v>
      </c>
      <c r="L516" s="1" t="s">
        <v>7</v>
      </c>
    </row>
    <row r="517" spans="1:12" x14ac:dyDescent="0.35">
      <c r="A517">
        <v>69</v>
      </c>
      <c r="B517" t="s">
        <v>3546</v>
      </c>
      <c r="C517" t="s">
        <v>3547</v>
      </c>
      <c r="D517" t="s">
        <v>977</v>
      </c>
      <c r="E517" t="s">
        <v>3548</v>
      </c>
      <c r="F517">
        <v>2022</v>
      </c>
      <c r="G517" t="s">
        <v>977</v>
      </c>
      <c r="H517" t="s">
        <v>977</v>
      </c>
      <c r="I517" t="s">
        <v>3549</v>
      </c>
      <c r="J517" t="s">
        <v>977</v>
      </c>
      <c r="K517" s="5" t="str">
        <f>HYPERLINK("https://www.sciencedirect.com/science/article/abs/pii/S0749806313000613","Noh (2011)")</f>
        <v>Noh (2011)</v>
      </c>
      <c r="L517" s="1" t="s">
        <v>4</v>
      </c>
    </row>
    <row r="518" spans="1:12" x14ac:dyDescent="0.35">
      <c r="A518">
        <v>73</v>
      </c>
      <c r="B518" t="s">
        <v>3550</v>
      </c>
      <c r="C518" t="s">
        <v>3551</v>
      </c>
      <c r="D518" t="s">
        <v>977</v>
      </c>
      <c r="E518" t="s">
        <v>3552</v>
      </c>
      <c r="F518">
        <v>2022</v>
      </c>
      <c r="G518" t="s">
        <v>977</v>
      </c>
      <c r="H518" t="s">
        <v>977</v>
      </c>
      <c r="I518" t="s">
        <v>3553</v>
      </c>
      <c r="J518" t="s">
        <v>977</v>
      </c>
      <c r="K518" s="4" t="str">
        <f>HYPERLINK("https://doi.org/10.3390/medicina59101764","Obradovi? (2023)")</f>
        <v>Obradovi? (2023)</v>
      </c>
      <c r="L518" s="1" t="s">
        <v>7</v>
      </c>
    </row>
    <row r="519" spans="1:12" x14ac:dyDescent="0.35">
      <c r="A519">
        <v>75</v>
      </c>
      <c r="B519" t="s">
        <v>3439</v>
      </c>
      <c r="C519" t="s">
        <v>3440</v>
      </c>
      <c r="D519" t="s">
        <v>977</v>
      </c>
      <c r="E519" t="s">
        <v>3441</v>
      </c>
      <c r="F519">
        <v>2022</v>
      </c>
      <c r="G519" t="s">
        <v>977</v>
      </c>
      <c r="H519" t="s">
        <v>977</v>
      </c>
      <c r="I519" t="s">
        <v>3442</v>
      </c>
      <c r="J519" t="s">
        <v>977</v>
      </c>
      <c r="K519" s="4" t="str">
        <f>HYPERLINK("https://doi.org/10.1007/s00113-013-2420-3","Offerhaus (2014)")</f>
        <v>Offerhaus (2014)</v>
      </c>
      <c r="L519" s="1" t="s">
        <v>7</v>
      </c>
    </row>
    <row r="520" spans="1:12" x14ac:dyDescent="0.35">
      <c r="A520">
        <v>76</v>
      </c>
      <c r="B520" t="s">
        <v>3443</v>
      </c>
      <c r="C520" t="s">
        <v>3444</v>
      </c>
      <c r="D520" t="s">
        <v>977</v>
      </c>
      <c r="E520" t="s">
        <v>3445</v>
      </c>
      <c r="F520">
        <v>2022</v>
      </c>
      <c r="G520" t="s">
        <v>977</v>
      </c>
      <c r="H520" t="s">
        <v>977</v>
      </c>
      <c r="I520" t="s">
        <v>3446</v>
      </c>
      <c r="J520" t="s">
        <v>977</v>
      </c>
      <c r="K520" s="4" t="str">
        <f>HYPERLINK("https://doi.org/10.1007/s00132-015-3102-3","Offerhaus (2015)")</f>
        <v>Offerhaus (2015)</v>
      </c>
      <c r="L520" s="1" t="s">
        <v>7</v>
      </c>
    </row>
    <row r="521" spans="1:12" x14ac:dyDescent="0.35">
      <c r="A521">
        <v>87</v>
      </c>
      <c r="B521" t="s">
        <v>3554</v>
      </c>
      <c r="C521" t="s">
        <v>3555</v>
      </c>
      <c r="D521" t="s">
        <v>977</v>
      </c>
      <c r="E521" t="s">
        <v>3453</v>
      </c>
      <c r="F521">
        <v>2021</v>
      </c>
      <c r="G521" t="s">
        <v>977</v>
      </c>
      <c r="H521" t="s">
        <v>977</v>
      </c>
      <c r="I521" t="s">
        <v>3556</v>
      </c>
      <c r="J521" t="s">
        <v>977</v>
      </c>
      <c r="K521" s="4" t="str">
        <f>HYPERLINK("https://doi.org/10.1186/s12891-021-04862-w","Ogrodzka-Ciechanowicz (2021)")</f>
        <v>Ogrodzka-Ciechanowicz (2021)</v>
      </c>
    </row>
    <row r="522" spans="1:12" x14ac:dyDescent="0.35">
      <c r="A522">
        <v>88</v>
      </c>
      <c r="B522" t="s">
        <v>3557</v>
      </c>
      <c r="C522" t="s">
        <v>3558</v>
      </c>
      <c r="D522" t="s">
        <v>977</v>
      </c>
      <c r="E522" t="s">
        <v>3559</v>
      </c>
      <c r="F522">
        <v>2021</v>
      </c>
      <c r="G522" t="s">
        <v>977</v>
      </c>
      <c r="H522" t="s">
        <v>977</v>
      </c>
      <c r="I522" t="s">
        <v>3560</v>
      </c>
      <c r="J522" t="s">
        <v>977</v>
      </c>
      <c r="K522" s="4" t="str">
        <f>HYPERLINK("https://doi.org/10.1177/23259671221088830","Oliveira (2022)")</f>
        <v>Oliveira (2022)</v>
      </c>
    </row>
    <row r="523" spans="1:12" x14ac:dyDescent="0.35">
      <c r="A523">
        <v>90</v>
      </c>
      <c r="B523" t="s">
        <v>3561</v>
      </c>
      <c r="C523" t="s">
        <v>3562</v>
      </c>
      <c r="D523" t="s">
        <v>977</v>
      </c>
      <c r="E523" t="s">
        <v>3563</v>
      </c>
      <c r="F523">
        <v>2021</v>
      </c>
      <c r="G523" t="s">
        <v>977</v>
      </c>
      <c r="H523" t="s">
        <v>977</v>
      </c>
      <c r="I523" t="s">
        <v>3564</v>
      </c>
      <c r="J523" t="s">
        <v>977</v>
      </c>
      <c r="K523" s="4" t="str">
        <f>HYPERLINK("https://doi.org/10.2106/00004623-200109000-00006","O'Neill (2001)")</f>
        <v>O'Neill (2001)</v>
      </c>
    </row>
    <row r="524" spans="1:12" x14ac:dyDescent="0.35">
      <c r="A524">
        <v>91</v>
      </c>
      <c r="B524" t="s">
        <v>3455</v>
      </c>
      <c r="C524" t="s">
        <v>3456</v>
      </c>
      <c r="D524" t="s">
        <v>977</v>
      </c>
      <c r="E524" t="s">
        <v>3457</v>
      </c>
      <c r="F524">
        <v>2021</v>
      </c>
      <c r="G524" t="s">
        <v>977</v>
      </c>
      <c r="H524" t="s">
        <v>977</v>
      </c>
      <c r="I524" t="s">
        <v>3458</v>
      </c>
      <c r="J524" t="s">
        <v>977</v>
      </c>
      <c r="K524" s="4" t="str">
        <f>HYPERLINK("https://doi.org/10.1186/s13063-022-06674-2","Ong (2022)")</f>
        <v>Ong (2022)</v>
      </c>
    </row>
    <row r="525" spans="1:12" x14ac:dyDescent="0.35">
      <c r="A525">
        <v>94</v>
      </c>
      <c r="B525" t="s">
        <v>3565</v>
      </c>
      <c r="C525" t="s">
        <v>3566</v>
      </c>
      <c r="D525" t="s">
        <v>977</v>
      </c>
      <c r="E525" t="s">
        <v>3567</v>
      </c>
      <c r="F525">
        <v>2021</v>
      </c>
      <c r="G525" t="s">
        <v>977</v>
      </c>
      <c r="H525" t="s">
        <v>977</v>
      </c>
      <c r="I525" t="s">
        <v>3568</v>
      </c>
      <c r="J525" t="s">
        <v>977</v>
      </c>
      <c r="K525" s="4" t="str">
        <f>HYPERLINK("https://doi.org/10.1186/s13063-024-08094-w","Ong (2024)")</f>
        <v>Ong (2024)</v>
      </c>
      <c r="L525" s="1" t="s">
        <v>4</v>
      </c>
    </row>
    <row r="526" spans="1:12" x14ac:dyDescent="0.35">
      <c r="A526">
        <v>100</v>
      </c>
      <c r="B526" t="s">
        <v>3569</v>
      </c>
      <c r="C526" t="s">
        <v>3570</v>
      </c>
      <c r="D526" t="s">
        <v>977</v>
      </c>
      <c r="E526" t="s">
        <v>3571</v>
      </c>
      <c r="F526">
        <v>2020</v>
      </c>
      <c r="G526" t="s">
        <v>977</v>
      </c>
      <c r="H526" t="s">
        <v>977</v>
      </c>
      <c r="I526" t="s">
        <v>3572</v>
      </c>
      <c r="J526" t="s">
        <v>977</v>
      </c>
      <c r="K526" s="4" t="str">
        <f>HYPERLINK("https://doi.org/10.1177/03635465030310022101","Otsuka (2003)")</f>
        <v>Otsuka (2003)</v>
      </c>
      <c r="L526" s="1" t="s">
        <v>7</v>
      </c>
    </row>
    <row r="527" spans="1:12" x14ac:dyDescent="0.35">
      <c r="A527">
        <v>101</v>
      </c>
      <c r="B527" t="s">
        <v>3573</v>
      </c>
      <c r="C527" t="s">
        <v>3574</v>
      </c>
      <c r="D527" t="s">
        <v>977</v>
      </c>
      <c r="E527" t="s">
        <v>3575</v>
      </c>
      <c r="F527">
        <v>2020</v>
      </c>
      <c r="G527" t="s">
        <v>977</v>
      </c>
      <c r="H527" t="s">
        <v>977</v>
      </c>
      <c r="I527" t="s">
        <v>3576</v>
      </c>
      <c r="J527" t="s">
        <v>977</v>
      </c>
      <c r="K527" s="4" t="str">
        <f>HYPERLINK("https://doi.org/10.1016/j.asmr.2021.05.003","Panagopoulos (2021)")</f>
        <v>Panagopoulos (2021)</v>
      </c>
      <c r="L527" s="1" t="s">
        <v>4</v>
      </c>
    </row>
    <row r="528" spans="1:12" x14ac:dyDescent="0.35">
      <c r="A528">
        <v>103</v>
      </c>
      <c r="B528" t="s">
        <v>3577</v>
      </c>
      <c r="C528" t="s">
        <v>3578</v>
      </c>
      <c r="D528" t="s">
        <v>977</v>
      </c>
      <c r="E528" t="s">
        <v>3579</v>
      </c>
      <c r="F528">
        <v>2020</v>
      </c>
      <c r="G528" t="s">
        <v>977</v>
      </c>
      <c r="H528" t="s">
        <v>977</v>
      </c>
      <c r="I528" t="s">
        <v>3580</v>
      </c>
      <c r="J528" t="s">
        <v>977</v>
      </c>
      <c r="K528" s="4" t="str">
        <f>HYPERLINK("https://doi.org/10.1007/s00167-007-0426-5","Papachristou (2008)")</f>
        <v>Papachristou (2008)</v>
      </c>
    </row>
    <row r="529" spans="1:12" x14ac:dyDescent="0.35">
      <c r="A529">
        <v>105</v>
      </c>
      <c r="B529" t="s">
        <v>3581</v>
      </c>
      <c r="C529" t="s">
        <v>3582</v>
      </c>
      <c r="D529" t="s">
        <v>977</v>
      </c>
      <c r="E529" t="s">
        <v>3583</v>
      </c>
      <c r="F529">
        <v>2020</v>
      </c>
      <c r="G529" t="s">
        <v>977</v>
      </c>
      <c r="H529" t="s">
        <v>977</v>
      </c>
      <c r="I529" t="s">
        <v>3584</v>
      </c>
      <c r="J529" t="s">
        <v>977</v>
      </c>
      <c r="K529" s="4" t="str">
        <f>HYPERLINK("https://doi.org/10.1007/s00264-014-2513-9","Papalia (2015)")</f>
        <v>Papalia (2015)</v>
      </c>
      <c r="L529" s="1" t="s">
        <v>4</v>
      </c>
    </row>
    <row r="530" spans="1:12" x14ac:dyDescent="0.35">
      <c r="A530">
        <v>106</v>
      </c>
      <c r="B530" t="s">
        <v>3459</v>
      </c>
      <c r="C530" t="s">
        <v>3460</v>
      </c>
      <c r="D530" t="s">
        <v>977</v>
      </c>
      <c r="E530" t="s">
        <v>3461</v>
      </c>
      <c r="F530">
        <v>2020</v>
      </c>
      <c r="G530" t="s">
        <v>977</v>
      </c>
      <c r="H530" t="s">
        <v>977</v>
      </c>
      <c r="I530" t="s">
        <v>3462</v>
      </c>
      <c r="J530" t="s">
        <v>977</v>
      </c>
      <c r="K530" s="4" t="str">
        <f>HYPERLINK("https://doi.org/10.1007/s004020100290","Pape (2001)")</f>
        <v>Pape (2001)</v>
      </c>
      <c r="L530" s="1" t="s">
        <v>7</v>
      </c>
    </row>
    <row r="531" spans="1:12" x14ac:dyDescent="0.35">
      <c r="A531">
        <v>116</v>
      </c>
      <c r="B531" t="s">
        <v>3463</v>
      </c>
      <c r="C531" t="s">
        <v>3464</v>
      </c>
      <c r="D531" t="s">
        <v>977</v>
      </c>
      <c r="E531" t="s">
        <v>3465</v>
      </c>
      <c r="F531">
        <v>2020</v>
      </c>
      <c r="G531" t="s">
        <v>977</v>
      </c>
      <c r="H531" t="s">
        <v>977</v>
      </c>
      <c r="I531" t="s">
        <v>3466</v>
      </c>
      <c r="J531" t="s">
        <v>977</v>
      </c>
      <c r="K531" s="4" t="str">
        <f>HYPERLINK("https://doi.org/10.1177/23259671221086669","Perry (2022)")</f>
        <v>Perry (2022)</v>
      </c>
      <c r="L531" s="1" t="s">
        <v>7</v>
      </c>
    </row>
    <row r="532" spans="1:12" x14ac:dyDescent="0.35">
      <c r="A532">
        <v>117</v>
      </c>
      <c r="B532" t="s">
        <v>3585</v>
      </c>
      <c r="C532" t="s">
        <v>3586</v>
      </c>
      <c r="D532" t="s">
        <v>977</v>
      </c>
      <c r="E532" t="s">
        <v>3587</v>
      </c>
      <c r="F532">
        <v>2020</v>
      </c>
      <c r="G532" t="s">
        <v>977</v>
      </c>
      <c r="H532" t="s">
        <v>977</v>
      </c>
      <c r="I532" t="s">
        <v>3588</v>
      </c>
      <c r="J532" t="s">
        <v>977</v>
      </c>
      <c r="K532" s="4" t="str">
        <f>HYPERLINK("https://doi.org/10.1007/s00167-013-2636-3","Peterson (2014)")</f>
        <v>Peterson (2014)</v>
      </c>
      <c r="L532" s="1" t="s">
        <v>4</v>
      </c>
    </row>
    <row r="533" spans="1:12" x14ac:dyDescent="0.35">
      <c r="A533">
        <v>121</v>
      </c>
      <c r="B533" t="s">
        <v>3589</v>
      </c>
      <c r="C533" t="s">
        <v>3590</v>
      </c>
      <c r="D533" t="s">
        <v>977</v>
      </c>
      <c r="E533" t="s">
        <v>3591</v>
      </c>
      <c r="F533">
        <v>2019</v>
      </c>
      <c r="G533" t="s">
        <v>977</v>
      </c>
      <c r="H533" t="s">
        <v>977</v>
      </c>
      <c r="I533" t="s">
        <v>3592</v>
      </c>
      <c r="J533" t="s">
        <v>977</v>
      </c>
      <c r="K533" s="4" t="str">
        <f>HYPERLINK("https://doi.org/10.1055/s-2005-858472","Pförringer (2005)")</f>
        <v>Pförringer (2005)</v>
      </c>
    </row>
    <row r="534" spans="1:12" x14ac:dyDescent="0.35">
      <c r="A534">
        <v>122</v>
      </c>
      <c r="B534" t="s">
        <v>3467</v>
      </c>
      <c r="C534" t="s">
        <v>3468</v>
      </c>
      <c r="D534" t="s">
        <v>977</v>
      </c>
      <c r="E534" t="s">
        <v>3469</v>
      </c>
      <c r="F534">
        <v>2019</v>
      </c>
      <c r="G534" t="s">
        <v>977</v>
      </c>
      <c r="H534" t="s">
        <v>977</v>
      </c>
      <c r="I534" t="s">
        <v>3470</v>
      </c>
      <c r="J534" t="s">
        <v>977</v>
      </c>
      <c r="K534" s="4" t="str">
        <f>HYPERLINK("https://doi.org/10.1177/03635465020300041201","Pinczewski (2002)")</f>
        <v>Pinczewski (2002)</v>
      </c>
      <c r="L534" s="1" t="s">
        <v>7</v>
      </c>
    </row>
    <row r="535" spans="1:12" x14ac:dyDescent="0.35">
      <c r="A535">
        <v>128</v>
      </c>
      <c r="B535" t="s">
        <v>3593</v>
      </c>
      <c r="C535" t="s">
        <v>3594</v>
      </c>
      <c r="D535" t="s">
        <v>977</v>
      </c>
      <c r="E535" t="s">
        <v>3595</v>
      </c>
      <c r="F535">
        <v>2019</v>
      </c>
      <c r="G535" t="s">
        <v>977</v>
      </c>
      <c r="H535" t="s">
        <v>977</v>
      </c>
      <c r="I535" t="s">
        <v>3596</v>
      </c>
      <c r="J535" t="s">
        <v>977</v>
      </c>
      <c r="K535" s="4" t="str">
        <f>HYPERLINK("https://doi.org/10.1177/0363546506296042","Pinczewski (2007)")</f>
        <v>Pinczewski (2007)</v>
      </c>
      <c r="L535" s="1" t="s">
        <v>4</v>
      </c>
    </row>
    <row r="536" spans="1:12" x14ac:dyDescent="0.35">
      <c r="A536">
        <v>135</v>
      </c>
      <c r="B536" t="s">
        <v>3597</v>
      </c>
      <c r="C536" t="s">
        <v>3598</v>
      </c>
      <c r="D536" t="s">
        <v>977</v>
      </c>
      <c r="E536" t="s">
        <v>3599</v>
      </c>
      <c r="F536">
        <v>2018</v>
      </c>
      <c r="G536" t="s">
        <v>977</v>
      </c>
      <c r="H536" t="s">
        <v>977</v>
      </c>
      <c r="I536" t="s">
        <v>3600</v>
      </c>
      <c r="J536" t="s">
        <v>977</v>
      </c>
      <c r="K536" s="4" t="str">
        <f>HYPERLINK("https://doi.org/10.1177/03635465241271524","Popovic (2024)")</f>
        <v>Popovic (2024)</v>
      </c>
      <c r="L536" s="1" t="s">
        <v>4</v>
      </c>
    </row>
    <row r="537" spans="1:12" x14ac:dyDescent="0.35">
      <c r="A537">
        <v>139</v>
      </c>
      <c r="B537" t="s">
        <v>3601</v>
      </c>
      <c r="C537" t="s">
        <v>3602</v>
      </c>
      <c r="D537" t="s">
        <v>977</v>
      </c>
      <c r="E537" t="s">
        <v>3603</v>
      </c>
      <c r="F537">
        <v>2018</v>
      </c>
      <c r="G537" t="s">
        <v>977</v>
      </c>
      <c r="H537" t="s">
        <v>977</v>
      </c>
      <c r="I537" t="s">
        <v>3604</v>
      </c>
      <c r="J537" t="s">
        <v>977</v>
      </c>
      <c r="K537" s="4" t="str">
        <f>HYPERLINK("https://doi.org/10.1177/0363546518820529","Porter (2019)")</f>
        <v>Porter (2019)</v>
      </c>
    </row>
    <row r="538" spans="1:12" x14ac:dyDescent="0.35">
      <c r="A538">
        <v>143</v>
      </c>
      <c r="B538" t="s">
        <v>3605</v>
      </c>
      <c r="C538" t="s">
        <v>3606</v>
      </c>
      <c r="D538" t="s">
        <v>977</v>
      </c>
      <c r="E538" t="s">
        <v>3607</v>
      </c>
      <c r="F538">
        <v>2018</v>
      </c>
      <c r="G538" t="s">
        <v>977</v>
      </c>
      <c r="H538" t="s">
        <v>977</v>
      </c>
      <c r="I538" t="s">
        <v>3608</v>
      </c>
      <c r="J538" t="s">
        <v>977</v>
      </c>
      <c r="K538" s="4" t="str">
        <f>HYPERLINK("https://doi.org/10.1177/0363546520910148","Porter (2020)")</f>
        <v>Porter (2020)</v>
      </c>
      <c r="L538" s="1" t="s">
        <v>4</v>
      </c>
    </row>
    <row r="539" spans="1:12" x14ac:dyDescent="0.35">
      <c r="A539">
        <v>144</v>
      </c>
      <c r="B539" t="s">
        <v>3609</v>
      </c>
      <c r="C539" t="s">
        <v>3610</v>
      </c>
      <c r="D539" t="s">
        <v>977</v>
      </c>
      <c r="E539" t="s">
        <v>3611</v>
      </c>
      <c r="F539">
        <v>2018</v>
      </c>
      <c r="G539" t="s">
        <v>977</v>
      </c>
      <c r="H539" t="s">
        <v>977</v>
      </c>
      <c r="I539" t="s">
        <v>3612</v>
      </c>
      <c r="J539" t="s">
        <v>977</v>
      </c>
      <c r="K539" s="4" t="str">
        <f>HYPERLINK("https://doi.org/10.47009/jamp.2024.6.5.90","Prasad (2024)")</f>
        <v>Prasad (2024)</v>
      </c>
    </row>
    <row r="540" spans="1:12" x14ac:dyDescent="0.35">
      <c r="A540">
        <v>147</v>
      </c>
      <c r="B540" t="s">
        <v>3613</v>
      </c>
      <c r="C540" t="s">
        <v>3614</v>
      </c>
      <c r="D540" t="s">
        <v>977</v>
      </c>
      <c r="E540" t="s">
        <v>3615</v>
      </c>
      <c r="F540">
        <v>2018</v>
      </c>
      <c r="G540" t="s">
        <v>977</v>
      </c>
      <c r="H540" t="s">
        <v>977</v>
      </c>
      <c r="I540" t="s">
        <v>3616</v>
      </c>
      <c r="J540" t="s">
        <v>977</v>
      </c>
      <c r="K540" s="4" t="str">
        <f>HYPERLINK("https://doi.org/10.1055/s-2005-836359","Pressel (2005)")</f>
        <v>Pressel (2005)</v>
      </c>
      <c r="L540" s="1" t="s">
        <v>7</v>
      </c>
    </row>
    <row r="541" spans="1:12" x14ac:dyDescent="0.35">
      <c r="A541">
        <v>151</v>
      </c>
      <c r="B541" t="s">
        <v>3617</v>
      </c>
      <c r="C541" t="s">
        <v>3618</v>
      </c>
      <c r="D541" t="s">
        <v>977</v>
      </c>
      <c r="E541" t="s">
        <v>3619</v>
      </c>
      <c r="F541">
        <v>2017</v>
      </c>
      <c r="G541" t="s">
        <v>977</v>
      </c>
      <c r="H541" t="s">
        <v>977</v>
      </c>
      <c r="I541" t="s">
        <v>3620</v>
      </c>
      <c r="J541" t="s">
        <v>977</v>
      </c>
      <c r="K541" s="4" t="str">
        <f>HYPERLINK("https://doi.org/10.1111/j.1445-2197.2009.05128.x","Price (2010)")</f>
        <v>Price (2010)</v>
      </c>
      <c r="L541" s="1" t="s">
        <v>7</v>
      </c>
    </row>
    <row r="542" spans="1:12" x14ac:dyDescent="0.35">
      <c r="A542">
        <v>158</v>
      </c>
      <c r="B542" t="s">
        <v>3621</v>
      </c>
      <c r="C542" t="s">
        <v>3622</v>
      </c>
      <c r="D542" t="s">
        <v>977</v>
      </c>
      <c r="E542" t="s">
        <v>3623</v>
      </c>
      <c r="F542">
        <v>2017</v>
      </c>
      <c r="G542" t="s">
        <v>977</v>
      </c>
      <c r="H542" t="s">
        <v>977</v>
      </c>
      <c r="I542" t="s">
        <v>3624</v>
      </c>
      <c r="J542" t="s">
        <v>977</v>
      </c>
      <c r="K542" s="4" t="str">
        <f>HYPERLINK("https://doi.org/10.1186/s40798-025-00901-1","Qiu (2025)")</f>
        <v>Qiu (2025)</v>
      </c>
    </row>
    <row r="543" spans="1:12" x14ac:dyDescent="0.35">
      <c r="A543">
        <v>161</v>
      </c>
      <c r="B543" t="s">
        <v>3625</v>
      </c>
      <c r="C543" t="s">
        <v>3626</v>
      </c>
      <c r="D543" t="s">
        <v>977</v>
      </c>
      <c r="E543" t="s">
        <v>3627</v>
      </c>
      <c r="F543">
        <v>2017</v>
      </c>
      <c r="G543" t="s">
        <v>977</v>
      </c>
      <c r="H543" t="s">
        <v>977</v>
      </c>
      <c r="I543" t="s">
        <v>3628</v>
      </c>
      <c r="J543" t="s">
        <v>977</v>
      </c>
      <c r="K543" s="4" t="str">
        <f>HYPERLINK("https://doi.org/10.1016/j.arthro.2024.09.023","Ramakanth (2025)")</f>
        <v>Ramakanth (2025)</v>
      </c>
      <c r="L543" s="1" t="s">
        <v>4</v>
      </c>
    </row>
    <row r="544" spans="1:12" x14ac:dyDescent="0.35">
      <c r="A544">
        <v>163</v>
      </c>
      <c r="B544" t="s">
        <v>3629</v>
      </c>
      <c r="C544" t="s">
        <v>3630</v>
      </c>
      <c r="D544" t="s">
        <v>977</v>
      </c>
      <c r="E544" t="s">
        <v>3631</v>
      </c>
      <c r="F544">
        <v>2017</v>
      </c>
      <c r="G544" t="s">
        <v>977</v>
      </c>
      <c r="H544" t="s">
        <v>977</v>
      </c>
      <c r="I544" t="s">
        <v>3632</v>
      </c>
      <c r="J544" t="s">
        <v>977</v>
      </c>
      <c r="K544" s="4" t="str">
        <f>HYPERLINK("https://doi.org/10.1302/0301-620X.92B4.22973","Raviraj (2010)")</f>
        <v>Raviraj (2010)</v>
      </c>
    </row>
    <row r="545" spans="1:12" x14ac:dyDescent="0.35">
      <c r="A545">
        <v>164</v>
      </c>
      <c r="B545" t="s">
        <v>3633</v>
      </c>
      <c r="C545" t="s">
        <v>3634</v>
      </c>
      <c r="D545" t="s">
        <v>977</v>
      </c>
      <c r="E545" t="s">
        <v>3635</v>
      </c>
      <c r="F545">
        <v>2017</v>
      </c>
      <c r="G545" t="s">
        <v>977</v>
      </c>
      <c r="H545" t="s">
        <v>977</v>
      </c>
      <c r="I545" t="s">
        <v>3636</v>
      </c>
      <c r="J545" t="s">
        <v>977</v>
      </c>
      <c r="K545" s="4" t="str">
        <f>HYPERLINK("https://doi.org/10.1016/j.arthro.2023.05.019","Rezansoff (2024)")</f>
        <v>Rezansoff (2024)</v>
      </c>
      <c r="L545" s="1" t="s">
        <v>4</v>
      </c>
    </row>
    <row r="546" spans="1:12" x14ac:dyDescent="0.35">
      <c r="A546">
        <v>167</v>
      </c>
      <c r="B546" t="s">
        <v>3637</v>
      </c>
      <c r="C546" t="s">
        <v>3638</v>
      </c>
      <c r="D546" t="s">
        <v>977</v>
      </c>
      <c r="E546" t="s">
        <v>3639</v>
      </c>
      <c r="F546">
        <v>2016</v>
      </c>
      <c r="G546" t="s">
        <v>977</v>
      </c>
      <c r="H546" t="s">
        <v>977</v>
      </c>
      <c r="I546" t="s">
        <v>3640</v>
      </c>
      <c r="J546" t="s">
        <v>977</v>
      </c>
      <c r="K546" s="4" t="str">
        <f>HYPERLINK("https://doi.org/10.1016/0749-8063(91)90076-a","Richmond (1991)")</f>
        <v>Richmond (1991)</v>
      </c>
      <c r="L546" s="1" t="s">
        <v>4</v>
      </c>
    </row>
    <row r="547" spans="1:12" x14ac:dyDescent="0.35">
      <c r="A547">
        <v>181</v>
      </c>
      <c r="B547" t="s">
        <v>3641</v>
      </c>
      <c r="C547" t="s">
        <v>3642</v>
      </c>
      <c r="D547" t="s">
        <v>977</v>
      </c>
      <c r="E547" t="s">
        <v>3643</v>
      </c>
      <c r="F547">
        <v>2015</v>
      </c>
      <c r="G547" t="s">
        <v>977</v>
      </c>
      <c r="H547" t="s">
        <v>977</v>
      </c>
      <c r="I547" t="s">
        <v>3644</v>
      </c>
      <c r="J547" t="s">
        <v>977</v>
      </c>
      <c r="K547" s="4" t="str">
        <f>HYPERLINK("https://doi.org/10.1016/j.jisako.2024.100309","Rips (2024)")</f>
        <v>Rips (2024)</v>
      </c>
    </row>
    <row r="548" spans="1:12" x14ac:dyDescent="0.35">
      <c r="A548">
        <v>194</v>
      </c>
      <c r="B548" t="s">
        <v>3645</v>
      </c>
      <c r="C548" t="s">
        <v>3646</v>
      </c>
      <c r="D548" t="s">
        <v>977</v>
      </c>
      <c r="E548" t="s">
        <v>3647</v>
      </c>
      <c r="F548">
        <v>2014</v>
      </c>
      <c r="G548" t="s">
        <v>977</v>
      </c>
      <c r="H548" t="s">
        <v>977</v>
      </c>
      <c r="I548" t="s">
        <v>3648</v>
      </c>
      <c r="J548" t="s">
        <v>977</v>
      </c>
      <c r="K548" s="4" t="str">
        <f>HYPERLINK("https://doi.org/10.1007/s00167-003-0380-9","Robert (2004)")</f>
        <v>Robert (2004)</v>
      </c>
      <c r="L548" s="1" t="s">
        <v>4</v>
      </c>
    </row>
    <row r="549" spans="1:12" x14ac:dyDescent="0.35">
      <c r="A549">
        <v>216</v>
      </c>
      <c r="B549" t="s">
        <v>3649</v>
      </c>
      <c r="C549" t="s">
        <v>3650</v>
      </c>
      <c r="D549" t="s">
        <v>977</v>
      </c>
      <c r="E549" t="s">
        <v>3651</v>
      </c>
      <c r="F549">
        <v>2012</v>
      </c>
      <c r="G549" t="s">
        <v>977</v>
      </c>
      <c r="H549" t="s">
        <v>977</v>
      </c>
      <c r="I549" t="s">
        <v>3652</v>
      </c>
      <c r="J549" t="s">
        <v>977</v>
      </c>
      <c r="K549" s="4" t="str">
        <f>HYPERLINK("https://doi.org/10.1016/j.otsr.2009.03.009","Robert (2009)")</f>
        <v>Robert (2009)</v>
      </c>
      <c r="L549" s="1" t="s">
        <v>7</v>
      </c>
    </row>
    <row r="550" spans="1:12" x14ac:dyDescent="0.35">
      <c r="A550">
        <v>219</v>
      </c>
      <c r="B550" t="s">
        <v>3653</v>
      </c>
      <c r="C550" t="s">
        <v>3654</v>
      </c>
      <c r="D550" t="s">
        <v>977</v>
      </c>
      <c r="E550" t="s">
        <v>3655</v>
      </c>
      <c r="F550">
        <v>2012</v>
      </c>
      <c r="G550" t="s">
        <v>977</v>
      </c>
      <c r="H550" t="s">
        <v>977</v>
      </c>
      <c r="I550" t="s">
        <v>3656</v>
      </c>
      <c r="J550" t="s">
        <v>977</v>
      </c>
      <c r="K550" s="4" t="str">
        <f>HYPERLINK("https://doi.org/10.1007/s00167-020-06121-2","Roger (2020)")</f>
        <v>Roger (2020)</v>
      </c>
      <c r="L550" s="1" t="s">
        <v>4</v>
      </c>
    </row>
    <row r="551" spans="1:12" x14ac:dyDescent="0.35">
      <c r="A551">
        <v>222</v>
      </c>
      <c r="B551" t="s">
        <v>3657</v>
      </c>
      <c r="C551" t="s">
        <v>3658</v>
      </c>
      <c r="D551" t="s">
        <v>977</v>
      </c>
      <c r="E551" t="s">
        <v>3659</v>
      </c>
      <c r="F551">
        <v>2012</v>
      </c>
      <c r="G551" t="s">
        <v>977</v>
      </c>
      <c r="H551" t="s">
        <v>977</v>
      </c>
      <c r="I551" t="s">
        <v>3660</v>
      </c>
      <c r="J551" t="s">
        <v>977</v>
      </c>
      <c r="K551" s="4" t="str">
        <f>HYPERLINK("https://doi.org/10.1007/s001130050733","Röpke (2001)")</f>
        <v>Röpke (2001)</v>
      </c>
      <c r="L551" s="1" t="s">
        <v>7</v>
      </c>
    </row>
    <row r="552" spans="1:12" x14ac:dyDescent="0.35">
      <c r="A552">
        <v>232</v>
      </c>
      <c r="B552" t="s">
        <v>3661</v>
      </c>
      <c r="C552" t="s">
        <v>3662</v>
      </c>
      <c r="D552" t="s">
        <v>977</v>
      </c>
      <c r="E552" t="s">
        <v>3663</v>
      </c>
      <c r="F552">
        <v>2011</v>
      </c>
      <c r="G552" t="s">
        <v>977</v>
      </c>
      <c r="H552" t="s">
        <v>977</v>
      </c>
      <c r="I552" t="s">
        <v>3664</v>
      </c>
      <c r="J552" t="s">
        <v>977</v>
      </c>
      <c r="K552" s="4" t="str">
        <f>HYPERLINK("https://doi.org/10.1007/s00167-006-0034-9","Rose (2006)")</f>
        <v>Rose (2006)</v>
      </c>
    </row>
    <row r="553" spans="1:12" x14ac:dyDescent="0.35">
      <c r="A553">
        <v>238</v>
      </c>
      <c r="B553" t="s">
        <v>3665</v>
      </c>
      <c r="C553" t="s">
        <v>3666</v>
      </c>
      <c r="D553" t="s">
        <v>977</v>
      </c>
      <c r="E553" t="s">
        <v>3667</v>
      </c>
      <c r="F553">
        <v>2010</v>
      </c>
      <c r="G553" t="s">
        <v>977</v>
      </c>
      <c r="H553" t="s">
        <v>977</v>
      </c>
      <c r="I553" t="s">
        <v>3668</v>
      </c>
      <c r="J553" t="s">
        <v>977</v>
      </c>
      <c r="K553" s="4" t="str">
        <f>HYPERLINK("https://doi.org/10.1016/j.knee.2016.08.011","Rose (2016)")</f>
        <v>Rose (2016)</v>
      </c>
      <c r="L553" s="1" t="s">
        <v>4</v>
      </c>
    </row>
    <row r="554" spans="1:12" x14ac:dyDescent="0.35">
      <c r="A554">
        <v>271</v>
      </c>
      <c r="B554" t="s">
        <v>3483</v>
      </c>
      <c r="C554" t="s">
        <v>3484</v>
      </c>
      <c r="D554" t="s">
        <v>977</v>
      </c>
      <c r="E554" t="s">
        <v>3485</v>
      </c>
      <c r="F554">
        <v>2007</v>
      </c>
      <c r="G554" t="s">
        <v>977</v>
      </c>
      <c r="H554" t="s">
        <v>977</v>
      </c>
      <c r="I554" t="s">
        <v>3486</v>
      </c>
      <c r="J554" t="s">
        <v>977</v>
      </c>
      <c r="K554" s="4" t="str">
        <f>HYPERLINK("https://doi.org/10.1177/036354659202000205","Rosen (1992)")</f>
        <v>Rosen (1992)</v>
      </c>
      <c r="L554" s="1" t="s">
        <v>7</v>
      </c>
    </row>
    <row r="555" spans="1:12" x14ac:dyDescent="0.35">
      <c r="A555">
        <v>286</v>
      </c>
      <c r="B555" t="s">
        <v>3487</v>
      </c>
      <c r="C555" t="s">
        <v>3488</v>
      </c>
      <c r="D555" t="s">
        <v>977</v>
      </c>
      <c r="E555" t="s">
        <v>3489</v>
      </c>
      <c r="F555">
        <v>2005</v>
      </c>
      <c r="G555" t="s">
        <v>977</v>
      </c>
      <c r="H555" t="s">
        <v>977</v>
      </c>
      <c r="I555" t="s">
        <v>3490</v>
      </c>
      <c r="J555" t="s">
        <v>977</v>
      </c>
      <c r="K555" s="4" t="str">
        <f>HYPERLINK("https://doi.org/10.1007/s001670100238","Ross (2002)")</f>
        <v>Ross (2002)</v>
      </c>
      <c r="L555" s="1" t="s">
        <v>7</v>
      </c>
    </row>
    <row r="556" spans="1:12" x14ac:dyDescent="0.35">
      <c r="A556">
        <v>5</v>
      </c>
      <c r="B556" t="s">
        <v>3669</v>
      </c>
      <c r="C556" t="s">
        <v>3670</v>
      </c>
      <c r="D556" t="s">
        <v>977</v>
      </c>
      <c r="E556" t="s">
        <v>3671</v>
      </c>
      <c r="F556">
        <v>2025</v>
      </c>
      <c r="G556" t="s">
        <v>977</v>
      </c>
      <c r="H556" t="s">
        <v>977</v>
      </c>
      <c r="I556" t="s">
        <v>3672</v>
      </c>
      <c r="J556" t="s">
        <v>977</v>
      </c>
      <c r="K556" s="4" t="str">
        <f>HYPERLINK("https://doi.org/10.1007/s00590-016-1812-9","Ruffilli (2016)")</f>
        <v>Ruffilli (2016)</v>
      </c>
      <c r="L556" s="1" t="s">
        <v>4</v>
      </c>
    </row>
    <row r="557" spans="1:12" x14ac:dyDescent="0.35">
      <c r="A557">
        <v>9</v>
      </c>
      <c r="B557" t="s">
        <v>3673</v>
      </c>
      <c r="C557" t="s">
        <v>3674</v>
      </c>
      <c r="D557" t="s">
        <v>977</v>
      </c>
      <c r="E557" t="s">
        <v>3675</v>
      </c>
      <c r="F557">
        <v>2025</v>
      </c>
      <c r="G557" t="s">
        <v>977</v>
      </c>
      <c r="H557" t="s">
        <v>977</v>
      </c>
      <c r="I557" t="s">
        <v>3676</v>
      </c>
      <c r="J557" t="s">
        <v>977</v>
      </c>
      <c r="K557" s="4" t="str">
        <f>HYPERLINK("https://doi.org/10.1186/s40634-023-00601-3","Runer (2023)")</f>
        <v>Runer (2023)</v>
      </c>
    </row>
    <row r="558" spans="1:12" x14ac:dyDescent="0.35">
      <c r="A558">
        <v>11</v>
      </c>
      <c r="B558" t="s">
        <v>3495</v>
      </c>
      <c r="C558" t="s">
        <v>3496</v>
      </c>
      <c r="D558" t="s">
        <v>977</v>
      </c>
      <c r="E558" t="s">
        <v>3497</v>
      </c>
      <c r="F558">
        <v>2025</v>
      </c>
      <c r="G558" t="s">
        <v>977</v>
      </c>
      <c r="H558" t="s">
        <v>977</v>
      </c>
      <c r="I558" t="s">
        <v>3498</v>
      </c>
      <c r="J558" t="s">
        <v>977</v>
      </c>
      <c r="K558" s="4" t="str">
        <f>HYPERLINK("https://doi.org/10.1177/2325967118797990","Runner (2018)")</f>
        <v>Runner (2018)</v>
      </c>
      <c r="L558" s="1" t="s">
        <v>4</v>
      </c>
    </row>
    <row r="559" spans="1:12" x14ac:dyDescent="0.35">
      <c r="A559">
        <v>13</v>
      </c>
      <c r="B559" t="s">
        <v>3503</v>
      </c>
      <c r="C559" t="s">
        <v>3504</v>
      </c>
      <c r="D559" t="s">
        <v>977</v>
      </c>
      <c r="E559" t="s">
        <v>3505</v>
      </c>
      <c r="F559">
        <v>2025</v>
      </c>
      <c r="G559" t="s">
        <v>977</v>
      </c>
      <c r="H559" t="s">
        <v>977</v>
      </c>
      <c r="I559" t="s">
        <v>3506</v>
      </c>
      <c r="J559" t="s">
        <v>977</v>
      </c>
      <c r="K559" s="4" t="str">
        <f>HYPERLINK("https://doi.org/10.1016/j.arthro.2011.02.009","Sabat (2011)")</f>
        <v>Sabat (2011)</v>
      </c>
      <c r="L559" s="1" t="s">
        <v>7</v>
      </c>
    </row>
    <row r="560" spans="1:12" x14ac:dyDescent="0.35">
      <c r="A560">
        <v>15</v>
      </c>
      <c r="B560" t="s">
        <v>3511</v>
      </c>
      <c r="C560" t="s">
        <v>3512</v>
      </c>
      <c r="D560" t="s">
        <v>977</v>
      </c>
      <c r="E560" t="s">
        <v>3513</v>
      </c>
      <c r="F560">
        <v>2024</v>
      </c>
      <c r="G560" t="s">
        <v>977</v>
      </c>
      <c r="H560" t="s">
        <v>977</v>
      </c>
      <c r="I560" t="s">
        <v>3514</v>
      </c>
      <c r="J560" t="s">
        <v>977</v>
      </c>
      <c r="K560" s="4" t="str">
        <f>HYPERLINK("https://doi.org/10.1007/s00167-014-3430-6","Sacramento (2016)")</f>
        <v>Sacramento (2016)</v>
      </c>
      <c r="L560" s="1" t="s">
        <v>7</v>
      </c>
    </row>
    <row r="561" spans="1:12" x14ac:dyDescent="0.35">
      <c r="A561">
        <v>17</v>
      </c>
      <c r="B561" t="s">
        <v>3515</v>
      </c>
      <c r="C561" t="s">
        <v>3516</v>
      </c>
      <c r="D561" t="s">
        <v>977</v>
      </c>
      <c r="E561" t="s">
        <v>3517</v>
      </c>
      <c r="F561">
        <v>2024</v>
      </c>
      <c r="G561" t="s">
        <v>977</v>
      </c>
      <c r="H561" t="s">
        <v>977</v>
      </c>
      <c r="I561" t="s">
        <v>3518</v>
      </c>
      <c r="J561" t="s">
        <v>977</v>
      </c>
      <c r="K561" s="4" t="str">
        <f>HYPERLINK("https://doi.org/10.4103/jrms.JRMS_939_16","Sadeghpour (2017)")</f>
        <v>Sadeghpour (2017)</v>
      </c>
    </row>
    <row r="562" spans="1:12" x14ac:dyDescent="0.35">
      <c r="A562">
        <v>20</v>
      </c>
      <c r="B562" t="s">
        <v>3677</v>
      </c>
      <c r="C562" t="s">
        <v>3678</v>
      </c>
      <c r="D562" t="s">
        <v>977</v>
      </c>
      <c r="E562" t="s">
        <v>3679</v>
      </c>
      <c r="F562">
        <v>2024</v>
      </c>
      <c r="G562" t="s">
        <v>977</v>
      </c>
      <c r="H562" t="s">
        <v>977</v>
      </c>
      <c r="I562" t="s">
        <v>3680</v>
      </c>
      <c r="J562" t="s">
        <v>977</v>
      </c>
      <c r="K562" s="4" t="str">
        <f>HYPERLINK("https://doi.org/10.2106/JBJS.OA.23.00051","Saeed (2023)")</f>
        <v>Saeed (2023)</v>
      </c>
    </row>
    <row r="563" spans="1:12" x14ac:dyDescent="0.35">
      <c r="A563">
        <v>25</v>
      </c>
      <c r="B563" t="s">
        <v>3407</v>
      </c>
      <c r="C563" t="s">
        <v>3408</v>
      </c>
      <c r="D563" t="s">
        <v>977</v>
      </c>
      <c r="E563" t="s">
        <v>3409</v>
      </c>
      <c r="F563">
        <v>2023</v>
      </c>
      <c r="G563" t="s">
        <v>977</v>
      </c>
      <c r="H563" t="s">
        <v>977</v>
      </c>
      <c r="I563" t="s">
        <v>3410</v>
      </c>
      <c r="J563" t="s">
        <v>977</v>
      </c>
      <c r="K563" s="4" t="str">
        <f>HYPERLINK("https://doi.org/10.1177/0363546506290726","Sajovic (2006)")</f>
        <v>Sajovic (2006)</v>
      </c>
      <c r="L563" s="1" t="s">
        <v>4</v>
      </c>
    </row>
    <row r="564" spans="1:12" x14ac:dyDescent="0.35">
      <c r="A564">
        <v>27</v>
      </c>
      <c r="B564" t="s">
        <v>3531</v>
      </c>
      <c r="C564" t="s">
        <v>3532</v>
      </c>
      <c r="D564" t="s">
        <v>977</v>
      </c>
      <c r="E564" t="s">
        <v>3533</v>
      </c>
      <c r="F564">
        <v>2023</v>
      </c>
      <c r="G564" t="s">
        <v>977</v>
      </c>
      <c r="H564" t="s">
        <v>977</v>
      </c>
      <c r="I564" t="s">
        <v>3534</v>
      </c>
      <c r="J564" t="s">
        <v>977</v>
      </c>
      <c r="K564" s="4" t="str">
        <f>HYPERLINK("https://doi.org/10.1007/s00264-007-0341-x","Sajovic (2008)")</f>
        <v>Sajovic (2008)</v>
      </c>
      <c r="L564" s="1" t="s">
        <v>4</v>
      </c>
    </row>
    <row r="565" spans="1:12" x14ac:dyDescent="0.35">
      <c r="A565">
        <v>28</v>
      </c>
      <c r="B565" t="s">
        <v>3419</v>
      </c>
      <c r="C565" t="s">
        <v>3420</v>
      </c>
      <c r="D565" t="s">
        <v>977</v>
      </c>
      <c r="E565" t="s">
        <v>3421</v>
      </c>
      <c r="F565">
        <v>2023</v>
      </c>
      <c r="G565" t="s">
        <v>977</v>
      </c>
      <c r="H565" t="s">
        <v>977</v>
      </c>
      <c r="I565" t="s">
        <v>3422</v>
      </c>
      <c r="J565" t="s">
        <v>977</v>
      </c>
      <c r="K565" s="4" t="str">
        <f>HYPERLINK("https://doi.org/10.1177/0363546511411702","Sajovic (2011)")</f>
        <v>Sajovic (2011)</v>
      </c>
      <c r="L565" s="1" t="s">
        <v>4</v>
      </c>
    </row>
    <row r="566" spans="1:12" x14ac:dyDescent="0.35">
      <c r="A566">
        <v>29</v>
      </c>
      <c r="B566" t="s">
        <v>3423</v>
      </c>
      <c r="C566" t="s">
        <v>3424</v>
      </c>
      <c r="D566" t="s">
        <v>977</v>
      </c>
      <c r="E566" t="s">
        <v>3425</v>
      </c>
      <c r="F566">
        <v>2023</v>
      </c>
      <c r="G566" t="s">
        <v>977</v>
      </c>
      <c r="H566" t="s">
        <v>977</v>
      </c>
      <c r="I566" t="s">
        <v>3426</v>
      </c>
      <c r="J566" t="s">
        <v>977</v>
      </c>
      <c r="K566" s="4" t="str">
        <f>HYPERLINK("https://doi.org/10.1177/0363546518768768","Sajovic (2018)")</f>
        <v>Sajovic (2018)</v>
      </c>
      <c r="L566" s="1" t="s">
        <v>4</v>
      </c>
    </row>
    <row r="567" spans="1:12" x14ac:dyDescent="0.35">
      <c r="A567">
        <v>31</v>
      </c>
      <c r="B567" t="s">
        <v>3539</v>
      </c>
      <c r="C567" t="s">
        <v>3540</v>
      </c>
      <c r="D567" t="s">
        <v>977</v>
      </c>
      <c r="E567" t="s">
        <v>3541</v>
      </c>
      <c r="F567">
        <v>2022</v>
      </c>
      <c r="G567" t="s">
        <v>977</v>
      </c>
      <c r="H567" t="s">
        <v>977</v>
      </c>
      <c r="I567" t="s">
        <v>3542</v>
      </c>
      <c r="J567" t="s">
        <v>977</v>
      </c>
      <c r="K567" s="4" t="str">
        <f>HYPERLINK("https://doi.org/10.1177/23259671211070542","Sanborn (2022)")</f>
        <v>Sanborn (2022)</v>
      </c>
    </row>
    <row r="568" spans="1:12" x14ac:dyDescent="0.35">
      <c r="A568">
        <v>33</v>
      </c>
      <c r="B568" t="s">
        <v>3431</v>
      </c>
      <c r="C568" t="s">
        <v>3432</v>
      </c>
      <c r="D568" t="s">
        <v>977</v>
      </c>
      <c r="E568" t="s">
        <v>3433</v>
      </c>
      <c r="F568">
        <v>2022</v>
      </c>
      <c r="G568" t="s">
        <v>977</v>
      </c>
      <c r="H568" t="s">
        <v>977</v>
      </c>
      <c r="I568" t="s">
        <v>3434</v>
      </c>
      <c r="J568" t="s">
        <v>977</v>
      </c>
      <c r="K568" s="4" t="str">
        <f>HYPERLINK("https://doi.org/10.1177/036354659402200415","Santi (1994)")</f>
        <v>Santi (1994)</v>
      </c>
      <c r="L568" s="1" t="s">
        <v>7</v>
      </c>
    </row>
    <row r="569" spans="1:12" x14ac:dyDescent="0.35">
      <c r="A569">
        <v>34</v>
      </c>
      <c r="B569" t="s">
        <v>3550</v>
      </c>
      <c r="C569" t="s">
        <v>3551</v>
      </c>
      <c r="D569" t="s">
        <v>977</v>
      </c>
      <c r="E569" t="s">
        <v>3552</v>
      </c>
      <c r="F569">
        <v>2022</v>
      </c>
      <c r="G569" t="s">
        <v>977</v>
      </c>
      <c r="H569" t="s">
        <v>977</v>
      </c>
      <c r="I569" t="s">
        <v>3553</v>
      </c>
      <c r="J569" t="s">
        <v>977</v>
      </c>
      <c r="K569" s="4" t="str">
        <f>HYPERLINK("https://doi.org/10.1007/s00402-014-1999-3","Sarzaeem (2014)")</f>
        <v>Sarzaeem (2014)</v>
      </c>
      <c r="L569" s="1" t="s">
        <v>4</v>
      </c>
    </row>
    <row r="570" spans="1:12" x14ac:dyDescent="0.35">
      <c r="A570">
        <v>35</v>
      </c>
      <c r="B570" t="s">
        <v>3435</v>
      </c>
      <c r="C570" t="s">
        <v>3436</v>
      </c>
      <c r="D570" t="s">
        <v>977</v>
      </c>
      <c r="E570" t="s">
        <v>3437</v>
      </c>
      <c r="F570">
        <v>2022</v>
      </c>
      <c r="G570" t="s">
        <v>977</v>
      </c>
      <c r="H570" t="s">
        <v>977</v>
      </c>
      <c r="I570" t="s">
        <v>3438</v>
      </c>
      <c r="J570" t="s">
        <v>977</v>
      </c>
      <c r="K570" s="4" t="str">
        <f>HYPERLINK("https://doi.org/10.1177/0363546515624471","Sasaki (2016)")</f>
        <v>Sasaki (2016)</v>
      </c>
      <c r="L570" s="1" t="s">
        <v>4</v>
      </c>
    </row>
    <row r="571" spans="1:12" x14ac:dyDescent="0.35">
      <c r="A571">
        <v>36</v>
      </c>
      <c r="B571" t="s">
        <v>3681</v>
      </c>
      <c r="C571" t="s">
        <v>3682</v>
      </c>
      <c r="D571" t="s">
        <v>977</v>
      </c>
      <c r="E571" t="s">
        <v>3683</v>
      </c>
      <c r="F571">
        <v>2022</v>
      </c>
      <c r="G571" t="s">
        <v>977</v>
      </c>
      <c r="H571" t="s">
        <v>977</v>
      </c>
      <c r="I571" t="s">
        <v>3684</v>
      </c>
      <c r="J571" t="s">
        <v>977</v>
      </c>
      <c r="K571" s="4" t="str">
        <f>HYPERLINK("https://doi.org/10.1007/s00167-009-0844-7","Sastre (2010)")</f>
        <v>Sastre (2010)</v>
      </c>
    </row>
    <row r="572" spans="1:12" x14ac:dyDescent="0.35">
      <c r="A572">
        <v>37</v>
      </c>
      <c r="B572" t="s">
        <v>3685</v>
      </c>
      <c r="C572" t="s">
        <v>3686</v>
      </c>
      <c r="D572" t="s">
        <v>977</v>
      </c>
      <c r="E572" t="s">
        <v>3687</v>
      </c>
      <c r="F572">
        <v>2022</v>
      </c>
      <c r="G572" t="s">
        <v>977</v>
      </c>
      <c r="H572" t="s">
        <v>977</v>
      </c>
      <c r="I572" t="s">
        <v>3688</v>
      </c>
      <c r="J572" t="s">
        <v>977</v>
      </c>
      <c r="K572" s="4" t="str">
        <f>HYPERLINK("https://doi.org/10.1007/s00264-016-3246-8","Schandl (2016)")</f>
        <v>Schandl (2016)</v>
      </c>
      <c r="L572" s="1" t="s">
        <v>4</v>
      </c>
    </row>
    <row r="573" spans="1:12" x14ac:dyDescent="0.35">
      <c r="A573">
        <v>41</v>
      </c>
      <c r="B573" t="s">
        <v>3439</v>
      </c>
      <c r="C573" t="s">
        <v>3440</v>
      </c>
      <c r="D573" t="s">
        <v>977</v>
      </c>
      <c r="E573" t="s">
        <v>3441</v>
      </c>
      <c r="F573">
        <v>2022</v>
      </c>
      <c r="G573" t="s">
        <v>977</v>
      </c>
      <c r="H573" t="s">
        <v>977</v>
      </c>
      <c r="I573" t="s">
        <v>3442</v>
      </c>
      <c r="J573" t="s">
        <v>977</v>
      </c>
      <c r="K573" s="4" t="str">
        <f>HYPERLINK("https://doi.org/10.1007/s00167-017-4618-3","Schliemann (2018)")</f>
        <v>Schliemann (2018)</v>
      </c>
      <c r="L573" s="1" t="s">
        <v>4</v>
      </c>
    </row>
    <row r="574" spans="1:12" x14ac:dyDescent="0.35">
      <c r="A574">
        <v>45</v>
      </c>
      <c r="B574" t="s">
        <v>3689</v>
      </c>
      <c r="C574" t="s">
        <v>3690</v>
      </c>
      <c r="D574" t="s">
        <v>977</v>
      </c>
      <c r="E574" t="s">
        <v>3691</v>
      </c>
      <c r="F574">
        <v>2021</v>
      </c>
      <c r="G574" t="s">
        <v>977</v>
      </c>
      <c r="H574" t="s">
        <v>977</v>
      </c>
      <c r="I574" t="s">
        <v>3692</v>
      </c>
      <c r="J574" t="s">
        <v>977</v>
      </c>
      <c r="K574" s="4" t="str">
        <f>HYPERLINK("https://doi.org/10.1007/s00064-008-1412-x","Schneider (2008)")</f>
        <v>Schneider (2008)</v>
      </c>
      <c r="L574" s="1" t="s">
        <v>7</v>
      </c>
    </row>
    <row r="575" spans="1:12" x14ac:dyDescent="0.35">
      <c r="A575">
        <v>49</v>
      </c>
      <c r="B575" t="s">
        <v>3693</v>
      </c>
      <c r="C575" t="s">
        <v>3694</v>
      </c>
      <c r="D575" t="s">
        <v>977</v>
      </c>
      <c r="E575" t="s">
        <v>3695</v>
      </c>
      <c r="F575">
        <v>2021</v>
      </c>
      <c r="G575" t="s">
        <v>977</v>
      </c>
      <c r="H575" t="s">
        <v>977</v>
      </c>
      <c r="I575" t="s">
        <v>3696</v>
      </c>
      <c r="J575" t="s">
        <v>977</v>
      </c>
      <c r="K575" s="4" t="str">
        <f>HYPERLINK("https://doi.org/10.3390/jcm12052074","Schoepp (2023)")</f>
        <v>Schoepp (2023)</v>
      </c>
      <c r="L575" s="1" t="s">
        <v>4</v>
      </c>
    </row>
    <row r="576" spans="1:12" x14ac:dyDescent="0.35">
      <c r="A576">
        <v>51</v>
      </c>
      <c r="B576" t="s">
        <v>3557</v>
      </c>
      <c r="C576" t="s">
        <v>3558</v>
      </c>
      <c r="D576" t="s">
        <v>977</v>
      </c>
      <c r="E576" t="s">
        <v>3559</v>
      </c>
      <c r="F576">
        <v>2021</v>
      </c>
      <c r="G576" t="s">
        <v>977</v>
      </c>
      <c r="H576" t="s">
        <v>977</v>
      </c>
      <c r="I576" t="s">
        <v>3560</v>
      </c>
      <c r="J576" t="s">
        <v>977</v>
      </c>
      <c r="K576" s="4" t="str">
        <f>HYPERLINK("https://doi.org/10.1177/0363546509349490","Sekir (2010)")</f>
        <v>Sekir (2010)</v>
      </c>
      <c r="L576" s="1" t="s">
        <v>4</v>
      </c>
    </row>
    <row r="577" spans="1:12" x14ac:dyDescent="0.35">
      <c r="A577">
        <v>52</v>
      </c>
      <c r="B577" t="s">
        <v>3455</v>
      </c>
      <c r="C577" t="s">
        <v>3456</v>
      </c>
      <c r="D577" t="s">
        <v>977</v>
      </c>
      <c r="E577" t="s">
        <v>3457</v>
      </c>
      <c r="F577">
        <v>2021</v>
      </c>
      <c r="G577" t="s">
        <v>977</v>
      </c>
      <c r="H577" t="s">
        <v>977</v>
      </c>
      <c r="I577" t="s">
        <v>3458</v>
      </c>
      <c r="J577" t="s">
        <v>977</v>
      </c>
      <c r="K577" s="4" t="str">
        <f>HYPERLINK("https://doi.org/10.1007/s001670050141","Sernert (1999)")</f>
        <v>Sernert (1999)</v>
      </c>
      <c r="L577" s="1" t="s">
        <v>4</v>
      </c>
    </row>
    <row r="578" spans="1:12" x14ac:dyDescent="0.35">
      <c r="A578">
        <v>53</v>
      </c>
      <c r="B578" t="s">
        <v>3569</v>
      </c>
      <c r="C578" t="s">
        <v>3570</v>
      </c>
      <c r="D578" t="s">
        <v>977</v>
      </c>
      <c r="E578" t="s">
        <v>3571</v>
      </c>
      <c r="F578">
        <v>2020</v>
      </c>
      <c r="G578" t="s">
        <v>977</v>
      </c>
      <c r="H578" t="s">
        <v>977</v>
      </c>
      <c r="I578" t="s">
        <v>3572</v>
      </c>
      <c r="J578" t="s">
        <v>977</v>
      </c>
      <c r="K578" s="4" t="str">
        <f>HYPERLINK("https://doi.org/10.1034/j.1600-0838.2002.120109.x","Sernert (2002)")</f>
        <v>Sernert (2002)</v>
      </c>
      <c r="L578" s="1" t="s">
        <v>7</v>
      </c>
    </row>
    <row r="579" spans="1:12" x14ac:dyDescent="0.35">
      <c r="A579">
        <v>57</v>
      </c>
      <c r="B579" t="s">
        <v>3581</v>
      </c>
      <c r="C579" t="s">
        <v>3582</v>
      </c>
      <c r="D579" t="s">
        <v>977</v>
      </c>
      <c r="E579" t="s">
        <v>3583</v>
      </c>
      <c r="F579">
        <v>2020</v>
      </c>
      <c r="G579" t="s">
        <v>977</v>
      </c>
      <c r="H579" t="s">
        <v>977</v>
      </c>
      <c r="I579" t="s">
        <v>3584</v>
      </c>
      <c r="J579" t="s">
        <v>977</v>
      </c>
      <c r="K579" s="4" t="str">
        <f>HYPERLINK("https://doi.org/10.1177/03635465020300021201","Shaieb (2002)")</f>
        <v>Shaieb (2002)</v>
      </c>
      <c r="L579" s="1" t="s">
        <v>4</v>
      </c>
    </row>
    <row r="580" spans="1:12" x14ac:dyDescent="0.35">
      <c r="A580">
        <v>59</v>
      </c>
      <c r="B580" t="s">
        <v>3697</v>
      </c>
      <c r="C580" t="s">
        <v>3698</v>
      </c>
      <c r="D580" t="s">
        <v>977</v>
      </c>
      <c r="E580" t="s">
        <v>3699</v>
      </c>
      <c r="F580">
        <v>2020</v>
      </c>
      <c r="G580" t="s">
        <v>977</v>
      </c>
      <c r="H580" t="s">
        <v>977</v>
      </c>
      <c r="I580" t="s">
        <v>3700</v>
      </c>
      <c r="J580" t="s">
        <v>977</v>
      </c>
      <c r="K580" s="4" t="str">
        <f>HYPERLINK("https://doi.org/10.1177/03635465000280050501","Shelbourne (2000)")</f>
        <v>Shelbourne (2000)</v>
      </c>
      <c r="L580" s="1" t="s">
        <v>15</v>
      </c>
    </row>
    <row r="581" spans="1:12" x14ac:dyDescent="0.35">
      <c r="A581">
        <v>61</v>
      </c>
      <c r="B581" t="s">
        <v>3463</v>
      </c>
      <c r="C581" t="s">
        <v>3464</v>
      </c>
      <c r="D581" t="s">
        <v>977</v>
      </c>
      <c r="E581" t="s">
        <v>3465</v>
      </c>
      <c r="F581">
        <v>2020</v>
      </c>
      <c r="G581" t="s">
        <v>977</v>
      </c>
      <c r="H581" t="s">
        <v>977</v>
      </c>
      <c r="I581" t="s">
        <v>3466</v>
      </c>
      <c r="J581" t="s">
        <v>977</v>
      </c>
      <c r="K581" s="4" t="str">
        <f>HYPERLINK("https://doi.org/10.1177/23259671221138103","Shelbourne (2022)")</f>
        <v>Shelbourne (2022)</v>
      </c>
    </row>
    <row r="582" spans="1:12" x14ac:dyDescent="0.35">
      <c r="A582">
        <v>62</v>
      </c>
      <c r="B582" t="s">
        <v>3585</v>
      </c>
      <c r="C582" t="s">
        <v>3586</v>
      </c>
      <c r="D582" t="s">
        <v>977</v>
      </c>
      <c r="E582" t="s">
        <v>3587</v>
      </c>
      <c r="F582">
        <v>2020</v>
      </c>
      <c r="G582" t="s">
        <v>977</v>
      </c>
      <c r="H582" t="s">
        <v>977</v>
      </c>
      <c r="I582" t="s">
        <v>3588</v>
      </c>
      <c r="J582" t="s">
        <v>977</v>
      </c>
      <c r="K582" s="4" t="str">
        <f>HYPERLINK("https://doi.org/10.1177/0363546519861530","Shumborski (2019)")</f>
        <v>Shumborski (2019)</v>
      </c>
      <c r="L582" s="1" t="s">
        <v>4</v>
      </c>
    </row>
    <row r="583" spans="1:12" x14ac:dyDescent="0.35">
      <c r="A583">
        <v>66</v>
      </c>
      <c r="B583" t="s">
        <v>3593</v>
      </c>
      <c r="C583" t="s">
        <v>3594</v>
      </c>
      <c r="D583" t="s">
        <v>977</v>
      </c>
      <c r="E583" t="s">
        <v>3595</v>
      </c>
      <c r="F583">
        <v>2019</v>
      </c>
      <c r="G583" t="s">
        <v>977</v>
      </c>
      <c r="H583" t="s">
        <v>977</v>
      </c>
      <c r="I583" t="s">
        <v>3596</v>
      </c>
      <c r="J583" t="s">
        <v>977</v>
      </c>
      <c r="K583" s="4" t="str">
        <f>HYPERLINK("https://doi.org/10.59218/makrjms.2024.3.254.259","Siddique (2024)")</f>
        <v>Siddique (2024)</v>
      </c>
    </row>
    <row r="584" spans="1:12" x14ac:dyDescent="0.35">
      <c r="A584">
        <v>70</v>
      </c>
      <c r="B584" t="s">
        <v>3701</v>
      </c>
      <c r="C584" t="s">
        <v>3702</v>
      </c>
      <c r="D584" t="s">
        <v>977</v>
      </c>
      <c r="E584" t="s">
        <v>3703</v>
      </c>
      <c r="F584">
        <v>2018</v>
      </c>
      <c r="G584" t="s">
        <v>977</v>
      </c>
      <c r="H584" t="s">
        <v>977</v>
      </c>
      <c r="I584" t="s">
        <v>3704</v>
      </c>
      <c r="J584" t="s">
        <v>977</v>
      </c>
      <c r="K584" s="4" t="str">
        <f>HYPERLINK("https://doi.org/10.1016/j.arthro.2007.11.013","Siebold (2008)")</f>
        <v>Siebold (2008)</v>
      </c>
    </row>
    <row r="585" spans="1:12" x14ac:dyDescent="0.35">
      <c r="A585">
        <v>78</v>
      </c>
      <c r="B585" t="s">
        <v>3625</v>
      </c>
      <c r="C585" t="s">
        <v>3626</v>
      </c>
      <c r="D585" t="s">
        <v>977</v>
      </c>
      <c r="E585" t="s">
        <v>3627</v>
      </c>
      <c r="F585">
        <v>2017</v>
      </c>
      <c r="G585" t="s">
        <v>977</v>
      </c>
      <c r="H585" t="s">
        <v>977</v>
      </c>
      <c r="I585" t="s">
        <v>3628</v>
      </c>
      <c r="J585" t="s">
        <v>977</v>
      </c>
      <c r="K585" s="4" t="str">
        <f>HYPERLINK("https://doi.org/10.1053/jars.2000.4635","Simonian (2000)")</f>
        <v>Simonian (2000)</v>
      </c>
      <c r="L585" s="1" t="s">
        <v>7</v>
      </c>
    </row>
    <row r="586" spans="1:12" x14ac:dyDescent="0.35">
      <c r="A586">
        <v>79</v>
      </c>
      <c r="B586" t="s">
        <v>3629</v>
      </c>
      <c r="C586" t="s">
        <v>3630</v>
      </c>
      <c r="D586" t="s">
        <v>977</v>
      </c>
      <c r="E586" t="s">
        <v>3631</v>
      </c>
      <c r="F586">
        <v>2017</v>
      </c>
      <c r="G586" t="s">
        <v>977</v>
      </c>
      <c r="H586" t="s">
        <v>977</v>
      </c>
      <c r="I586" t="s">
        <v>3632</v>
      </c>
      <c r="J586" t="s">
        <v>977</v>
      </c>
      <c r="K586" s="4" t="str">
        <f>HYPERLINK("https://doi.org/10.1007/s40279-020-01276-x","Sinding (2020)")</f>
        <v>Sinding (2020)</v>
      </c>
      <c r="L586" s="1" t="s">
        <v>4</v>
      </c>
    </row>
    <row r="587" spans="1:12" x14ac:dyDescent="0.35">
      <c r="A587">
        <v>80</v>
      </c>
      <c r="B587" t="s">
        <v>3633</v>
      </c>
      <c r="C587" t="s">
        <v>3634</v>
      </c>
      <c r="D587" t="s">
        <v>977</v>
      </c>
      <c r="E587" t="s">
        <v>3635</v>
      </c>
      <c r="F587">
        <v>2017</v>
      </c>
      <c r="G587" t="s">
        <v>977</v>
      </c>
      <c r="H587" t="s">
        <v>977</v>
      </c>
      <c r="I587" t="s">
        <v>3636</v>
      </c>
      <c r="J587" t="s">
        <v>977</v>
      </c>
      <c r="K587" s="4" t="str">
        <f>HYPERLINK("https://doi.org/10.1016/j.arthro.2020.01.048","Smith (2020)")</f>
        <v>Smith (2020)</v>
      </c>
      <c r="L587" s="1" t="s">
        <v>4</v>
      </c>
    </row>
    <row r="588" spans="1:12" x14ac:dyDescent="0.35">
      <c r="A588">
        <v>81</v>
      </c>
      <c r="B588" t="s">
        <v>3637</v>
      </c>
      <c r="C588" t="s">
        <v>3638</v>
      </c>
      <c r="D588" t="s">
        <v>977</v>
      </c>
      <c r="E588" t="s">
        <v>3639</v>
      </c>
      <c r="F588">
        <v>2016</v>
      </c>
      <c r="G588" t="s">
        <v>977</v>
      </c>
      <c r="H588" t="s">
        <v>977</v>
      </c>
      <c r="I588" t="s">
        <v>3640</v>
      </c>
      <c r="J588" t="s">
        <v>977</v>
      </c>
      <c r="K588" s="4" t="str">
        <f>HYPERLINK("https://doi.org/10.1007/s00113-004-0809-8","Sobau (2004)")</f>
        <v>Sobau (2004)</v>
      </c>
      <c r="L588" s="1" t="s">
        <v>7</v>
      </c>
    </row>
    <row r="589" spans="1:12" x14ac:dyDescent="0.35">
      <c r="A589">
        <v>85</v>
      </c>
      <c r="B589" t="s">
        <v>3645</v>
      </c>
      <c r="C589" t="s">
        <v>3646</v>
      </c>
      <c r="D589" t="s">
        <v>977</v>
      </c>
      <c r="E589" t="s">
        <v>3647</v>
      </c>
      <c r="F589">
        <v>2014</v>
      </c>
      <c r="G589" t="s">
        <v>977</v>
      </c>
      <c r="H589" t="s">
        <v>977</v>
      </c>
      <c r="I589" t="s">
        <v>3648</v>
      </c>
      <c r="J589" t="s">
        <v>977</v>
      </c>
      <c r="K589" s="4" t="str">
        <f>HYPERLINK("https://doi.org/10.1016/j.arthro.2010.05.018","Sobhy (2010)")</f>
        <v>Sobhy (2010)</v>
      </c>
      <c r="L589" s="1" t="s">
        <v>7</v>
      </c>
    </row>
    <row r="590" spans="1:12" x14ac:dyDescent="0.35">
      <c r="A590">
        <v>91</v>
      </c>
      <c r="B590" t="s">
        <v>3665</v>
      </c>
      <c r="C590" t="s">
        <v>3666</v>
      </c>
      <c r="D590" t="s">
        <v>977</v>
      </c>
      <c r="E590" t="s">
        <v>3667</v>
      </c>
      <c r="F590">
        <v>2010</v>
      </c>
      <c r="G590" t="s">
        <v>977</v>
      </c>
      <c r="H590" t="s">
        <v>977</v>
      </c>
      <c r="I590" t="s">
        <v>3668</v>
      </c>
      <c r="J590" t="s">
        <v>977</v>
      </c>
      <c r="K590" s="4" t="str">
        <f>HYPERLINK("https://doi.org/10.47750/pnr.2022.13.S09.1056","Sohu (2022)")</f>
        <v>Sohu (2022)</v>
      </c>
    </row>
    <row r="591" spans="1:12" x14ac:dyDescent="0.35">
      <c r="A591">
        <v>94</v>
      </c>
      <c r="B591" t="s">
        <v>3705</v>
      </c>
      <c r="C591" t="s">
        <v>3706</v>
      </c>
      <c r="D591" t="s">
        <v>977</v>
      </c>
      <c r="E591" t="s">
        <v>3707</v>
      </c>
      <c r="F591">
        <v>2008</v>
      </c>
      <c r="G591" t="s">
        <v>977</v>
      </c>
      <c r="H591" t="s">
        <v>977</v>
      </c>
      <c r="I591" t="s">
        <v>3708</v>
      </c>
      <c r="J591" t="s">
        <v>977</v>
      </c>
      <c r="K591" s="4" t="str">
        <f>HYPERLINK("https://doi.org/10.1186/s12891-021-04540-x","Sole (2021)")</f>
        <v>Sole (2021)</v>
      </c>
      <c r="L591" s="1" t="s">
        <v>4</v>
      </c>
    </row>
    <row r="592" spans="1:12" x14ac:dyDescent="0.35">
      <c r="A592">
        <v>2</v>
      </c>
      <c r="B592" t="s">
        <v>3507</v>
      </c>
      <c r="C592" t="s">
        <v>3508</v>
      </c>
      <c r="D592" t="s">
        <v>977</v>
      </c>
      <c r="E592" t="s">
        <v>3509</v>
      </c>
      <c r="F592">
        <v>2025</v>
      </c>
      <c r="G592" t="s">
        <v>977</v>
      </c>
      <c r="H592" t="s">
        <v>977</v>
      </c>
      <c r="I592" t="s">
        <v>3510</v>
      </c>
      <c r="J592" t="s">
        <v>977</v>
      </c>
      <c r="K592" s="4" t="str">
        <f>HYPERLINK("https://doi.org/10.1097/PHM.0000000000000941","Song (2018)")</f>
        <v>Song (2018)</v>
      </c>
      <c r="L592" s="1" t="s">
        <v>7</v>
      </c>
    </row>
    <row r="593" spans="1:12" x14ac:dyDescent="0.35">
      <c r="A593">
        <v>7</v>
      </c>
      <c r="B593" t="s">
        <v>3431</v>
      </c>
      <c r="C593" t="s">
        <v>3432</v>
      </c>
      <c r="D593" t="s">
        <v>977</v>
      </c>
      <c r="E593" t="s">
        <v>3433</v>
      </c>
      <c r="F593">
        <v>2022</v>
      </c>
      <c r="G593" t="s">
        <v>977</v>
      </c>
      <c r="H593" t="s">
        <v>977</v>
      </c>
      <c r="I593" t="s">
        <v>3434</v>
      </c>
      <c r="J593" t="s">
        <v>977</v>
      </c>
      <c r="K593" s="4" t="str">
        <f>HYPERLINK("https://doi.org/10.1177/2325967120918490","Sonnery-Cottet (2020)")</f>
        <v>Sonnery-Cottet (2020)</v>
      </c>
    </row>
    <row r="594" spans="1:12" x14ac:dyDescent="0.35">
      <c r="A594">
        <v>3</v>
      </c>
      <c r="B594" t="s">
        <v>3657</v>
      </c>
      <c r="C594" t="s">
        <v>3658</v>
      </c>
      <c r="D594" t="s">
        <v>977</v>
      </c>
      <c r="E594" t="s">
        <v>3659</v>
      </c>
      <c r="F594">
        <v>2012</v>
      </c>
      <c r="G594" t="s">
        <v>977</v>
      </c>
      <c r="H594" t="s">
        <v>977</v>
      </c>
      <c r="I594" t="s">
        <v>3660</v>
      </c>
      <c r="J594" t="s">
        <v>977</v>
      </c>
      <c r="K594" s="4" t="str">
        <f>HYPERLINK("https://doi.org/10.1016/j.lanepe.2025.101561","Sonnery-Cottet (2026)")</f>
        <v>Sonnery-Cottet (2026)</v>
      </c>
    </row>
    <row r="595" spans="1:12" x14ac:dyDescent="0.35">
      <c r="A595">
        <v>4</v>
      </c>
      <c r="B595" t="s">
        <v>3487</v>
      </c>
      <c r="C595" t="s">
        <v>3488</v>
      </c>
      <c r="D595" t="s">
        <v>977</v>
      </c>
      <c r="E595" t="s">
        <v>3489</v>
      </c>
      <c r="F595">
        <v>2005</v>
      </c>
      <c r="G595" t="s">
        <v>977</v>
      </c>
      <c r="H595" t="s">
        <v>977</v>
      </c>
      <c r="I595" t="s">
        <v>3490</v>
      </c>
      <c r="J595" t="s">
        <v>977</v>
      </c>
      <c r="K595" s="4" t="str">
        <f>HYPERLINK("https://doi.org/10.1177/23259671221144983","Sonnier (2023)")</f>
        <v>Sonnier (2023)</v>
      </c>
    </row>
    <row r="596" spans="1:12" x14ac:dyDescent="0.35">
      <c r="A596">
        <v>26</v>
      </c>
      <c r="B596" t="s">
        <v>3709</v>
      </c>
      <c r="C596" t="s">
        <v>3710</v>
      </c>
      <c r="D596" t="s">
        <v>3711</v>
      </c>
      <c r="E596" t="s">
        <v>3712</v>
      </c>
      <c r="F596">
        <v>2015</v>
      </c>
      <c r="G596" t="s">
        <v>977</v>
      </c>
      <c r="H596" t="s">
        <v>3713</v>
      </c>
      <c r="I596" t="s">
        <v>3714</v>
      </c>
      <c r="J596" t="s">
        <v>3715</v>
      </c>
      <c r="K596" s="4" t="str">
        <f>HYPERLINK("https://doi.org/10.2106/JBJS.19.00098","Sporsheim (2019)")</f>
        <v>Sporsheim (2019)</v>
      </c>
      <c r="L596" s="1" t="s">
        <v>4</v>
      </c>
    </row>
    <row r="597" spans="1:12" x14ac:dyDescent="0.35">
      <c r="A597">
        <v>106</v>
      </c>
      <c r="B597" t="s">
        <v>3716</v>
      </c>
      <c r="C597" t="s">
        <v>3717</v>
      </c>
      <c r="D597" t="s">
        <v>3718</v>
      </c>
      <c r="E597" t="s">
        <v>3719</v>
      </c>
      <c r="F597">
        <v>2002</v>
      </c>
      <c r="G597" t="s">
        <v>977</v>
      </c>
      <c r="H597" t="s">
        <v>3720</v>
      </c>
      <c r="I597" t="s">
        <v>3721</v>
      </c>
      <c r="J597" t="s">
        <v>3722</v>
      </c>
      <c r="K597" s="4" t="str">
        <f>HYPERLINK("https://doi.org/10.1177/0300060517722696","Sta?czak (2018)")</f>
        <v>Sta?czak (2018)</v>
      </c>
    </row>
    <row r="598" spans="1:12" x14ac:dyDescent="0.35">
      <c r="A598">
        <v>139</v>
      </c>
      <c r="B598" t="s">
        <v>3723</v>
      </c>
      <c r="C598" t="s">
        <v>3724</v>
      </c>
      <c r="D598" t="s">
        <v>3725</v>
      </c>
      <c r="E598" t="s">
        <v>3726</v>
      </c>
      <c r="F598">
        <v>1998</v>
      </c>
      <c r="G598" t="s">
        <v>977</v>
      </c>
      <c r="H598" t="s">
        <v>3727</v>
      </c>
      <c r="I598" t="s">
        <v>3728</v>
      </c>
      <c r="J598" t="s">
        <v>3729</v>
      </c>
      <c r="K598" s="4" t="str">
        <f>HYPERLINK("https://doi.org/10.1055/s-2002-25750","Staub (2002)")</f>
        <v>Staub (2002)</v>
      </c>
      <c r="L598" s="1" t="s">
        <v>7</v>
      </c>
    </row>
    <row r="599" spans="1:12" x14ac:dyDescent="0.35">
      <c r="A599">
        <v>140</v>
      </c>
      <c r="B599" t="s">
        <v>3730</v>
      </c>
      <c r="C599" t="s">
        <v>3731</v>
      </c>
      <c r="D599" t="s">
        <v>3732</v>
      </c>
      <c r="E599" t="s">
        <v>494</v>
      </c>
      <c r="F599">
        <v>1998</v>
      </c>
      <c r="G599" t="s">
        <v>977</v>
      </c>
      <c r="H599" t="s">
        <v>3733</v>
      </c>
      <c r="I599" t="s">
        <v>3734</v>
      </c>
      <c r="J599" t="s">
        <v>3735</v>
      </c>
      <c r="K599" s="4" t="str">
        <f>HYPERLINK("https://doi.org/10.1177/0363546510361952","Stener (2010)")</f>
        <v>Stener (2010)</v>
      </c>
      <c r="L599" s="1" t="s">
        <v>4</v>
      </c>
    </row>
    <row r="600" spans="1:12" x14ac:dyDescent="0.35">
      <c r="A600">
        <v>142</v>
      </c>
      <c r="B600" t="s">
        <v>3736</v>
      </c>
      <c r="C600" t="s">
        <v>3737</v>
      </c>
      <c r="D600" t="s">
        <v>3738</v>
      </c>
      <c r="E600" t="s">
        <v>3719</v>
      </c>
      <c r="F600">
        <v>1997</v>
      </c>
      <c r="G600" t="s">
        <v>977</v>
      </c>
      <c r="H600" t="s">
        <v>3739</v>
      </c>
      <c r="I600" t="s">
        <v>3740</v>
      </c>
      <c r="J600" t="s">
        <v>3741</v>
      </c>
      <c r="K600" s="4" t="str">
        <f>HYPERLINK("https://doi.org/10.1186/1471-2482-5-1","Stengel (2005)")</f>
        <v>Stengel (2005)</v>
      </c>
    </row>
    <row r="601" spans="1:12" x14ac:dyDescent="0.35">
      <c r="A601">
        <v>150</v>
      </c>
      <c r="B601" t="s">
        <v>3742</v>
      </c>
      <c r="C601" t="s">
        <v>3743</v>
      </c>
      <c r="D601" t="s">
        <v>3744</v>
      </c>
      <c r="E601" t="s">
        <v>3745</v>
      </c>
      <c r="F601">
        <v>1994</v>
      </c>
      <c r="G601" t="s">
        <v>977</v>
      </c>
      <c r="H601" t="s">
        <v>3746</v>
      </c>
      <c r="I601" t="s">
        <v>3747</v>
      </c>
      <c r="J601" t="s">
        <v>3748</v>
      </c>
      <c r="K601" s="4" t="str">
        <f>HYPERLINK("https://doi.org/10.1177/0363546509333008","Stengel (2009)")</f>
        <v>Stengel (2009)</v>
      </c>
    </row>
    <row r="602" spans="1:12" x14ac:dyDescent="0.35">
      <c r="A602">
        <v>151</v>
      </c>
      <c r="B602" t="s">
        <v>3749</v>
      </c>
      <c r="C602" t="s">
        <v>3750</v>
      </c>
      <c r="D602" t="s">
        <v>3751</v>
      </c>
      <c r="E602" t="s">
        <v>494</v>
      </c>
      <c r="F602">
        <v>1993</v>
      </c>
      <c r="G602" t="s">
        <v>977</v>
      </c>
      <c r="H602" t="s">
        <v>3752</v>
      </c>
      <c r="I602" t="s">
        <v>3753</v>
      </c>
      <c r="J602" t="s">
        <v>3754</v>
      </c>
      <c r="K602" s="4" t="str">
        <f>HYPERLINK("https://doi.org/10.1007/s00167-013-2630-9","Stensbirk (2014)")</f>
        <v>Stensbirk (2014)</v>
      </c>
      <c r="L602" s="1" t="s">
        <v>4</v>
      </c>
    </row>
    <row r="603" spans="1:12" x14ac:dyDescent="0.35">
      <c r="A603">
        <v>155</v>
      </c>
      <c r="B603" t="s">
        <v>3755</v>
      </c>
      <c r="C603" t="s">
        <v>3756</v>
      </c>
      <c r="D603" t="s">
        <v>3757</v>
      </c>
      <c r="E603" t="s">
        <v>494</v>
      </c>
      <c r="F603">
        <v>1990</v>
      </c>
      <c r="G603" t="s">
        <v>977</v>
      </c>
      <c r="H603" t="s">
        <v>3758</v>
      </c>
      <c r="I603" t="s">
        <v>3759</v>
      </c>
      <c r="J603" t="s">
        <v>3760</v>
      </c>
      <c r="K603" s="4" t="str">
        <f>HYPERLINK("https://doi.org/10.1007/s00167-007-0480-z","Streich (2008)")</f>
        <v>Streich (2008)</v>
      </c>
    </row>
    <row r="604" spans="1:12" x14ac:dyDescent="0.35">
      <c r="A604">
        <v>106</v>
      </c>
      <c r="B604" t="s">
        <v>3761</v>
      </c>
      <c r="C604" t="s">
        <v>3762</v>
      </c>
      <c r="D604" t="s">
        <v>3763</v>
      </c>
      <c r="E604" t="s">
        <v>3764</v>
      </c>
      <c r="F604">
        <v>2014</v>
      </c>
      <c r="G604" t="s">
        <v>977</v>
      </c>
      <c r="H604" t="s">
        <v>1003</v>
      </c>
      <c r="I604" t="s">
        <v>1004</v>
      </c>
      <c r="J604" t="s">
        <v>1005</v>
      </c>
      <c r="K604" s="4" t="str">
        <f>HYPERLINK("https://doi.org/10.1177/0363546520911024","Sundaraj (2020)")</f>
        <v>Sundaraj (2020)</v>
      </c>
      <c r="L604" s="1" t="s">
        <v>4</v>
      </c>
    </row>
    <row r="605" spans="1:12" x14ac:dyDescent="0.35">
      <c r="A605">
        <v>128</v>
      </c>
      <c r="B605" t="s">
        <v>3765</v>
      </c>
      <c r="C605" t="s">
        <v>3766</v>
      </c>
      <c r="D605" t="s">
        <v>3767</v>
      </c>
      <c r="E605" t="s">
        <v>3768</v>
      </c>
      <c r="F605">
        <v>2012</v>
      </c>
      <c r="G605" t="s">
        <v>977</v>
      </c>
      <c r="H605" t="s">
        <v>3769</v>
      </c>
      <c r="I605" t="s">
        <v>3770</v>
      </c>
      <c r="J605" t="s">
        <v>3771</v>
      </c>
      <c r="K605" s="4" t="str">
        <f>HYPERLINK("https://doi.org/10.1177/0363546511405024","Suomalainen (2011)")</f>
        <v>Suomalainen (2011)</v>
      </c>
      <c r="L605" s="1" t="s">
        <v>4</v>
      </c>
    </row>
    <row r="606" spans="1:12" x14ac:dyDescent="0.35">
      <c r="A606">
        <v>170</v>
      </c>
      <c r="B606" t="s">
        <v>3772</v>
      </c>
      <c r="C606" t="s">
        <v>3773</v>
      </c>
      <c r="D606" t="s">
        <v>3774</v>
      </c>
      <c r="E606" t="s">
        <v>2869</v>
      </c>
      <c r="F606">
        <v>2009</v>
      </c>
      <c r="G606" t="s">
        <v>977</v>
      </c>
      <c r="H606" t="s">
        <v>987</v>
      </c>
      <c r="I606" t="s">
        <v>1046</v>
      </c>
      <c r="J606" t="s">
        <v>1047</v>
      </c>
      <c r="K606" s="4" t="str">
        <f>HYPERLINK("https://doi.org/10.1177/0363546512448177","Suomalainen (2012)")</f>
        <v>Suomalainen (2012)</v>
      </c>
      <c r="L606" s="1" t="s">
        <v>4</v>
      </c>
    </row>
    <row r="607" spans="1:12" x14ac:dyDescent="0.35">
      <c r="A607">
        <v>177</v>
      </c>
      <c r="B607" t="s">
        <v>3775</v>
      </c>
      <c r="C607" t="s">
        <v>3776</v>
      </c>
      <c r="D607" t="s">
        <v>3777</v>
      </c>
      <c r="E607" t="s">
        <v>2059</v>
      </c>
      <c r="F607">
        <v>2008</v>
      </c>
      <c r="G607" t="s">
        <v>977</v>
      </c>
      <c r="H607" t="s">
        <v>3778</v>
      </c>
      <c r="I607" t="s">
        <v>3779</v>
      </c>
      <c r="J607" t="s">
        <v>3780</v>
      </c>
      <c r="K607" s="4" t="str">
        <f>HYPERLINK("https://doi.org/10.1007/s00167-005-0708-8","Svensson (2006)")</f>
        <v>Svensson (2006)</v>
      </c>
      <c r="L607" s="1" t="s">
        <v>7</v>
      </c>
    </row>
    <row r="608" spans="1:12" x14ac:dyDescent="0.35">
      <c r="A608">
        <v>226</v>
      </c>
      <c r="B608" t="s">
        <v>3781</v>
      </c>
      <c r="C608" t="s">
        <v>3782</v>
      </c>
      <c r="D608" t="s">
        <v>3783</v>
      </c>
      <c r="E608" t="s">
        <v>145</v>
      </c>
      <c r="F608">
        <v>2004</v>
      </c>
      <c r="G608" t="s">
        <v>977</v>
      </c>
      <c r="H608" t="s">
        <v>1061</v>
      </c>
      <c r="I608" t="s">
        <v>3784</v>
      </c>
      <c r="J608" t="s">
        <v>3785</v>
      </c>
      <c r="K608" s="4" t="str">
        <f>HYPERLINK("https://doi.org/10.1177/0363546507307867","Tagesson (2008)")</f>
        <v>Tagesson (2008)</v>
      </c>
    </row>
    <row r="609" spans="1:12" x14ac:dyDescent="0.35">
      <c r="A609">
        <v>245</v>
      </c>
      <c r="B609" t="s">
        <v>3786</v>
      </c>
      <c r="C609" t="s">
        <v>3787</v>
      </c>
      <c r="D609" t="s">
        <v>3788</v>
      </c>
      <c r="E609" t="s">
        <v>3726</v>
      </c>
      <c r="F609">
        <v>2001</v>
      </c>
      <c r="G609" t="s">
        <v>977</v>
      </c>
      <c r="H609" t="s">
        <v>665</v>
      </c>
      <c r="I609" t="s">
        <v>3789</v>
      </c>
      <c r="J609" t="s">
        <v>3790</v>
      </c>
      <c r="K609" s="4" t="str">
        <f>HYPERLINK("https://doi.org/10.1111/j.1600-0838.2009.00903.x","Tagesson (2010)")</f>
        <v>Tagesson (2010)</v>
      </c>
    </row>
    <row r="610" spans="1:12" x14ac:dyDescent="0.35">
      <c r="A610">
        <v>262</v>
      </c>
      <c r="B610" t="s">
        <v>3791</v>
      </c>
      <c r="C610" t="s">
        <v>3792</v>
      </c>
      <c r="D610" t="s">
        <v>2833</v>
      </c>
      <c r="E610" t="s">
        <v>47</v>
      </c>
      <c r="F610">
        <v>1996</v>
      </c>
      <c r="G610" t="s">
        <v>977</v>
      </c>
      <c r="H610" t="s">
        <v>2835</v>
      </c>
      <c r="I610" t="s">
        <v>3793</v>
      </c>
      <c r="J610" t="s">
        <v>3794</v>
      </c>
      <c r="K610" s="4" t="str">
        <f>HYPERLINK("https://doi.org/10.1186/s12891-019-2653-6","Tajima (2019)")</f>
        <v>Tajima (2019)</v>
      </c>
      <c r="L610" s="1" t="s">
        <v>4</v>
      </c>
    </row>
    <row r="611" spans="1:12" x14ac:dyDescent="0.35">
      <c r="A611">
        <v>70</v>
      </c>
      <c r="B611" t="s">
        <v>3795</v>
      </c>
      <c r="C611" t="s">
        <v>3796</v>
      </c>
      <c r="D611" t="s">
        <v>3797</v>
      </c>
      <c r="E611" t="s">
        <v>145</v>
      </c>
      <c r="F611">
        <v>1994</v>
      </c>
      <c r="G611" t="s">
        <v>977</v>
      </c>
      <c r="H611" t="s">
        <v>3798</v>
      </c>
      <c r="I611" t="s">
        <v>3799</v>
      </c>
      <c r="J611" t="s">
        <v>3800</v>
      </c>
      <c r="K611" s="4" t="str">
        <f>HYPERLINK("https://doi.org/10.1007/s00590-023-03636-5","Tang (2024)")</f>
        <v>Tang (2024)</v>
      </c>
      <c r="L611" s="1" t="s">
        <v>4</v>
      </c>
    </row>
    <row r="612" spans="1:12" x14ac:dyDescent="0.35">
      <c r="A612">
        <v>123</v>
      </c>
      <c r="B612" t="s">
        <v>3801</v>
      </c>
      <c r="C612" t="s">
        <v>3802</v>
      </c>
      <c r="D612" t="s">
        <v>3803</v>
      </c>
      <c r="E612" t="s">
        <v>3804</v>
      </c>
      <c r="F612">
        <v>2001</v>
      </c>
      <c r="G612" t="s">
        <v>977</v>
      </c>
      <c r="H612" t="s">
        <v>184</v>
      </c>
      <c r="I612" t="s">
        <v>185</v>
      </c>
      <c r="J612" t="s">
        <v>186</v>
      </c>
      <c r="K612" s="4" t="str">
        <f>HYPERLINK("https://doi.org/10.1177/0363546509339577","Taylor (2009)")</f>
        <v>Taylor (2009)</v>
      </c>
      <c r="L612" s="1" t="s">
        <v>4</v>
      </c>
    </row>
    <row r="613" spans="1:12" x14ac:dyDescent="0.35">
      <c r="A613">
        <v>124</v>
      </c>
      <c r="B613" t="s">
        <v>3805</v>
      </c>
      <c r="C613" t="s">
        <v>3806</v>
      </c>
      <c r="D613" t="s">
        <v>3807</v>
      </c>
      <c r="E613" t="s">
        <v>3808</v>
      </c>
      <c r="F613">
        <v>2001</v>
      </c>
      <c r="G613" t="s">
        <v>977</v>
      </c>
      <c r="H613" t="s">
        <v>177</v>
      </c>
      <c r="I613" t="s">
        <v>178</v>
      </c>
      <c r="J613" t="s">
        <v>179</v>
      </c>
      <c r="K613" s="4" t="str">
        <f>HYPERLINK("https://doi.org/10.1007/s00113-005-0948-6","Tecklenburg (2005)")</f>
        <v>Tecklenburg (2005)</v>
      </c>
      <c r="L613" s="1" t="s">
        <v>15</v>
      </c>
    </row>
    <row r="614" spans="1:12" x14ac:dyDescent="0.35">
      <c r="A614">
        <v>129</v>
      </c>
      <c r="B614" t="s">
        <v>3809</v>
      </c>
      <c r="C614" t="s">
        <v>3810</v>
      </c>
      <c r="D614" t="s">
        <v>3811</v>
      </c>
      <c r="E614" t="s">
        <v>3812</v>
      </c>
      <c r="F614">
        <v>1998</v>
      </c>
      <c r="G614" t="s">
        <v>977</v>
      </c>
      <c r="H614" t="s">
        <v>184</v>
      </c>
      <c r="I614" t="s">
        <v>253</v>
      </c>
      <c r="J614" t="s">
        <v>254</v>
      </c>
      <c r="K614" s="4" t="str">
        <f>HYPERLINK("https://doi.org/10.1016/S0749-8063(85)80095-5","Tegner (1985)")</f>
        <v>Tegner (1985)</v>
      </c>
      <c r="L614" s="1" t="s">
        <v>7</v>
      </c>
    </row>
    <row r="615" spans="1:12" x14ac:dyDescent="0.35">
      <c r="A615">
        <v>130</v>
      </c>
      <c r="B615" t="s">
        <v>3813</v>
      </c>
      <c r="C615" t="s">
        <v>3814</v>
      </c>
      <c r="D615" t="s">
        <v>3815</v>
      </c>
      <c r="E615" t="s">
        <v>3816</v>
      </c>
      <c r="F615">
        <v>1997</v>
      </c>
      <c r="G615" t="s">
        <v>977</v>
      </c>
      <c r="H615" t="s">
        <v>239</v>
      </c>
      <c r="I615" t="s">
        <v>259</v>
      </c>
      <c r="J615" t="s">
        <v>260</v>
      </c>
      <c r="K615" s="4" t="str">
        <f>HYPERLINK("https://doi.org/10.1177/0363546516658041","Thompson (2016)")</f>
        <v>Thompson (2016)</v>
      </c>
    </row>
    <row r="616" spans="1:12" x14ac:dyDescent="0.35">
      <c r="A616">
        <v>132</v>
      </c>
      <c r="B616" t="s">
        <v>3817</v>
      </c>
      <c r="C616" t="s">
        <v>3818</v>
      </c>
      <c r="D616" t="s">
        <v>3819</v>
      </c>
      <c r="E616" t="s">
        <v>3820</v>
      </c>
      <c r="F616">
        <v>1996</v>
      </c>
      <c r="G616" t="s">
        <v>977</v>
      </c>
      <c r="H616" t="s">
        <v>272</v>
      </c>
      <c r="I616" t="s">
        <v>273</v>
      </c>
      <c r="J616" t="s">
        <v>274</v>
      </c>
      <c r="K616" s="4" t="str">
        <f>HYPERLINK("https://doi.org/10.1111/j.1600-0838.1996.tb00099.x","Thuresson (1996)")</f>
        <v>Thuresson (1996)</v>
      </c>
      <c r="L616" s="1" t="s">
        <v>15</v>
      </c>
    </row>
    <row r="617" spans="1:12" x14ac:dyDescent="0.35">
      <c r="A617">
        <v>133</v>
      </c>
      <c r="B617" t="s">
        <v>3821</v>
      </c>
      <c r="C617" t="s">
        <v>3822</v>
      </c>
      <c r="D617" t="s">
        <v>3823</v>
      </c>
      <c r="E617" t="s">
        <v>3824</v>
      </c>
      <c r="F617">
        <v>1995</v>
      </c>
      <c r="G617" t="s">
        <v>977</v>
      </c>
      <c r="H617" t="s">
        <v>279</v>
      </c>
      <c r="I617" t="s">
        <v>280</v>
      </c>
      <c r="J617" t="s">
        <v>281</v>
      </c>
      <c r="K617" s="4" t="str">
        <f>HYPERLINK("https://doi.org/10.1093/ptj/74.8.710","Tovin (1994)")</f>
        <v>Tovin (1994)</v>
      </c>
    </row>
    <row r="618" spans="1:12" x14ac:dyDescent="0.35">
      <c r="A618">
        <v>134</v>
      </c>
      <c r="B618" t="s">
        <v>3825</v>
      </c>
      <c r="C618" t="s">
        <v>3826</v>
      </c>
      <c r="D618" t="s">
        <v>3827</v>
      </c>
      <c r="E618" t="s">
        <v>3828</v>
      </c>
      <c r="F618">
        <v>1995</v>
      </c>
      <c r="G618" t="s">
        <v>977</v>
      </c>
      <c r="H618" t="s">
        <v>3829</v>
      </c>
      <c r="I618" t="s">
        <v>3830</v>
      </c>
      <c r="J618" t="s">
        <v>3831</v>
      </c>
      <c r="K618" s="4" t="str">
        <f>HYPERLINK("https://doi.org/10.1177/230949900501300206","Tow (2005)")</f>
        <v>Tow (2005)</v>
      </c>
      <c r="L618" s="1" t="s">
        <v>7</v>
      </c>
    </row>
    <row r="619" spans="1:12" x14ac:dyDescent="0.35">
      <c r="A619">
        <v>135</v>
      </c>
      <c r="B619" t="s">
        <v>3832</v>
      </c>
      <c r="C619" t="s">
        <v>289</v>
      </c>
      <c r="D619" t="s">
        <v>3833</v>
      </c>
      <c r="E619" t="s">
        <v>3834</v>
      </c>
      <c r="F619">
        <v>1995</v>
      </c>
      <c r="G619" t="s">
        <v>977</v>
      </c>
      <c r="H619" t="s">
        <v>293</v>
      </c>
      <c r="I619" t="s">
        <v>294</v>
      </c>
      <c r="J619" t="s">
        <v>295</v>
      </c>
      <c r="K619" s="4" t="str">
        <f>HYPERLINK("https://doi.org/10.1007/s00167-015-3593-9","Tsoukas (2016)")</f>
        <v>Tsoukas (2016)</v>
      </c>
      <c r="L619" s="1" t="s">
        <v>4</v>
      </c>
    </row>
    <row r="620" spans="1:12" x14ac:dyDescent="0.35">
      <c r="A620">
        <v>136</v>
      </c>
      <c r="B620" t="s">
        <v>3835</v>
      </c>
      <c r="C620" t="s">
        <v>3836</v>
      </c>
      <c r="D620" t="s">
        <v>3837</v>
      </c>
      <c r="E620" t="s">
        <v>3838</v>
      </c>
      <c r="F620">
        <v>1994</v>
      </c>
      <c r="G620" t="s">
        <v>977</v>
      </c>
      <c r="H620" t="s">
        <v>3746</v>
      </c>
      <c r="I620" t="s">
        <v>3839</v>
      </c>
      <c r="J620" t="s">
        <v>3840</v>
      </c>
      <c r="K620" s="4" t="str">
        <f>HYPERLINK("https://doi.org/10.1007/s11999-008-0604-x","Tsuda (2009)")</f>
        <v>Tsuda (2009)</v>
      </c>
      <c r="L620" s="1" t="s">
        <v>7</v>
      </c>
    </row>
    <row r="621" spans="1:12" x14ac:dyDescent="0.35">
      <c r="A621">
        <v>61</v>
      </c>
      <c r="B621" t="s">
        <v>3841</v>
      </c>
      <c r="C621" t="s">
        <v>3842</v>
      </c>
      <c r="D621" t="s">
        <v>3843</v>
      </c>
      <c r="E621" t="s">
        <v>3844</v>
      </c>
      <c r="F621">
        <v>2023</v>
      </c>
      <c r="G621" t="s">
        <v>977</v>
      </c>
      <c r="H621" t="s">
        <v>3845</v>
      </c>
      <c r="I621" t="s">
        <v>3846</v>
      </c>
      <c r="J621" t="s">
        <v>3847</v>
      </c>
      <c r="K621" s="4" t="str">
        <f>HYPERLINK("https://doi.org/10.3969/j.issn.2095-4344.2016.15.009","Tu (2016)")</f>
        <v>Tu (2016)</v>
      </c>
    </row>
    <row r="622" spans="1:12" x14ac:dyDescent="0.35">
      <c r="A622">
        <v>98</v>
      </c>
      <c r="B622" t="s">
        <v>3848</v>
      </c>
      <c r="C622" t="s">
        <v>3849</v>
      </c>
      <c r="D622" t="s">
        <v>3850</v>
      </c>
      <c r="E622" t="s">
        <v>3851</v>
      </c>
      <c r="F622">
        <v>2021</v>
      </c>
      <c r="G622" t="s">
        <v>977</v>
      </c>
      <c r="H622" t="s">
        <v>3852</v>
      </c>
      <c r="I622" t="s">
        <v>3853</v>
      </c>
      <c r="J622" t="s">
        <v>3854</v>
      </c>
      <c r="K622" s="4" t="str">
        <f>HYPERLINK("https://doi.org/10.1097/00003086-199812000-00019","Tyler (1998)")</f>
        <v>Tyler (1998)</v>
      </c>
      <c r="L622" s="1" t="s">
        <v>4</v>
      </c>
    </row>
    <row r="623" spans="1:12" x14ac:dyDescent="0.35">
      <c r="A623">
        <v>150</v>
      </c>
      <c r="B623" t="s">
        <v>3855</v>
      </c>
      <c r="C623" t="s">
        <v>3856</v>
      </c>
      <c r="D623" t="s">
        <v>3857</v>
      </c>
      <c r="E623" t="s">
        <v>3858</v>
      </c>
      <c r="F623">
        <v>2018</v>
      </c>
      <c r="G623" t="s">
        <v>977</v>
      </c>
      <c r="H623" t="s">
        <v>1003</v>
      </c>
      <c r="I623" t="s">
        <v>3859</v>
      </c>
      <c r="J623" t="s">
        <v>3860</v>
      </c>
      <c r="K623" s="4" t="str">
        <f>HYPERLINK("https://doi.org/10.1016/S0020-1383(14)70008-7","Valentí (2014)")</f>
        <v>Valentí (2014)</v>
      </c>
      <c r="L623" s="1" t="s">
        <v>7</v>
      </c>
    </row>
    <row r="624" spans="1:12" x14ac:dyDescent="0.35">
      <c r="A624">
        <v>208</v>
      </c>
      <c r="B624" t="s">
        <v>3861</v>
      </c>
      <c r="C624" t="s">
        <v>3862</v>
      </c>
      <c r="D624" t="s">
        <v>3863</v>
      </c>
      <c r="E624" t="s">
        <v>3864</v>
      </c>
      <c r="F624">
        <v>2013</v>
      </c>
      <c r="G624" t="s">
        <v>977</v>
      </c>
      <c r="H624" t="s">
        <v>1266</v>
      </c>
      <c r="I624" t="s">
        <v>2526</v>
      </c>
      <c r="J624" t="s">
        <v>2527</v>
      </c>
      <c r="K624" s="4" t="str">
        <f>HYPERLINK("https://doi.org/10.1016/s0749-8063(98)70022-2","van (1998)")</f>
        <v>van (1998)</v>
      </c>
      <c r="L624" s="1" t="s">
        <v>4</v>
      </c>
    </row>
    <row r="625" spans="1:12" x14ac:dyDescent="0.35">
      <c r="A625">
        <v>214</v>
      </c>
      <c r="B625" t="s">
        <v>3865</v>
      </c>
      <c r="C625" t="s">
        <v>3866</v>
      </c>
      <c r="D625" t="s">
        <v>3867</v>
      </c>
      <c r="E625" t="s">
        <v>3868</v>
      </c>
      <c r="F625">
        <v>2013</v>
      </c>
      <c r="G625" t="s">
        <v>977</v>
      </c>
      <c r="H625" t="s">
        <v>422</v>
      </c>
      <c r="I625" t="s">
        <v>423</v>
      </c>
      <c r="J625" t="s">
        <v>424</v>
      </c>
      <c r="K625" s="4" t="str">
        <f>HYPERLINK("https://doi.org/10.1016/S0749-8063(98)70022-2","Van (1998)")</f>
        <v>Van (1998)</v>
      </c>
      <c r="L625" s="1" t="s">
        <v>4</v>
      </c>
    </row>
    <row r="626" spans="1:12" x14ac:dyDescent="0.35">
      <c r="A626">
        <v>220</v>
      </c>
      <c r="B626" t="s">
        <v>3869</v>
      </c>
      <c r="C626" t="s">
        <v>3870</v>
      </c>
      <c r="D626" t="s">
        <v>3871</v>
      </c>
      <c r="E626" t="s">
        <v>3872</v>
      </c>
      <c r="F626">
        <v>2012</v>
      </c>
      <c r="G626" t="s">
        <v>977</v>
      </c>
      <c r="H626" t="s">
        <v>1168</v>
      </c>
      <c r="I626" t="s">
        <v>2566</v>
      </c>
      <c r="J626" t="s">
        <v>2567</v>
      </c>
      <c r="K626" s="4" t="str">
        <f>HYPERLINK("https://doi.org/10.1186/s40634-020-00292-0","Van (2020)")</f>
        <v>Van (2020)</v>
      </c>
    </row>
    <row r="627" spans="1:12" x14ac:dyDescent="0.35">
      <c r="A627">
        <v>221</v>
      </c>
      <c r="B627" t="s">
        <v>3873</v>
      </c>
      <c r="C627" t="s">
        <v>3874</v>
      </c>
      <c r="D627" t="s">
        <v>3875</v>
      </c>
      <c r="E627" t="s">
        <v>3876</v>
      </c>
      <c r="F627">
        <v>2012</v>
      </c>
      <c r="G627" t="s">
        <v>977</v>
      </c>
      <c r="H627" t="s">
        <v>460</v>
      </c>
      <c r="I627" t="s">
        <v>461</v>
      </c>
      <c r="J627" t="s">
        <v>462</v>
      </c>
      <c r="K627" s="4" t="str">
        <f>HYPERLINK("https://doi.org/10.1186/s12891-021-04280-y","van (2021)")</f>
        <v>van (2021)</v>
      </c>
    </row>
    <row r="628" spans="1:12" x14ac:dyDescent="0.35">
      <c r="A628">
        <v>224</v>
      </c>
      <c r="B628" t="s">
        <v>3877</v>
      </c>
      <c r="C628" t="s">
        <v>3878</v>
      </c>
      <c r="D628" t="s">
        <v>3879</v>
      </c>
      <c r="E628" t="s">
        <v>3880</v>
      </c>
      <c r="F628">
        <v>2012</v>
      </c>
      <c r="G628" t="s">
        <v>977</v>
      </c>
      <c r="H628" t="s">
        <v>481</v>
      </c>
      <c r="I628" t="s">
        <v>482</v>
      </c>
      <c r="J628" t="s">
        <v>483</v>
      </c>
      <c r="K628" s="4" t="str">
        <f>HYPERLINK("https://doi.org/10.3389/fresc.2025.1627228","Vicente-Mampel (2025)")</f>
        <v>Vicente-Mampel (2025)</v>
      </c>
      <c r="L628" s="1" t="s">
        <v>4</v>
      </c>
    </row>
    <row r="629" spans="1:12" x14ac:dyDescent="0.35">
      <c r="A629">
        <v>228</v>
      </c>
      <c r="B629" t="s">
        <v>3881</v>
      </c>
      <c r="C629" t="s">
        <v>3882</v>
      </c>
      <c r="D629" t="s">
        <v>3883</v>
      </c>
      <c r="E629" t="s">
        <v>3884</v>
      </c>
      <c r="F629">
        <v>2011</v>
      </c>
      <c r="G629" t="s">
        <v>977</v>
      </c>
      <c r="H629" t="s">
        <v>503</v>
      </c>
      <c r="I629" t="s">
        <v>504</v>
      </c>
      <c r="J629" t="s">
        <v>505</v>
      </c>
      <c r="K629" s="4" t="str">
        <f>HYPERLINK("https://doi.org/10.1016/j.bjpt.2019.07.003","Vidmar (2020)")</f>
        <v>Vidmar (2020)</v>
      </c>
    </row>
    <row r="630" spans="1:12" x14ac:dyDescent="0.35">
      <c r="A630">
        <v>229</v>
      </c>
      <c r="B630" t="s">
        <v>3885</v>
      </c>
      <c r="C630" t="s">
        <v>3886</v>
      </c>
      <c r="D630" t="s">
        <v>3887</v>
      </c>
      <c r="E630" t="s">
        <v>3888</v>
      </c>
      <c r="F630">
        <v>2011</v>
      </c>
      <c r="G630" t="s">
        <v>977</v>
      </c>
      <c r="H630" t="s">
        <v>460</v>
      </c>
      <c r="I630" t="s">
        <v>510</v>
      </c>
      <c r="J630" t="s">
        <v>511</v>
      </c>
      <c r="K630" s="4" t="str">
        <f>HYPERLINK("https://doi.org/10.2340/jrm.v54.2550","Vieira (2022)")</f>
        <v>Vieira (2022)</v>
      </c>
      <c r="L630" s="1" t="s">
        <v>4</v>
      </c>
    </row>
    <row r="631" spans="1:12" x14ac:dyDescent="0.35">
      <c r="A631">
        <v>236</v>
      </c>
      <c r="B631" t="s">
        <v>3889</v>
      </c>
      <c r="C631" t="s">
        <v>3890</v>
      </c>
      <c r="D631" t="s">
        <v>3891</v>
      </c>
      <c r="E631" t="s">
        <v>3892</v>
      </c>
      <c r="F631">
        <v>2010</v>
      </c>
      <c r="G631" t="s">
        <v>977</v>
      </c>
      <c r="H631" t="s">
        <v>2600</v>
      </c>
      <c r="I631" t="s">
        <v>2601</v>
      </c>
      <c r="J631" t="s">
        <v>2602</v>
      </c>
      <c r="K631" s="4" t="str">
        <f>HYPERLINK("https://doi.org/10.1177/22104917221088335","Vijay (2022)")</f>
        <v>Vijay (2022)</v>
      </c>
    </row>
    <row r="632" spans="1:12" x14ac:dyDescent="0.35">
      <c r="A632">
        <v>242</v>
      </c>
      <c r="B632" t="s">
        <v>3893</v>
      </c>
      <c r="C632" t="s">
        <v>3894</v>
      </c>
      <c r="D632" t="s">
        <v>3895</v>
      </c>
      <c r="E632" t="s">
        <v>3896</v>
      </c>
      <c r="F632">
        <v>2010</v>
      </c>
      <c r="G632" t="s">
        <v>977</v>
      </c>
      <c r="H632" t="s">
        <v>2614</v>
      </c>
      <c r="I632" t="s">
        <v>2615</v>
      </c>
      <c r="J632" t="s">
        <v>2616</v>
      </c>
      <c r="K632" s="4" t="str">
        <f>HYPERLINK("https://doi.org/10.24875/CIRU.19001001","Vilchez-Cavazos (2020)")</f>
        <v>Vilchez-Cavazos (2020)</v>
      </c>
      <c r="L632" s="1" t="s">
        <v>4</v>
      </c>
    </row>
    <row r="633" spans="1:12" x14ac:dyDescent="0.35">
      <c r="A633">
        <v>247</v>
      </c>
      <c r="B633" t="s">
        <v>3897</v>
      </c>
      <c r="C633" t="s">
        <v>3898</v>
      </c>
      <c r="D633" t="s">
        <v>3899</v>
      </c>
      <c r="E633" t="s">
        <v>3900</v>
      </c>
      <c r="F633">
        <v>2010</v>
      </c>
      <c r="G633" t="s">
        <v>977</v>
      </c>
      <c r="H633" t="s">
        <v>559</v>
      </c>
      <c r="I633" t="s">
        <v>560</v>
      </c>
      <c r="J633" t="s">
        <v>561</v>
      </c>
      <c r="K633" s="4" t="str">
        <f>HYPERLINK("https://doi.org/10.1007/s00508-010-1340-2","Vogrin (2010)")</f>
        <v>Vogrin (2010)</v>
      </c>
      <c r="L633" s="1" t="s">
        <v>7</v>
      </c>
    </row>
    <row r="634" spans="1:12" x14ac:dyDescent="0.35">
      <c r="A634">
        <v>296</v>
      </c>
      <c r="B634" t="s">
        <v>3901</v>
      </c>
      <c r="C634" t="s">
        <v>3902</v>
      </c>
      <c r="D634" t="s">
        <v>3903</v>
      </c>
      <c r="E634" t="s">
        <v>3904</v>
      </c>
      <c r="F634">
        <v>2004</v>
      </c>
      <c r="G634" t="s">
        <v>977</v>
      </c>
      <c r="H634" t="s">
        <v>567</v>
      </c>
      <c r="I634" t="s">
        <v>631</v>
      </c>
      <c r="J634" t="s">
        <v>632</v>
      </c>
      <c r="K634" s="4" t="str">
        <f>HYPERLINK("https://doi.org/10.1016/j.injury.2010.09.029","Volpi (2010)")</f>
        <v>Volpi (2010)</v>
      </c>
      <c r="L634" s="1" t="s">
        <v>4</v>
      </c>
    </row>
    <row r="635" spans="1:12" x14ac:dyDescent="0.35">
      <c r="A635">
        <v>97</v>
      </c>
      <c r="B635" t="s">
        <v>3905</v>
      </c>
      <c r="C635" t="s">
        <v>3906</v>
      </c>
      <c r="D635" t="s">
        <v>3907</v>
      </c>
      <c r="E635" t="s">
        <v>3908</v>
      </c>
      <c r="F635">
        <v>2006</v>
      </c>
      <c r="G635" t="s">
        <v>977</v>
      </c>
      <c r="H635" t="s">
        <v>3909</v>
      </c>
      <c r="I635" t="s">
        <v>3910</v>
      </c>
      <c r="J635" t="s">
        <v>3911</v>
      </c>
      <c r="K635" s="4" t="str">
        <f>HYPERLINK("https://doi.org/10.1177/0363546518769295","Walters (2018)")</f>
        <v>Walters (2018)</v>
      </c>
      <c r="L635" s="1" t="s">
        <v>4</v>
      </c>
    </row>
    <row r="636" spans="1:12" x14ac:dyDescent="0.35">
      <c r="A636">
        <v>48</v>
      </c>
      <c r="B636" t="s">
        <v>3912</v>
      </c>
      <c r="C636" t="s">
        <v>3913</v>
      </c>
      <c r="D636" t="s">
        <v>3914</v>
      </c>
      <c r="E636" t="s">
        <v>3915</v>
      </c>
      <c r="F636">
        <v>2005</v>
      </c>
      <c r="G636" t="s">
        <v>977</v>
      </c>
      <c r="H636" t="s">
        <v>3916</v>
      </c>
      <c r="I636" t="s">
        <v>3917</v>
      </c>
      <c r="J636" t="s">
        <v>3918</v>
      </c>
      <c r="K636" s="4" t="str">
        <f>HYPERLINK("https://doi.org/10.3760/cma.j.issn.0366-6999.2009.06.022","Wang (2009)")</f>
        <v>Wang (2009)</v>
      </c>
      <c r="L636" s="1" t="s">
        <v>4</v>
      </c>
    </row>
    <row r="637" spans="1:12" x14ac:dyDescent="0.35">
      <c r="A637">
        <v>63</v>
      </c>
      <c r="B637" t="s">
        <v>3919</v>
      </c>
      <c r="C637" t="s">
        <v>3920</v>
      </c>
      <c r="D637" t="s">
        <v>3921</v>
      </c>
      <c r="E637" t="s">
        <v>3922</v>
      </c>
      <c r="F637">
        <v>2018</v>
      </c>
      <c r="G637" t="s">
        <v>977</v>
      </c>
      <c r="H637" t="s">
        <v>1003</v>
      </c>
      <c r="I637" t="s">
        <v>3923</v>
      </c>
      <c r="J637" t="s">
        <v>3924</v>
      </c>
      <c r="K637" s="4" t="str">
        <f>HYPERLINK("https://doi.org/10.1016/j.jss.2014.01.050","Wang (2014)")</f>
        <v>Wang (2014)</v>
      </c>
      <c r="L637" s="1" t="s">
        <v>4</v>
      </c>
    </row>
    <row r="638" spans="1:12" x14ac:dyDescent="0.35">
      <c r="A638">
        <v>62</v>
      </c>
      <c r="B638" t="s">
        <v>3925</v>
      </c>
      <c r="C638" t="s">
        <v>3926</v>
      </c>
      <c r="D638" t="s">
        <v>3927</v>
      </c>
      <c r="E638" t="s">
        <v>3928</v>
      </c>
      <c r="F638">
        <v>2009</v>
      </c>
      <c r="G638" t="s">
        <v>977</v>
      </c>
      <c r="H638" t="s">
        <v>3929</v>
      </c>
      <c r="I638" t="s">
        <v>3930</v>
      </c>
      <c r="J638" t="s">
        <v>3931</v>
      </c>
      <c r="K638" s="4" t="str">
        <f>HYPERLINK("https://doi.org/10.3969/j.issn.2095-4344.2015.29.010","Wang (2015)")</f>
        <v>Wang (2015)</v>
      </c>
    </row>
    <row r="639" spans="1:12" x14ac:dyDescent="0.35">
      <c r="A639">
        <v>93</v>
      </c>
      <c r="B639" t="s">
        <v>3932</v>
      </c>
      <c r="C639" t="s">
        <v>3933</v>
      </c>
      <c r="D639" t="s">
        <v>3934</v>
      </c>
      <c r="E639" t="s">
        <v>3928</v>
      </c>
      <c r="F639">
        <v>2004</v>
      </c>
      <c r="G639" t="s">
        <v>977</v>
      </c>
      <c r="H639" t="s">
        <v>3935</v>
      </c>
      <c r="I639" t="s">
        <v>3936</v>
      </c>
      <c r="J639" t="s">
        <v>3937</v>
      </c>
      <c r="K639" s="4" t="str">
        <f>HYPERLINK("https://doi.org/10.1097/CM9.0000000000003267","Wang (2025)")</f>
        <v>Wang (2025)</v>
      </c>
    </row>
    <row r="640" spans="1:12" x14ac:dyDescent="0.35">
      <c r="A640">
        <v>94</v>
      </c>
      <c r="B640" t="s">
        <v>3938</v>
      </c>
      <c r="C640" t="s">
        <v>3939</v>
      </c>
      <c r="D640" t="s">
        <v>3940</v>
      </c>
      <c r="E640" t="s">
        <v>47</v>
      </c>
      <c r="F640">
        <v>2004</v>
      </c>
      <c r="G640" t="s">
        <v>977</v>
      </c>
      <c r="H640" t="s">
        <v>559</v>
      </c>
      <c r="I640" t="s">
        <v>3074</v>
      </c>
      <c r="J640" t="s">
        <v>3075</v>
      </c>
      <c r="K640" s="4" t="str">
        <f>HYPERLINK("https://doi.org/10.1177/0363546515611886","Webster (2016)")</f>
        <v>Webster (2016)</v>
      </c>
      <c r="L640" s="1" t="s">
        <v>4</v>
      </c>
    </row>
    <row r="641" spans="1:12" x14ac:dyDescent="0.35">
      <c r="A641">
        <v>95</v>
      </c>
      <c r="B641" t="s">
        <v>3941</v>
      </c>
      <c r="C641" t="s">
        <v>3942</v>
      </c>
      <c r="D641" t="s">
        <v>3943</v>
      </c>
      <c r="E641" t="s">
        <v>1667</v>
      </c>
      <c r="F641">
        <v>2003</v>
      </c>
      <c r="G641" t="s">
        <v>977</v>
      </c>
      <c r="H641" t="s">
        <v>3944</v>
      </c>
      <c r="I641" t="s">
        <v>3945</v>
      </c>
      <c r="J641" t="s">
        <v>3946</v>
      </c>
      <c r="K641" s="4" t="str">
        <f>HYPERLINK("https://doi.org/10.3390/jcm12103350","Weninger (2023)")</f>
        <v>Weninger (2023)</v>
      </c>
      <c r="L641" s="1" t="s">
        <v>4</v>
      </c>
    </row>
    <row r="642" spans="1:12" x14ac:dyDescent="0.35">
      <c r="A642">
        <v>111</v>
      </c>
      <c r="B642" t="s">
        <v>3947</v>
      </c>
      <c r="C642" t="s">
        <v>3948</v>
      </c>
      <c r="D642" t="s">
        <v>3949</v>
      </c>
      <c r="E642" t="s">
        <v>1667</v>
      </c>
      <c r="F642">
        <v>2002</v>
      </c>
      <c r="G642" t="s">
        <v>977</v>
      </c>
      <c r="H642" t="s">
        <v>3950</v>
      </c>
      <c r="I642" t="s">
        <v>3951</v>
      </c>
      <c r="J642" t="s">
        <v>3952</v>
      </c>
      <c r="K642" s="4" t="str">
        <f>HYPERLINK("https://doi.org/10.1016/j.arthro.2011.01.015","Wipfler (2011)")</f>
        <v>Wipfler (2011)</v>
      </c>
      <c r="L642" s="1" t="s">
        <v>4</v>
      </c>
    </row>
    <row r="643" spans="1:12" x14ac:dyDescent="0.35">
      <c r="A643">
        <v>120</v>
      </c>
      <c r="B643" t="s">
        <v>3953</v>
      </c>
      <c r="C643" t="s">
        <v>3954</v>
      </c>
      <c r="D643" t="s">
        <v>3955</v>
      </c>
      <c r="E643" t="s">
        <v>153</v>
      </c>
      <c r="F643">
        <v>2001</v>
      </c>
      <c r="G643" t="s">
        <v>977</v>
      </c>
      <c r="H643" t="s">
        <v>1944</v>
      </c>
      <c r="I643" t="s">
        <v>3956</v>
      </c>
      <c r="J643" t="s">
        <v>3957</v>
      </c>
      <c r="K643" s="4" t="str">
        <f>HYPERLINK("WOS:000237710900006")</f>
        <v>WOS:000237710900006</v>
      </c>
    </row>
    <row r="644" spans="1:12" x14ac:dyDescent="0.35">
      <c r="A644">
        <v>4</v>
      </c>
      <c r="B644" t="s">
        <v>3958</v>
      </c>
      <c r="C644" t="s">
        <v>3959</v>
      </c>
      <c r="D644" t="s">
        <v>3960</v>
      </c>
      <c r="E644" t="s">
        <v>3961</v>
      </c>
      <c r="F644">
        <v>2025</v>
      </c>
      <c r="G644" t="s">
        <v>977</v>
      </c>
      <c r="H644" t="s">
        <v>3962</v>
      </c>
      <c r="I644" t="s">
        <v>3963</v>
      </c>
      <c r="J644" t="s">
        <v>3964</v>
      </c>
      <c r="K644" s="4" t="str">
        <f>HYPERLINK("WOS:000408643700110")</f>
        <v>WOS:000408643700110</v>
      </c>
    </row>
    <row r="645" spans="1:12" x14ac:dyDescent="0.35">
      <c r="A645">
        <v>17</v>
      </c>
      <c r="B645" t="s">
        <v>3965</v>
      </c>
      <c r="C645" t="s">
        <v>3966</v>
      </c>
      <c r="D645" t="s">
        <v>3967</v>
      </c>
      <c r="E645" t="s">
        <v>3968</v>
      </c>
      <c r="F645">
        <v>2023</v>
      </c>
      <c r="G645" t="s">
        <v>977</v>
      </c>
      <c r="H645" t="s">
        <v>3969</v>
      </c>
      <c r="I645" t="s">
        <v>3970</v>
      </c>
      <c r="J645" t="s">
        <v>3971</v>
      </c>
      <c r="K645" s="4" t="str">
        <f>HYPERLINK("WOS:000431090500003")</f>
        <v>WOS:000431090500003</v>
      </c>
    </row>
    <row r="646" spans="1:12" x14ac:dyDescent="0.35">
      <c r="A646">
        <v>29</v>
      </c>
      <c r="B646" t="s">
        <v>3972</v>
      </c>
      <c r="C646" t="s">
        <v>3973</v>
      </c>
      <c r="D646" t="s">
        <v>3974</v>
      </c>
      <c r="E646" t="s">
        <v>3764</v>
      </c>
      <c r="F646">
        <v>2022</v>
      </c>
      <c r="G646" t="s">
        <v>977</v>
      </c>
      <c r="H646" t="s">
        <v>3975</v>
      </c>
      <c r="I646" t="s">
        <v>3976</v>
      </c>
      <c r="J646" t="s">
        <v>3977</v>
      </c>
      <c r="K646" s="4" t="str">
        <f>HYPERLINK("https://doi.org/10.1097/MD.0000000000014851","Xiang (2019)")</f>
        <v>Xiang (2019)</v>
      </c>
      <c r="L646" s="1" t="s">
        <v>4</v>
      </c>
    </row>
    <row r="647" spans="1:12" x14ac:dyDescent="0.35">
      <c r="A647">
        <v>87</v>
      </c>
      <c r="B647" t="s">
        <v>3978</v>
      </c>
      <c r="C647" t="s">
        <v>3979</v>
      </c>
      <c r="D647" t="s">
        <v>3980</v>
      </c>
      <c r="E647" t="s">
        <v>3981</v>
      </c>
      <c r="F647">
        <v>2016</v>
      </c>
      <c r="G647" t="s">
        <v>977</v>
      </c>
      <c r="H647" t="s">
        <v>3982</v>
      </c>
      <c r="I647" t="s">
        <v>3983</v>
      </c>
      <c r="J647" t="s">
        <v>3984</v>
      </c>
      <c r="K647" s="4" t="str">
        <f>HYPERLINK("https://doi.org/10.3969/j.issn.2095-4344.2012.53.019","Xu (2012)")</f>
        <v>Xu (2012)</v>
      </c>
    </row>
    <row r="648" spans="1:12" x14ac:dyDescent="0.35">
      <c r="A648">
        <v>126</v>
      </c>
      <c r="B648" t="s">
        <v>3985</v>
      </c>
      <c r="C648" t="s">
        <v>3986</v>
      </c>
      <c r="D648" t="s">
        <v>3987</v>
      </c>
      <c r="E648" t="s">
        <v>3988</v>
      </c>
      <c r="F648">
        <v>2012</v>
      </c>
      <c r="G648" t="s">
        <v>977</v>
      </c>
      <c r="H648" t="s">
        <v>3989</v>
      </c>
      <c r="I648" t="s">
        <v>3990</v>
      </c>
      <c r="J648" t="s">
        <v>3991</v>
      </c>
      <c r="K648" s="4" t="str">
        <f>HYPERLINK("https://doi.org/10.2519/jospt.1994.20.5.247","Yack (1994)")</f>
        <v>Yack (1994)</v>
      </c>
    </row>
    <row r="649" spans="1:12" x14ac:dyDescent="0.35">
      <c r="A649">
        <v>173</v>
      </c>
      <c r="B649" t="s">
        <v>3992</v>
      </c>
      <c r="C649" t="s">
        <v>3993</v>
      </c>
      <c r="D649" t="s">
        <v>3994</v>
      </c>
      <c r="E649" t="s">
        <v>3995</v>
      </c>
      <c r="F649">
        <v>2008</v>
      </c>
      <c r="G649" t="s">
        <v>977</v>
      </c>
      <c r="H649" t="s">
        <v>2264</v>
      </c>
      <c r="I649" t="s">
        <v>3996</v>
      </c>
      <c r="J649" t="s">
        <v>3997</v>
      </c>
      <c r="K649" s="4" t="str">
        <f>HYPERLINK("https://doi.org/10.1007/s00590-025-04510-2","Yadav (2025)")</f>
        <v>Yadav (2025)</v>
      </c>
    </row>
    <row r="650" spans="1:12" x14ac:dyDescent="0.35">
      <c r="A650">
        <v>268</v>
      </c>
      <c r="B650" t="s">
        <v>3998</v>
      </c>
      <c r="C650" t="s">
        <v>3999</v>
      </c>
      <c r="D650" t="s">
        <v>4000</v>
      </c>
      <c r="E650" t="s">
        <v>1667</v>
      </c>
      <c r="F650">
        <v>1994</v>
      </c>
      <c r="G650" t="s">
        <v>977</v>
      </c>
      <c r="H650" t="s">
        <v>4001</v>
      </c>
      <c r="I650" t="s">
        <v>4002</v>
      </c>
      <c r="J650" t="s">
        <v>4003</v>
      </c>
      <c r="K650" s="4" t="str">
        <f>HYPERLINK("https://doi.org/10.1097/BLO.0b013e31802ba45c","Yagi (2007)")</f>
        <v>Yagi (2007)</v>
      </c>
      <c r="L650" s="1" t="s">
        <v>15</v>
      </c>
    </row>
    <row r="651" spans="1:12" x14ac:dyDescent="0.35">
      <c r="A651">
        <v>35</v>
      </c>
      <c r="B651" t="s">
        <v>4004</v>
      </c>
      <c r="C651" t="s">
        <v>4005</v>
      </c>
      <c r="D651" t="s">
        <v>4006</v>
      </c>
      <c r="E651" t="s">
        <v>4007</v>
      </c>
      <c r="F651">
        <v>2016</v>
      </c>
      <c r="G651" t="s">
        <v>977</v>
      </c>
      <c r="H651" t="s">
        <v>4008</v>
      </c>
      <c r="I651" t="s">
        <v>4009</v>
      </c>
      <c r="J651" t="s">
        <v>4010</v>
      </c>
      <c r="K651" s="4" t="str">
        <f>HYPERLINK("https://doi.org/10.23736/S0022-4707.24.16134-8","Yang (2025)")</f>
        <v>Yang (2025)</v>
      </c>
      <c r="L651" s="1" t="s">
        <v>4</v>
      </c>
    </row>
    <row r="652" spans="1:12" x14ac:dyDescent="0.35">
      <c r="A652">
        <v>72</v>
      </c>
      <c r="B652" t="s">
        <v>4011</v>
      </c>
      <c r="C652" t="s">
        <v>4012</v>
      </c>
      <c r="D652" t="s">
        <v>4013</v>
      </c>
      <c r="E652" t="s">
        <v>494</v>
      </c>
      <c r="F652">
        <v>1985</v>
      </c>
      <c r="G652" t="s">
        <v>977</v>
      </c>
      <c r="H652" t="s">
        <v>4014</v>
      </c>
      <c r="I652" t="s">
        <v>4015</v>
      </c>
      <c r="J652" t="s">
        <v>4016</v>
      </c>
      <c r="K652" s="4" t="str">
        <f>HYPERLINK("https://doi.org/10.1016/j.arthro.2005.12.017","Yasuda (2006)")</f>
        <v>Yasuda (2006)</v>
      </c>
    </row>
    <row r="653" spans="1:12" x14ac:dyDescent="0.35">
      <c r="A653">
        <v>0</v>
      </c>
      <c r="B653" t="s">
        <v>4017</v>
      </c>
      <c r="C653" t="s">
        <v>4018</v>
      </c>
      <c r="D653" t="s">
        <v>4019</v>
      </c>
      <c r="E653" t="s">
        <v>4020</v>
      </c>
      <c r="F653">
        <v>2016</v>
      </c>
      <c r="G653" t="s">
        <v>977</v>
      </c>
      <c r="H653" t="s">
        <v>488</v>
      </c>
      <c r="I653" t="s">
        <v>4021</v>
      </c>
      <c r="J653" t="s">
        <v>4022</v>
      </c>
      <c r="K653" s="4" t="str">
        <f>HYPERLINK("https://doi.org/10.1016/j.arthro.2011.08.305","Yasuda (2012)")</f>
        <v>Yasuda (2012)</v>
      </c>
      <c r="L653" s="1" t="s">
        <v>7</v>
      </c>
    </row>
    <row r="654" spans="1:12" x14ac:dyDescent="0.35">
      <c r="A654">
        <v>12</v>
      </c>
      <c r="B654" t="s">
        <v>4023</v>
      </c>
      <c r="C654" t="s">
        <v>4024</v>
      </c>
      <c r="D654" t="s">
        <v>4025</v>
      </c>
      <c r="E654" t="s">
        <v>4026</v>
      </c>
      <c r="F654">
        <v>2023</v>
      </c>
      <c r="G654" t="s">
        <v>977</v>
      </c>
      <c r="H654" t="s">
        <v>4027</v>
      </c>
      <c r="I654" t="s">
        <v>4028</v>
      </c>
      <c r="J654" t="s">
        <v>4029</v>
      </c>
      <c r="K654" s="4" t="str">
        <f>HYPERLINK("https://doi.org/10.7507/1002-1892.202402054","Yu (2024)")</f>
        <v>Yu (2024)</v>
      </c>
    </row>
    <row r="655" spans="1:12" x14ac:dyDescent="0.35">
      <c r="A655">
        <v>33</v>
      </c>
      <c r="B655" t="s">
        <v>4030</v>
      </c>
      <c r="C655" t="s">
        <v>4031</v>
      </c>
      <c r="D655" t="s">
        <v>4032</v>
      </c>
      <c r="E655" t="s">
        <v>4033</v>
      </c>
      <c r="F655">
        <v>2020</v>
      </c>
      <c r="G655" t="s">
        <v>977</v>
      </c>
      <c r="H655" t="s">
        <v>4034</v>
      </c>
      <c r="I655" t="s">
        <v>4035</v>
      </c>
      <c r="J655" t="s">
        <v>4036</v>
      </c>
      <c r="K655" s="4" t="str">
        <f>HYPERLINK("https://doi.org/10.1016/j.smhs.2025.03.002","Yue (2025)")</f>
        <v>Yue (2025)</v>
      </c>
      <c r="L655" s="1" t="s">
        <v>4</v>
      </c>
    </row>
    <row r="656" spans="1:12" x14ac:dyDescent="0.35">
      <c r="A656">
        <v>66</v>
      </c>
      <c r="B656" t="s">
        <v>4037</v>
      </c>
      <c r="C656" t="s">
        <v>4038</v>
      </c>
      <c r="D656" t="s">
        <v>4039</v>
      </c>
      <c r="E656" t="s">
        <v>4040</v>
      </c>
      <c r="F656">
        <v>2014</v>
      </c>
      <c r="G656" t="s">
        <v>977</v>
      </c>
      <c r="H656" t="s">
        <v>1499</v>
      </c>
      <c r="I656" t="s">
        <v>1500</v>
      </c>
      <c r="J656" t="s">
        <v>1501</v>
      </c>
      <c r="K656" s="4" t="str">
        <f>HYPERLINK("https://doi.org/10.1111/j.1600-0838.2007.00697.x","Zaffagnini (2008)")</f>
        <v>Zaffagnini (2008)</v>
      </c>
    </row>
    <row r="657" spans="1:12" x14ac:dyDescent="0.35">
      <c r="A657">
        <v>72</v>
      </c>
      <c r="B657" t="s">
        <v>4041</v>
      </c>
      <c r="C657" t="s">
        <v>4042</v>
      </c>
      <c r="D657" t="s">
        <v>4043</v>
      </c>
      <c r="E657" t="s">
        <v>4044</v>
      </c>
      <c r="F657">
        <v>2013</v>
      </c>
      <c r="G657" t="s">
        <v>977</v>
      </c>
      <c r="H657" t="s">
        <v>1513</v>
      </c>
      <c r="I657" t="s">
        <v>1514</v>
      </c>
      <c r="J657" t="s">
        <v>1515</v>
      </c>
      <c r="K657" s="4" t="str">
        <f>HYPERLINK("https://doi.org/10.1007/s00167-010-1225-y","Zaffagnini (2011)")</f>
        <v>Zaffagnini (2011)</v>
      </c>
      <c r="L657" s="1" t="s">
        <v>4</v>
      </c>
    </row>
    <row r="658" spans="1:12" x14ac:dyDescent="0.35">
      <c r="A658">
        <v>74</v>
      </c>
      <c r="B658" t="s">
        <v>4045</v>
      </c>
      <c r="C658" t="s">
        <v>4046</v>
      </c>
      <c r="D658" t="s">
        <v>4047</v>
      </c>
      <c r="E658" t="s">
        <v>4048</v>
      </c>
      <c r="F658">
        <v>2011</v>
      </c>
      <c r="G658" t="s">
        <v>977</v>
      </c>
      <c r="H658" t="s">
        <v>1379</v>
      </c>
      <c r="I658" t="s">
        <v>1568</v>
      </c>
      <c r="J658" t="s">
        <v>1569</v>
      </c>
      <c r="K658" s="4" t="str">
        <f>HYPERLINK("https://doi.org/10.1177/19417381231155120","Zarzycki (2024)")</f>
        <v>Zarzycki (2024)</v>
      </c>
      <c r="L658" s="1" t="s">
        <v>15</v>
      </c>
    </row>
    <row r="659" spans="1:12" x14ac:dyDescent="0.35">
      <c r="A659">
        <v>80</v>
      </c>
      <c r="B659" t="s">
        <v>4049</v>
      </c>
      <c r="C659" t="s">
        <v>4050</v>
      </c>
      <c r="D659" t="s">
        <v>4051</v>
      </c>
      <c r="E659" t="s">
        <v>4052</v>
      </c>
      <c r="F659">
        <v>2010</v>
      </c>
      <c r="G659" t="s">
        <v>977</v>
      </c>
      <c r="H659" t="s">
        <v>1499</v>
      </c>
      <c r="I659" t="s">
        <v>1602</v>
      </c>
      <c r="J659" t="s">
        <v>1603</v>
      </c>
      <c r="K659" s="4" t="str">
        <f>HYPERLINK("https://doi.org/10.55095/achot2014/004","Zeman (2014)")</f>
        <v>Zeman (2014)</v>
      </c>
      <c r="L659" s="1" t="s">
        <v>4</v>
      </c>
    </row>
    <row r="660" spans="1:12" x14ac:dyDescent="0.35">
      <c r="A660">
        <v>81</v>
      </c>
      <c r="B660" t="s">
        <v>4053</v>
      </c>
      <c r="C660" t="s">
        <v>4054</v>
      </c>
      <c r="D660" t="s">
        <v>4055</v>
      </c>
      <c r="E660" t="s">
        <v>4056</v>
      </c>
      <c r="F660">
        <v>2010</v>
      </c>
      <c r="G660" t="s">
        <v>977</v>
      </c>
      <c r="H660" t="s">
        <v>1621</v>
      </c>
      <c r="I660" t="s">
        <v>1622</v>
      </c>
      <c r="J660" t="s">
        <v>1623</v>
      </c>
      <c r="K660" s="4" t="str">
        <f>HYPERLINK("https://doi.org/10.1590/s0102-86502012000800010","Zhang (2012)")</f>
        <v>Zhang (2012)</v>
      </c>
      <c r="L660" s="1" t="s">
        <v>4</v>
      </c>
    </row>
    <row r="661" spans="1:12" x14ac:dyDescent="0.35">
      <c r="A661">
        <v>82</v>
      </c>
      <c r="B661" t="s">
        <v>4057</v>
      </c>
      <c r="C661" t="s">
        <v>4058</v>
      </c>
      <c r="D661" t="s">
        <v>4059</v>
      </c>
      <c r="E661" t="s">
        <v>4060</v>
      </c>
      <c r="F661">
        <v>2010</v>
      </c>
      <c r="G661" t="s">
        <v>977</v>
      </c>
      <c r="H661" t="s">
        <v>1614</v>
      </c>
      <c r="I661" t="s">
        <v>1615</v>
      </c>
      <c r="J661" t="s">
        <v>1616</v>
      </c>
      <c r="K661" s="4" t="str">
        <f>HYPERLINK("https://doi.org/10.1007/s00167-012-2341-7","Zhang (2014)")</f>
        <v>Zhang (2014)</v>
      </c>
      <c r="L661" s="1" t="s">
        <v>4</v>
      </c>
    </row>
    <row r="662" spans="1:12" x14ac:dyDescent="0.35">
      <c r="A662">
        <v>113</v>
      </c>
      <c r="B662" t="s">
        <v>4061</v>
      </c>
      <c r="C662" t="s">
        <v>4062</v>
      </c>
      <c r="D662" t="s">
        <v>4063</v>
      </c>
      <c r="E662" t="s">
        <v>4064</v>
      </c>
      <c r="F662">
        <v>2002</v>
      </c>
      <c r="G662" t="s">
        <v>977</v>
      </c>
      <c r="H662" t="s">
        <v>1897</v>
      </c>
      <c r="I662" t="s">
        <v>1898</v>
      </c>
      <c r="J662" t="s">
        <v>1899</v>
      </c>
      <c r="K662" s="4" t="str">
        <f>HYPERLINK("https://doi.org/10.3881/j.issn.1000-503X.2017.06.010","Zhang (2017)")</f>
        <v>Zhang (2017)</v>
      </c>
      <c r="L662" s="1" t="s">
        <v>7</v>
      </c>
    </row>
    <row r="663" spans="1:12" x14ac:dyDescent="0.35">
      <c r="A663">
        <v>118</v>
      </c>
      <c r="B663" t="s">
        <v>4065</v>
      </c>
      <c r="C663" t="s">
        <v>4066</v>
      </c>
      <c r="D663" t="s">
        <v>4067</v>
      </c>
      <c r="E663" t="s">
        <v>4068</v>
      </c>
      <c r="F663">
        <v>2001</v>
      </c>
      <c r="G663" t="s">
        <v>977</v>
      </c>
      <c r="H663" t="s">
        <v>1852</v>
      </c>
      <c r="I663" t="s">
        <v>1925</v>
      </c>
      <c r="J663" t="s">
        <v>1926</v>
      </c>
      <c r="K663" s="4" t="str">
        <f>HYPERLINK("https://doi.org/10.1016/j.arthro.2018.03.011","Zhang (2018)")</f>
        <v>Zhang (2018)</v>
      </c>
      <c r="L663" s="1" t="s">
        <v>4</v>
      </c>
    </row>
    <row r="664" spans="1:12" x14ac:dyDescent="0.35">
      <c r="A664">
        <v>126</v>
      </c>
      <c r="B664" t="s">
        <v>4069</v>
      </c>
      <c r="C664" t="s">
        <v>4070</v>
      </c>
      <c r="D664" t="s">
        <v>4071</v>
      </c>
      <c r="E664" t="s">
        <v>4072</v>
      </c>
      <c r="F664">
        <v>1999</v>
      </c>
      <c r="G664" t="s">
        <v>977</v>
      </c>
      <c r="H664" t="s">
        <v>1872</v>
      </c>
      <c r="I664" t="s">
        <v>1965</v>
      </c>
      <c r="J664" t="s">
        <v>1966</v>
      </c>
      <c r="K664" s="4" t="str">
        <f>HYPERLINK("https://doi.org/10.1177/0363546520951507","Zhang (2020)")</f>
        <v>Zhang (2020)</v>
      </c>
      <c r="L664" s="1" t="s">
        <v>4</v>
      </c>
    </row>
    <row r="665" spans="1:12" x14ac:dyDescent="0.35">
      <c r="A665">
        <v>131</v>
      </c>
      <c r="B665" t="s">
        <v>4073</v>
      </c>
      <c r="C665" t="s">
        <v>4074</v>
      </c>
      <c r="D665" t="s">
        <v>4075</v>
      </c>
      <c r="E665" t="s">
        <v>4076</v>
      </c>
      <c r="F665">
        <v>1997</v>
      </c>
      <c r="G665" t="s">
        <v>977</v>
      </c>
      <c r="H665" t="s">
        <v>1852</v>
      </c>
      <c r="I665" t="s">
        <v>1984</v>
      </c>
      <c r="J665" t="s">
        <v>1985</v>
      </c>
      <c r="K665" s="4" t="str">
        <f>HYPERLINK("https://doi.org/10.2340/16501977-2664","Zhang (2020)")</f>
        <v>Zhang (2020)</v>
      </c>
    </row>
    <row r="666" spans="1:12" x14ac:dyDescent="0.35">
      <c r="A666">
        <v>42</v>
      </c>
      <c r="B666" t="s">
        <v>4077</v>
      </c>
      <c r="C666" t="s">
        <v>4078</v>
      </c>
      <c r="D666" t="s">
        <v>4079</v>
      </c>
      <c r="E666" t="s">
        <v>4080</v>
      </c>
      <c r="F666">
        <v>2023</v>
      </c>
      <c r="G666" t="s">
        <v>977</v>
      </c>
      <c r="H666" t="s">
        <v>4081</v>
      </c>
      <c r="I666" t="s">
        <v>4082</v>
      </c>
      <c r="J666" t="s">
        <v>4083</v>
      </c>
      <c r="K666" s="4" t="str">
        <f>HYPERLINK("https://doi.org/10.1177/23259671221116340","Zhang (2022)")</f>
        <v>Zhang (2022)</v>
      </c>
    </row>
    <row r="667" spans="1:12" x14ac:dyDescent="0.35">
      <c r="A667">
        <v>207</v>
      </c>
      <c r="B667" t="s">
        <v>4084</v>
      </c>
      <c r="C667" t="s">
        <v>4085</v>
      </c>
      <c r="D667" t="s">
        <v>4086</v>
      </c>
      <c r="E667" t="s">
        <v>4087</v>
      </c>
      <c r="F667">
        <v>2013</v>
      </c>
      <c r="G667" t="s">
        <v>977</v>
      </c>
      <c r="H667" t="s">
        <v>2532</v>
      </c>
      <c r="I667" t="s">
        <v>2533</v>
      </c>
      <c r="J667" t="s">
        <v>2534</v>
      </c>
      <c r="K667" s="4" t="str">
        <f>HYPERLINK("https://doi.org/10.1016/j.eng.2024.10.018","Zhang (2025)")</f>
        <v>Zhang (2025)</v>
      </c>
    </row>
    <row r="668" spans="1:12" x14ac:dyDescent="0.35">
      <c r="A668">
        <v>307</v>
      </c>
      <c r="B668" t="s">
        <v>4088</v>
      </c>
      <c r="C668" t="s">
        <v>4089</v>
      </c>
      <c r="D668" t="s">
        <v>4090</v>
      </c>
      <c r="E668" t="s">
        <v>4091</v>
      </c>
      <c r="F668">
        <v>2000</v>
      </c>
      <c r="G668" t="s">
        <v>977</v>
      </c>
      <c r="H668" t="s">
        <v>1845</v>
      </c>
      <c r="I668" t="s">
        <v>2842</v>
      </c>
      <c r="J668" t="s">
        <v>2843</v>
      </c>
      <c r="K668" s="4" t="str">
        <f>HYPERLINK("https://doi.org/10.1016/j.knee.2005.05.001","Zhao (2006)")</f>
        <v>Zhao (2006)</v>
      </c>
      <c r="L668" s="1" t="s">
        <v>15</v>
      </c>
    </row>
    <row r="669" spans="1:12" x14ac:dyDescent="0.35">
      <c r="A669">
        <v>37</v>
      </c>
      <c r="B669" t="s">
        <v>4092</v>
      </c>
      <c r="C669" t="s">
        <v>4093</v>
      </c>
      <c r="D669" t="s">
        <v>4094</v>
      </c>
      <c r="E669" t="s">
        <v>4095</v>
      </c>
      <c r="F669">
        <v>2017</v>
      </c>
      <c r="G669" t="s">
        <v>977</v>
      </c>
      <c r="H669" t="s">
        <v>4096</v>
      </c>
      <c r="I669" t="s">
        <v>4097</v>
      </c>
      <c r="J669" t="s">
        <v>4098</v>
      </c>
      <c r="K669" s="4" t="str">
        <f>HYPERLINK("https://doi.org/10.1016/j.arthro.2007.01.022","Zhao (2007)")</f>
        <v>Zhao (2007)</v>
      </c>
    </row>
  </sheetData>
  <autoFilter ref="K1:L669" xr:uid="{0700C474-4DD7-402E-AE12-3C2B8CC53CD8}"/>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A877-5C51-4136-ADC1-FC1DF1E36B58}">
  <dimension ref="A1:J248"/>
  <sheetViews>
    <sheetView topLeftCell="C3" workbookViewId="0">
      <selection activeCell="H31" sqref="H31"/>
    </sheetView>
  </sheetViews>
  <sheetFormatPr defaultRowHeight="14.5" x14ac:dyDescent="0.35"/>
  <cols>
    <col min="1" max="1" width="13.1796875" bestFit="1" customWidth="1"/>
    <col min="2" max="2" width="8.81640625" bestFit="1" customWidth="1"/>
    <col min="3" max="3" width="220.36328125" bestFit="1" customWidth="1"/>
    <col min="4" max="5" width="24.1796875" bestFit="1" customWidth="1"/>
    <col min="6" max="6" width="6.6328125" bestFit="1" customWidth="1"/>
    <col min="7" max="7" width="24.1796875" bestFit="1" customWidth="1"/>
    <col min="8" max="8" width="16.81640625" bestFit="1" customWidth="1"/>
    <col min="9" max="10" width="24.1796875" bestFit="1" customWidth="1"/>
  </cols>
  <sheetData>
    <row r="1" spans="1:10" x14ac:dyDescent="0.35">
      <c r="A1" t="s">
        <v>35</v>
      </c>
      <c r="B1" t="s">
        <v>0</v>
      </c>
      <c r="C1" t="s">
        <v>36</v>
      </c>
      <c r="D1" t="s">
        <v>37</v>
      </c>
      <c r="E1" t="s">
        <v>38</v>
      </c>
      <c r="F1" t="s">
        <v>39</v>
      </c>
      <c r="G1" t="s">
        <v>40</v>
      </c>
      <c r="H1" t="s">
        <v>41</v>
      </c>
      <c r="I1" t="s">
        <v>42</v>
      </c>
      <c r="J1" t="s">
        <v>43</v>
      </c>
    </row>
    <row r="2" spans="1:10" x14ac:dyDescent="0.35">
      <c r="A2">
        <v>1</v>
      </c>
      <c r="B2">
        <v>41476403</v>
      </c>
      <c r="C2" t="s">
        <v>4191</v>
      </c>
      <c r="D2" t="s">
        <v>4192</v>
      </c>
      <c r="E2" t="s">
        <v>130</v>
      </c>
      <c r="F2">
        <v>2026</v>
      </c>
      <c r="G2" t="s">
        <v>4193</v>
      </c>
      <c r="H2" t="s">
        <v>1676</v>
      </c>
      <c r="I2" t="s">
        <v>4194</v>
      </c>
      <c r="J2" t="s">
        <v>4195</v>
      </c>
    </row>
    <row r="3" spans="1:10" x14ac:dyDescent="0.35">
      <c r="A3">
        <v>1</v>
      </c>
      <c r="B3">
        <v>41235442</v>
      </c>
      <c r="C3" t="s">
        <v>4766</v>
      </c>
      <c r="D3" t="s">
        <v>4767</v>
      </c>
      <c r="E3" t="s">
        <v>71</v>
      </c>
      <c r="F3">
        <v>2026</v>
      </c>
      <c r="G3" t="s">
        <v>4768</v>
      </c>
      <c r="H3" t="s">
        <v>4769</v>
      </c>
      <c r="I3" t="s">
        <v>4770</v>
      </c>
      <c r="J3" t="s">
        <v>4771</v>
      </c>
    </row>
    <row r="4" spans="1:10" x14ac:dyDescent="0.35">
      <c r="A4">
        <v>3</v>
      </c>
      <c r="B4">
        <v>41416241</v>
      </c>
      <c r="C4" t="s">
        <v>5290</v>
      </c>
      <c r="D4" t="s">
        <v>5291</v>
      </c>
      <c r="E4" t="s">
        <v>4125</v>
      </c>
      <c r="F4">
        <v>2025</v>
      </c>
      <c r="G4" t="s">
        <v>5292</v>
      </c>
      <c r="H4" t="s">
        <v>5293</v>
      </c>
      <c r="I4" t="s">
        <v>5294</v>
      </c>
      <c r="J4" t="s">
        <v>5295</v>
      </c>
    </row>
    <row r="5" spans="1:10" x14ac:dyDescent="0.35">
      <c r="A5">
        <v>0</v>
      </c>
      <c r="B5">
        <v>41451632</v>
      </c>
      <c r="C5" t="s">
        <v>4760</v>
      </c>
      <c r="D5" t="s">
        <v>4761</v>
      </c>
      <c r="E5" t="s">
        <v>71</v>
      </c>
      <c r="F5">
        <v>2025</v>
      </c>
      <c r="G5" t="s">
        <v>4762</v>
      </c>
      <c r="H5" t="s">
        <v>4763</v>
      </c>
      <c r="I5" t="s">
        <v>4764</v>
      </c>
      <c r="J5" t="s">
        <v>4765</v>
      </c>
    </row>
    <row r="6" spans="1:10" x14ac:dyDescent="0.35">
      <c r="A6">
        <v>4</v>
      </c>
      <c r="B6">
        <v>40829023</v>
      </c>
      <c r="C6" t="s">
        <v>4783</v>
      </c>
      <c r="D6" t="s">
        <v>4784</v>
      </c>
      <c r="E6" t="s">
        <v>494</v>
      </c>
      <c r="F6">
        <v>2025</v>
      </c>
      <c r="G6" t="s">
        <v>4785</v>
      </c>
      <c r="H6" t="s">
        <v>624</v>
      </c>
      <c r="I6" t="s">
        <v>4786</v>
      </c>
      <c r="J6" t="s">
        <v>4787</v>
      </c>
    </row>
    <row r="7" spans="1:10" x14ac:dyDescent="0.35">
      <c r="A7">
        <v>3</v>
      </c>
      <c r="B7">
        <v>40953143</v>
      </c>
      <c r="C7" t="s">
        <v>4777</v>
      </c>
      <c r="D7" t="s">
        <v>4778</v>
      </c>
      <c r="E7" t="s">
        <v>47</v>
      </c>
      <c r="F7">
        <v>2025</v>
      </c>
      <c r="G7" t="s">
        <v>4779</v>
      </c>
      <c r="H7" t="s">
        <v>4780</v>
      </c>
      <c r="I7" t="s">
        <v>4781</v>
      </c>
      <c r="J7" t="s">
        <v>4782</v>
      </c>
    </row>
    <row r="8" spans="1:10" x14ac:dyDescent="0.35">
      <c r="A8">
        <v>9</v>
      </c>
      <c r="B8">
        <v>39836368</v>
      </c>
      <c r="C8" t="s">
        <v>4812</v>
      </c>
      <c r="D8" t="s">
        <v>4813</v>
      </c>
      <c r="E8" t="s">
        <v>130</v>
      </c>
      <c r="F8">
        <v>2025</v>
      </c>
      <c r="G8" t="s">
        <v>4814</v>
      </c>
      <c r="H8" t="s">
        <v>4815</v>
      </c>
      <c r="I8" t="s">
        <v>4816</v>
      </c>
      <c r="J8" t="s">
        <v>4817</v>
      </c>
    </row>
    <row r="9" spans="1:10" x14ac:dyDescent="0.35">
      <c r="A9">
        <v>5</v>
      </c>
      <c r="B9">
        <v>41000449</v>
      </c>
      <c r="C9" t="s">
        <v>5296</v>
      </c>
      <c r="D9" t="s">
        <v>5297</v>
      </c>
      <c r="E9" t="s">
        <v>4125</v>
      </c>
      <c r="F9">
        <v>2025</v>
      </c>
      <c r="G9" t="s">
        <v>5298</v>
      </c>
      <c r="H9" t="s">
        <v>5299</v>
      </c>
      <c r="I9" t="s">
        <v>5300</v>
      </c>
      <c r="J9" t="s">
        <v>5301</v>
      </c>
    </row>
    <row r="10" spans="1:10" x14ac:dyDescent="0.35">
      <c r="A10">
        <v>18</v>
      </c>
      <c r="B10">
        <v>40265044</v>
      </c>
      <c r="C10" t="s">
        <v>5318</v>
      </c>
      <c r="D10" t="s">
        <v>5319</v>
      </c>
      <c r="E10" t="s">
        <v>4125</v>
      </c>
      <c r="F10">
        <v>2025</v>
      </c>
      <c r="G10" t="s">
        <v>5320</v>
      </c>
      <c r="H10" t="s">
        <v>5299</v>
      </c>
      <c r="I10" t="s">
        <v>5321</v>
      </c>
      <c r="J10" t="s">
        <v>5322</v>
      </c>
    </row>
    <row r="11" spans="1:10" x14ac:dyDescent="0.35">
      <c r="A11">
        <v>8</v>
      </c>
      <c r="B11">
        <v>40147599</v>
      </c>
      <c r="C11" t="s">
        <v>4806</v>
      </c>
      <c r="D11" t="s">
        <v>4807</v>
      </c>
      <c r="E11" t="s">
        <v>79</v>
      </c>
      <c r="F11">
        <v>2025</v>
      </c>
      <c r="G11" t="s">
        <v>4808</v>
      </c>
      <c r="H11" t="s">
        <v>4809</v>
      </c>
      <c r="I11" t="s">
        <v>4810</v>
      </c>
      <c r="J11" t="s">
        <v>4811</v>
      </c>
    </row>
    <row r="12" spans="1:10" x14ac:dyDescent="0.35">
      <c r="A12">
        <v>9</v>
      </c>
      <c r="B12">
        <v>39189111</v>
      </c>
      <c r="C12" t="s">
        <v>4655</v>
      </c>
      <c r="D12" t="s">
        <v>4656</v>
      </c>
      <c r="E12" t="s">
        <v>71</v>
      </c>
      <c r="F12">
        <v>2025</v>
      </c>
      <c r="G12" t="s">
        <v>4657</v>
      </c>
      <c r="H12" t="s">
        <v>4658</v>
      </c>
      <c r="I12" t="s">
        <v>4659</v>
      </c>
      <c r="J12" t="s">
        <v>4660</v>
      </c>
    </row>
    <row r="13" spans="1:10" x14ac:dyDescent="0.35">
      <c r="A13">
        <v>2</v>
      </c>
      <c r="B13">
        <v>40977596</v>
      </c>
      <c r="C13" t="s">
        <v>4772</v>
      </c>
      <c r="D13" t="s">
        <v>4773</v>
      </c>
      <c r="E13" t="s">
        <v>71</v>
      </c>
      <c r="F13">
        <v>2025</v>
      </c>
      <c r="G13" t="s">
        <v>4774</v>
      </c>
      <c r="H13" t="s">
        <v>3042</v>
      </c>
      <c r="I13" t="s">
        <v>4775</v>
      </c>
      <c r="J13" t="s">
        <v>4776</v>
      </c>
    </row>
    <row r="14" spans="1:10" x14ac:dyDescent="0.35">
      <c r="A14">
        <v>19</v>
      </c>
      <c r="B14">
        <v>40217688</v>
      </c>
      <c r="C14" t="s">
        <v>4219</v>
      </c>
      <c r="D14" t="s">
        <v>4220</v>
      </c>
      <c r="E14" t="s">
        <v>4221</v>
      </c>
      <c r="F14">
        <v>2025</v>
      </c>
      <c r="G14" t="s">
        <v>4222</v>
      </c>
      <c r="H14" t="s">
        <v>1676</v>
      </c>
      <c r="I14" t="s">
        <v>4223</v>
      </c>
      <c r="J14" t="s">
        <v>4224</v>
      </c>
    </row>
    <row r="15" spans="1:10" x14ac:dyDescent="0.35">
      <c r="A15">
        <v>0</v>
      </c>
      <c r="B15">
        <v>41474176</v>
      </c>
      <c r="C15" t="s">
        <v>4626</v>
      </c>
      <c r="D15" t="s">
        <v>4627</v>
      </c>
      <c r="E15" t="s">
        <v>71</v>
      </c>
      <c r="F15">
        <v>2025</v>
      </c>
      <c r="G15" t="s">
        <v>4628</v>
      </c>
      <c r="H15" t="s">
        <v>4629</v>
      </c>
      <c r="I15" t="s">
        <v>4630</v>
      </c>
      <c r="J15" t="s">
        <v>4631</v>
      </c>
    </row>
    <row r="16" spans="1:10" x14ac:dyDescent="0.35">
      <c r="A16">
        <v>16</v>
      </c>
      <c r="B16">
        <v>39019692</v>
      </c>
      <c r="C16" t="s">
        <v>4836</v>
      </c>
      <c r="D16" t="s">
        <v>4837</v>
      </c>
      <c r="E16" t="s">
        <v>565</v>
      </c>
      <c r="F16">
        <v>2025</v>
      </c>
      <c r="G16" t="s">
        <v>4838</v>
      </c>
      <c r="H16" t="s">
        <v>4839</v>
      </c>
      <c r="I16" t="s">
        <v>4840</v>
      </c>
      <c r="J16" t="s">
        <v>4841</v>
      </c>
    </row>
    <row r="17" spans="1:10" x14ac:dyDescent="0.35">
      <c r="A17">
        <v>15</v>
      </c>
      <c r="B17">
        <v>39565551</v>
      </c>
      <c r="C17" t="s">
        <v>4498</v>
      </c>
      <c r="D17" t="s">
        <v>4499</v>
      </c>
      <c r="E17" t="s">
        <v>4500</v>
      </c>
      <c r="F17">
        <v>2025</v>
      </c>
      <c r="G17" t="s">
        <v>4501</v>
      </c>
      <c r="H17" t="s">
        <v>4502</v>
      </c>
      <c r="I17" t="s">
        <v>4503</v>
      </c>
      <c r="J17" t="s">
        <v>4504</v>
      </c>
    </row>
    <row r="18" spans="1:10" x14ac:dyDescent="0.35">
      <c r="A18">
        <v>6</v>
      </c>
      <c r="B18">
        <v>40980562</v>
      </c>
      <c r="C18" t="s">
        <v>5302</v>
      </c>
      <c r="D18" t="s">
        <v>5303</v>
      </c>
      <c r="E18" t="s">
        <v>4138</v>
      </c>
      <c r="F18">
        <v>2025</v>
      </c>
      <c r="G18" t="s">
        <v>5304</v>
      </c>
      <c r="H18" t="s">
        <v>4081</v>
      </c>
      <c r="I18" t="s">
        <v>5305</v>
      </c>
      <c r="J18" t="s">
        <v>5306</v>
      </c>
    </row>
    <row r="19" spans="1:10" x14ac:dyDescent="0.35">
      <c r="A19">
        <v>11</v>
      </c>
      <c r="B19">
        <v>39811154</v>
      </c>
      <c r="C19" t="s">
        <v>4487</v>
      </c>
      <c r="D19" t="s">
        <v>4488</v>
      </c>
      <c r="E19" t="s">
        <v>4138</v>
      </c>
      <c r="F19">
        <v>2025</v>
      </c>
      <c r="G19" t="s">
        <v>4489</v>
      </c>
      <c r="H19" t="s">
        <v>729</v>
      </c>
      <c r="I19" t="s">
        <v>4490</v>
      </c>
      <c r="J19" t="s">
        <v>4491</v>
      </c>
    </row>
    <row r="20" spans="1:10" x14ac:dyDescent="0.35">
      <c r="A20">
        <v>8</v>
      </c>
      <c r="B20">
        <v>40075371</v>
      </c>
      <c r="C20" t="s">
        <v>5449</v>
      </c>
      <c r="D20" t="s">
        <v>5450</v>
      </c>
      <c r="E20" t="s">
        <v>4150</v>
      </c>
      <c r="F20">
        <v>2025</v>
      </c>
      <c r="G20" t="s">
        <v>5451</v>
      </c>
      <c r="H20" t="s">
        <v>729</v>
      </c>
      <c r="I20" t="s">
        <v>5452</v>
      </c>
      <c r="J20" t="s">
        <v>5453</v>
      </c>
    </row>
    <row r="21" spans="1:10" x14ac:dyDescent="0.35">
      <c r="A21">
        <v>29</v>
      </c>
      <c r="B21">
        <v>39126286</v>
      </c>
      <c r="C21" t="s">
        <v>4248</v>
      </c>
      <c r="D21" t="s">
        <v>4249</v>
      </c>
      <c r="E21" t="s">
        <v>71</v>
      </c>
      <c r="F21">
        <v>2025</v>
      </c>
      <c r="G21" t="s">
        <v>4250</v>
      </c>
      <c r="H21" t="s">
        <v>4251</v>
      </c>
      <c r="I21" t="s">
        <v>4252</v>
      </c>
      <c r="J21" t="s">
        <v>4253</v>
      </c>
    </row>
    <row r="22" spans="1:10" x14ac:dyDescent="0.35">
      <c r="A22">
        <v>5</v>
      </c>
      <c r="B22">
        <v>40689103</v>
      </c>
      <c r="C22" t="s">
        <v>4788</v>
      </c>
      <c r="D22" t="s">
        <v>4789</v>
      </c>
      <c r="E22" t="s">
        <v>4125</v>
      </c>
      <c r="F22">
        <v>2025</v>
      </c>
      <c r="G22" t="s">
        <v>4790</v>
      </c>
      <c r="H22" t="s">
        <v>4791</v>
      </c>
      <c r="I22" t="s">
        <v>4792</v>
      </c>
      <c r="J22" t="s">
        <v>4793</v>
      </c>
    </row>
    <row r="23" spans="1:10" x14ac:dyDescent="0.35">
      <c r="A23">
        <v>21</v>
      </c>
      <c r="B23">
        <v>40005410</v>
      </c>
      <c r="C23" t="s">
        <v>5323</v>
      </c>
      <c r="D23" t="s">
        <v>5324</v>
      </c>
      <c r="E23" t="s">
        <v>1294</v>
      </c>
      <c r="F23">
        <v>2025</v>
      </c>
      <c r="G23" t="s">
        <v>5325</v>
      </c>
      <c r="H23" t="s">
        <v>4888</v>
      </c>
      <c r="I23" t="s">
        <v>5326</v>
      </c>
      <c r="J23" t="s">
        <v>5327</v>
      </c>
    </row>
    <row r="24" spans="1:10" x14ac:dyDescent="0.35">
      <c r="A24">
        <v>12</v>
      </c>
      <c r="B24">
        <v>40737888</v>
      </c>
      <c r="C24" t="s">
        <v>4208</v>
      </c>
      <c r="D24" t="s">
        <v>4209</v>
      </c>
      <c r="E24" t="s">
        <v>528</v>
      </c>
      <c r="F24">
        <v>2025</v>
      </c>
      <c r="G24" t="s">
        <v>4210</v>
      </c>
      <c r="H24" t="s">
        <v>4211</v>
      </c>
      <c r="I24" t="s">
        <v>4212</v>
      </c>
      <c r="J24" t="s">
        <v>4213</v>
      </c>
    </row>
    <row r="25" spans="1:10" x14ac:dyDescent="0.35">
      <c r="A25">
        <v>13</v>
      </c>
      <c r="B25">
        <v>40734172</v>
      </c>
      <c r="C25" t="s">
        <v>5312</v>
      </c>
      <c r="D25" t="s">
        <v>5313</v>
      </c>
      <c r="E25" t="s">
        <v>4150</v>
      </c>
      <c r="F25">
        <v>2025</v>
      </c>
      <c r="G25" t="s">
        <v>5314</v>
      </c>
      <c r="H25" t="s">
        <v>5315</v>
      </c>
      <c r="I25" t="s">
        <v>5316</v>
      </c>
      <c r="J25" t="s">
        <v>5317</v>
      </c>
    </row>
    <row r="26" spans="1:10" x14ac:dyDescent="0.35">
      <c r="A26">
        <v>0</v>
      </c>
      <c r="B26">
        <v>41503224</v>
      </c>
      <c r="C26" t="s">
        <v>4184</v>
      </c>
      <c r="D26" t="s">
        <v>4185</v>
      </c>
      <c r="E26" t="s">
        <v>4186</v>
      </c>
      <c r="F26">
        <v>2025</v>
      </c>
      <c r="G26" t="s">
        <v>4187</v>
      </c>
      <c r="H26" t="s">
        <v>4188</v>
      </c>
      <c r="I26" t="s">
        <v>4189</v>
      </c>
      <c r="J26" t="s">
        <v>4190</v>
      </c>
    </row>
    <row r="27" spans="1:10" x14ac:dyDescent="0.35">
      <c r="A27">
        <v>7</v>
      </c>
      <c r="B27">
        <v>39276949</v>
      </c>
      <c r="C27" t="s">
        <v>4644</v>
      </c>
      <c r="D27" t="s">
        <v>4645</v>
      </c>
      <c r="E27" t="s">
        <v>79</v>
      </c>
      <c r="F27">
        <v>2025</v>
      </c>
      <c r="G27" t="s">
        <v>4646</v>
      </c>
      <c r="H27" t="s">
        <v>4647</v>
      </c>
      <c r="I27" t="s">
        <v>4648</v>
      </c>
      <c r="J27" t="s">
        <v>4649</v>
      </c>
    </row>
    <row r="28" spans="1:10" x14ac:dyDescent="0.35">
      <c r="A28">
        <v>8</v>
      </c>
      <c r="B28">
        <v>39233192</v>
      </c>
      <c r="C28" t="s">
        <v>4650</v>
      </c>
      <c r="D28" t="s">
        <v>4651</v>
      </c>
      <c r="E28" t="s">
        <v>79</v>
      </c>
      <c r="F28">
        <v>2025</v>
      </c>
      <c r="G28" t="s">
        <v>4652</v>
      </c>
      <c r="H28" t="s">
        <v>4647</v>
      </c>
      <c r="I28" t="s">
        <v>4653</v>
      </c>
      <c r="J28" t="s">
        <v>4654</v>
      </c>
    </row>
    <row r="29" spans="1:10" x14ac:dyDescent="0.35">
      <c r="A29">
        <v>8</v>
      </c>
      <c r="B29">
        <v>40975595</v>
      </c>
      <c r="C29" t="s">
        <v>5307</v>
      </c>
      <c r="D29" t="s">
        <v>5308</v>
      </c>
      <c r="E29" t="s">
        <v>79</v>
      </c>
      <c r="F29">
        <v>2025</v>
      </c>
      <c r="G29" t="s">
        <v>5309</v>
      </c>
      <c r="H29" t="s">
        <v>4664</v>
      </c>
      <c r="I29" t="s">
        <v>5310</v>
      </c>
      <c r="J29" t="s">
        <v>5311</v>
      </c>
    </row>
    <row r="30" spans="1:10" x14ac:dyDescent="0.35">
      <c r="A30">
        <v>16</v>
      </c>
      <c r="B30">
        <v>40544926</v>
      </c>
      <c r="C30" t="s">
        <v>4214</v>
      </c>
      <c r="D30" t="s">
        <v>4215</v>
      </c>
      <c r="E30" t="s">
        <v>79</v>
      </c>
      <c r="F30">
        <v>2025</v>
      </c>
      <c r="G30" t="s">
        <v>4216</v>
      </c>
      <c r="H30" t="s">
        <v>2949</v>
      </c>
      <c r="I30" t="s">
        <v>4217</v>
      </c>
      <c r="J30" t="s">
        <v>4218</v>
      </c>
    </row>
    <row r="31" spans="1:10" x14ac:dyDescent="0.35">
      <c r="A31">
        <v>11</v>
      </c>
      <c r="B31">
        <v>39762838</v>
      </c>
      <c r="C31" t="s">
        <v>4099</v>
      </c>
      <c r="D31" t="s">
        <v>4100</v>
      </c>
      <c r="E31" t="s">
        <v>379</v>
      </c>
      <c r="F31">
        <v>2025</v>
      </c>
      <c r="G31" t="s">
        <v>4101</v>
      </c>
      <c r="H31" t="s">
        <v>4102</v>
      </c>
      <c r="I31" t="s">
        <v>4103</v>
      </c>
      <c r="J31" t="s">
        <v>4104</v>
      </c>
    </row>
    <row r="32" spans="1:10" x14ac:dyDescent="0.35">
      <c r="A32">
        <v>25</v>
      </c>
      <c r="B32">
        <v>39666599</v>
      </c>
      <c r="C32" t="s">
        <v>4225</v>
      </c>
      <c r="D32" t="s">
        <v>4226</v>
      </c>
      <c r="E32" t="s">
        <v>71</v>
      </c>
      <c r="F32">
        <v>2025</v>
      </c>
      <c r="G32" t="s">
        <v>4227</v>
      </c>
      <c r="H32" t="s">
        <v>4228</v>
      </c>
      <c r="I32" t="s">
        <v>4229</v>
      </c>
      <c r="J32" t="s">
        <v>4230</v>
      </c>
    </row>
    <row r="33" spans="1:10" x14ac:dyDescent="0.35">
      <c r="A33">
        <v>12</v>
      </c>
      <c r="B33">
        <v>39754419</v>
      </c>
      <c r="C33" t="s">
        <v>4105</v>
      </c>
      <c r="D33" t="s">
        <v>4106</v>
      </c>
      <c r="E33" t="s">
        <v>130</v>
      </c>
      <c r="F33">
        <v>2025</v>
      </c>
      <c r="G33" t="s">
        <v>4107</v>
      </c>
      <c r="H33" t="s">
        <v>4108</v>
      </c>
      <c r="I33" t="s">
        <v>4109</v>
      </c>
      <c r="J33" t="s">
        <v>4110</v>
      </c>
    </row>
    <row r="34" spans="1:10" x14ac:dyDescent="0.35">
      <c r="A34">
        <v>7</v>
      </c>
      <c r="B34">
        <v>40980559</v>
      </c>
      <c r="C34" t="s">
        <v>4196</v>
      </c>
      <c r="D34" t="s">
        <v>4197</v>
      </c>
      <c r="E34" t="s">
        <v>4138</v>
      </c>
      <c r="F34">
        <v>2025</v>
      </c>
      <c r="G34" t="s">
        <v>4198</v>
      </c>
      <c r="H34" t="s">
        <v>4199</v>
      </c>
      <c r="I34" t="s">
        <v>4200</v>
      </c>
      <c r="J34" t="s">
        <v>4201</v>
      </c>
    </row>
    <row r="35" spans="1:10" x14ac:dyDescent="0.35">
      <c r="A35">
        <v>6</v>
      </c>
      <c r="B35">
        <v>40679231</v>
      </c>
      <c r="C35" t="s">
        <v>4794</v>
      </c>
      <c r="D35" t="s">
        <v>4795</v>
      </c>
      <c r="E35" t="s">
        <v>71</v>
      </c>
      <c r="F35">
        <v>2025</v>
      </c>
      <c r="G35" t="s">
        <v>4796</v>
      </c>
      <c r="H35" t="s">
        <v>4797</v>
      </c>
      <c r="I35" t="s">
        <v>4798</v>
      </c>
      <c r="J35" t="s">
        <v>4799</v>
      </c>
    </row>
    <row r="36" spans="1:10" x14ac:dyDescent="0.35">
      <c r="A36">
        <v>0</v>
      </c>
      <c r="B36">
        <v>41583804</v>
      </c>
      <c r="C36" t="s">
        <v>4474</v>
      </c>
      <c r="D36" t="s">
        <v>4475</v>
      </c>
      <c r="E36" t="s">
        <v>4292</v>
      </c>
      <c r="F36">
        <v>2025</v>
      </c>
      <c r="G36" t="s">
        <v>4476</v>
      </c>
      <c r="H36" t="s">
        <v>4477</v>
      </c>
      <c r="I36" t="s">
        <v>4478</v>
      </c>
      <c r="J36" t="s">
        <v>4479</v>
      </c>
    </row>
    <row r="37" spans="1:10" x14ac:dyDescent="0.35">
      <c r="A37">
        <v>9</v>
      </c>
      <c r="B37">
        <v>40051093</v>
      </c>
      <c r="C37" t="s">
        <v>4480</v>
      </c>
      <c r="D37" t="s">
        <v>4481</v>
      </c>
      <c r="E37" t="s">
        <v>4482</v>
      </c>
      <c r="F37">
        <v>2025</v>
      </c>
      <c r="G37" t="s">
        <v>4483</v>
      </c>
      <c r="H37" t="s">
        <v>4484</v>
      </c>
      <c r="I37" t="s">
        <v>4485</v>
      </c>
      <c r="J37" t="s">
        <v>4486</v>
      </c>
    </row>
    <row r="38" spans="1:10" x14ac:dyDescent="0.35">
      <c r="A38">
        <v>11</v>
      </c>
      <c r="B38">
        <v>40766809</v>
      </c>
      <c r="C38" t="s">
        <v>4202</v>
      </c>
      <c r="D38" t="s">
        <v>4203</v>
      </c>
      <c r="E38" t="s">
        <v>4125</v>
      </c>
      <c r="F38">
        <v>2025</v>
      </c>
      <c r="G38" t="s">
        <v>4204</v>
      </c>
      <c r="H38" t="s">
        <v>4205</v>
      </c>
      <c r="I38" t="s">
        <v>4206</v>
      </c>
      <c r="J38" t="s">
        <v>4207</v>
      </c>
    </row>
    <row r="39" spans="1:10" x14ac:dyDescent="0.35">
      <c r="A39">
        <v>16</v>
      </c>
      <c r="B39">
        <v>39474850</v>
      </c>
      <c r="C39" t="s">
        <v>4505</v>
      </c>
      <c r="D39" t="s">
        <v>4506</v>
      </c>
      <c r="E39" t="s">
        <v>71</v>
      </c>
      <c r="F39">
        <v>2025</v>
      </c>
      <c r="G39" t="s">
        <v>4507</v>
      </c>
      <c r="H39" t="s">
        <v>4508</v>
      </c>
      <c r="I39" t="s">
        <v>4509</v>
      </c>
      <c r="J39" t="s">
        <v>4510</v>
      </c>
    </row>
    <row r="40" spans="1:10" x14ac:dyDescent="0.35">
      <c r="A40">
        <v>20</v>
      </c>
      <c r="B40">
        <v>38551115</v>
      </c>
      <c r="C40" t="s">
        <v>4849</v>
      </c>
      <c r="D40" t="s">
        <v>4850</v>
      </c>
      <c r="E40" t="s">
        <v>130</v>
      </c>
      <c r="F40">
        <v>2024</v>
      </c>
      <c r="G40" t="s">
        <v>4851</v>
      </c>
      <c r="H40" t="s">
        <v>4852</v>
      </c>
      <c r="I40" t="s">
        <v>4853</v>
      </c>
      <c r="J40" t="s">
        <v>4854</v>
      </c>
    </row>
    <row r="41" spans="1:10" x14ac:dyDescent="0.35">
      <c r="A41">
        <v>37</v>
      </c>
      <c r="B41">
        <v>38417640</v>
      </c>
      <c r="C41" t="s">
        <v>4254</v>
      </c>
      <c r="D41" t="s">
        <v>4255</v>
      </c>
      <c r="E41" t="s">
        <v>79</v>
      </c>
      <c r="F41">
        <v>2024</v>
      </c>
      <c r="G41" t="s">
        <v>4256</v>
      </c>
      <c r="H41" t="s">
        <v>4257</v>
      </c>
      <c r="I41" t="s">
        <v>4258</v>
      </c>
      <c r="J41" t="s">
        <v>4259</v>
      </c>
    </row>
    <row r="42" spans="1:10" x14ac:dyDescent="0.35">
      <c r="A42">
        <v>22</v>
      </c>
      <c r="B42">
        <v>38244487</v>
      </c>
      <c r="C42" t="s">
        <v>4511</v>
      </c>
      <c r="D42" t="s">
        <v>4512</v>
      </c>
      <c r="E42" t="s">
        <v>4513</v>
      </c>
      <c r="F42">
        <v>2024</v>
      </c>
      <c r="G42" t="s">
        <v>4514</v>
      </c>
      <c r="H42" t="s">
        <v>4515</v>
      </c>
      <c r="I42" t="s">
        <v>4516</v>
      </c>
      <c r="J42" t="s">
        <v>4517</v>
      </c>
    </row>
    <row r="43" spans="1:10" x14ac:dyDescent="0.35">
      <c r="A43">
        <v>26</v>
      </c>
      <c r="B43">
        <v>39650719</v>
      </c>
      <c r="C43" t="s">
        <v>4231</v>
      </c>
      <c r="D43" t="s">
        <v>4232</v>
      </c>
      <c r="E43" t="s">
        <v>4233</v>
      </c>
      <c r="F43">
        <v>2024</v>
      </c>
      <c r="G43" t="s">
        <v>4234</v>
      </c>
      <c r="H43" t="s">
        <v>4235</v>
      </c>
      <c r="I43" t="s">
        <v>4236</v>
      </c>
      <c r="J43" t="s">
        <v>4237</v>
      </c>
    </row>
    <row r="44" spans="1:10" x14ac:dyDescent="0.35">
      <c r="A44">
        <v>19</v>
      </c>
      <c r="B44">
        <v>38574182</v>
      </c>
      <c r="C44" t="s">
        <v>4842</v>
      </c>
      <c r="D44" t="s">
        <v>4843</v>
      </c>
      <c r="E44" t="s">
        <v>4844</v>
      </c>
      <c r="F44">
        <v>2024</v>
      </c>
      <c r="G44" t="s">
        <v>4845</v>
      </c>
      <c r="H44" t="s">
        <v>4846</v>
      </c>
      <c r="I44" t="s">
        <v>4847</v>
      </c>
      <c r="J44" t="s">
        <v>4848</v>
      </c>
    </row>
    <row r="45" spans="1:10" x14ac:dyDescent="0.35">
      <c r="A45">
        <v>32</v>
      </c>
      <c r="B45">
        <v>38903025</v>
      </c>
      <c r="C45" t="s">
        <v>5328</v>
      </c>
      <c r="D45" t="s">
        <v>5329</v>
      </c>
      <c r="E45" t="s">
        <v>5330</v>
      </c>
      <c r="F45">
        <v>2024</v>
      </c>
      <c r="G45" t="s">
        <v>5331</v>
      </c>
      <c r="H45" t="s">
        <v>5332</v>
      </c>
      <c r="I45" t="s">
        <v>5333</v>
      </c>
      <c r="J45" t="s">
        <v>5334</v>
      </c>
    </row>
    <row r="46" spans="1:10" x14ac:dyDescent="0.35">
      <c r="A46">
        <v>36</v>
      </c>
      <c r="B46">
        <v>38421970</v>
      </c>
      <c r="C46" t="s">
        <v>5341</v>
      </c>
      <c r="D46" t="s">
        <v>5342</v>
      </c>
      <c r="E46" t="s">
        <v>4312</v>
      </c>
      <c r="F46">
        <v>2024</v>
      </c>
      <c r="G46" t="s">
        <v>5343</v>
      </c>
      <c r="H46" t="s">
        <v>624</v>
      </c>
      <c r="I46" t="s">
        <v>5344</v>
      </c>
      <c r="J46" t="s">
        <v>5345</v>
      </c>
    </row>
    <row r="47" spans="1:10" x14ac:dyDescent="0.35">
      <c r="A47">
        <v>18</v>
      </c>
      <c r="B47">
        <v>38577065</v>
      </c>
      <c r="C47" t="s">
        <v>4123</v>
      </c>
      <c r="D47" t="s">
        <v>4124</v>
      </c>
      <c r="E47" t="s">
        <v>4125</v>
      </c>
      <c r="F47">
        <v>2024</v>
      </c>
      <c r="G47" t="s">
        <v>4126</v>
      </c>
      <c r="H47" t="s">
        <v>4127</v>
      </c>
      <c r="I47" t="s">
        <v>4128</v>
      </c>
      <c r="J47" t="s">
        <v>4129</v>
      </c>
    </row>
    <row r="48" spans="1:10" x14ac:dyDescent="0.35">
      <c r="A48">
        <v>6</v>
      </c>
      <c r="B48">
        <v>39539337</v>
      </c>
      <c r="C48" t="s">
        <v>4638</v>
      </c>
      <c r="D48" t="s">
        <v>4639</v>
      </c>
      <c r="E48" t="s">
        <v>4640</v>
      </c>
      <c r="F48">
        <v>2024</v>
      </c>
      <c r="G48" t="s">
        <v>4641</v>
      </c>
      <c r="H48" t="s">
        <v>4127</v>
      </c>
      <c r="I48" t="s">
        <v>4642</v>
      </c>
      <c r="J48" t="s">
        <v>4643</v>
      </c>
    </row>
    <row r="49" spans="1:10" x14ac:dyDescent="0.35">
      <c r="A49">
        <v>7</v>
      </c>
      <c r="B49">
        <v>40297074</v>
      </c>
      <c r="C49" t="s">
        <v>4800</v>
      </c>
      <c r="D49" t="s">
        <v>4801</v>
      </c>
      <c r="E49" t="s">
        <v>4292</v>
      </c>
      <c r="F49">
        <v>2024</v>
      </c>
      <c r="G49" t="s">
        <v>4802</v>
      </c>
      <c r="H49" t="s">
        <v>4803</v>
      </c>
      <c r="I49" t="s">
        <v>4804</v>
      </c>
      <c r="J49" t="s">
        <v>4805</v>
      </c>
    </row>
    <row r="50" spans="1:10" x14ac:dyDescent="0.35">
      <c r="A50">
        <v>27</v>
      </c>
      <c r="B50">
        <v>39609872</v>
      </c>
      <c r="C50" t="s">
        <v>4238</v>
      </c>
      <c r="D50" t="s">
        <v>4239</v>
      </c>
      <c r="E50" t="s">
        <v>4150</v>
      </c>
      <c r="F50">
        <v>2024</v>
      </c>
      <c r="G50" t="s">
        <v>4240</v>
      </c>
      <c r="H50" t="s">
        <v>3778</v>
      </c>
      <c r="I50" t="s">
        <v>4241</v>
      </c>
      <c r="J50" t="s">
        <v>4242</v>
      </c>
    </row>
    <row r="51" spans="1:10" x14ac:dyDescent="0.35">
      <c r="A51">
        <v>14</v>
      </c>
      <c r="B51">
        <v>39212690</v>
      </c>
      <c r="C51" t="s">
        <v>4111</v>
      </c>
      <c r="D51" t="s">
        <v>4112</v>
      </c>
      <c r="E51" t="s">
        <v>1399</v>
      </c>
      <c r="F51">
        <v>2024</v>
      </c>
      <c r="G51" t="s">
        <v>4113</v>
      </c>
      <c r="H51" t="s">
        <v>4114</v>
      </c>
      <c r="I51" t="s">
        <v>4115</v>
      </c>
      <c r="J51" t="s">
        <v>4116</v>
      </c>
    </row>
    <row r="52" spans="1:10" x14ac:dyDescent="0.35">
      <c r="A52">
        <v>47</v>
      </c>
      <c r="B52">
        <v>37451340</v>
      </c>
      <c r="C52" t="s">
        <v>4284</v>
      </c>
      <c r="D52" t="s">
        <v>4285</v>
      </c>
      <c r="E52" t="s">
        <v>565</v>
      </c>
      <c r="F52">
        <v>2024</v>
      </c>
      <c r="G52" t="s">
        <v>4286</v>
      </c>
      <c r="H52" t="s">
        <v>4287</v>
      </c>
      <c r="I52" t="s">
        <v>4288</v>
      </c>
      <c r="J52" t="s">
        <v>4289</v>
      </c>
    </row>
    <row r="53" spans="1:10" x14ac:dyDescent="0.35">
      <c r="A53">
        <v>14</v>
      </c>
      <c r="B53">
        <v>39678440</v>
      </c>
      <c r="C53" t="s">
        <v>4492</v>
      </c>
      <c r="D53" t="s">
        <v>4493</v>
      </c>
      <c r="E53" t="s">
        <v>4138</v>
      </c>
      <c r="F53">
        <v>2024</v>
      </c>
      <c r="G53" t="s">
        <v>4494</v>
      </c>
      <c r="H53" t="s">
        <v>4495</v>
      </c>
      <c r="I53" t="s">
        <v>4496</v>
      </c>
      <c r="J53" t="s">
        <v>4497</v>
      </c>
    </row>
    <row r="54" spans="1:10" x14ac:dyDescent="0.35">
      <c r="A54">
        <v>22</v>
      </c>
      <c r="B54">
        <v>38269417</v>
      </c>
      <c r="C54" t="s">
        <v>4862</v>
      </c>
      <c r="D54" t="s">
        <v>4863</v>
      </c>
      <c r="E54" t="s">
        <v>130</v>
      </c>
      <c r="F54">
        <v>2024</v>
      </c>
      <c r="G54" t="s">
        <v>4864</v>
      </c>
      <c r="H54" t="s">
        <v>4865</v>
      </c>
      <c r="I54" t="s">
        <v>4866</v>
      </c>
      <c r="J54" t="s">
        <v>4867</v>
      </c>
    </row>
    <row r="55" spans="1:10" x14ac:dyDescent="0.35">
      <c r="A55">
        <v>5</v>
      </c>
      <c r="B55">
        <v>39851027</v>
      </c>
      <c r="C55" t="s">
        <v>4632</v>
      </c>
      <c r="D55" t="s">
        <v>4633</v>
      </c>
      <c r="E55" t="s">
        <v>4020</v>
      </c>
      <c r="F55">
        <v>2024</v>
      </c>
      <c r="G55" t="s">
        <v>4634</v>
      </c>
      <c r="H55" t="s">
        <v>4635</v>
      </c>
      <c r="I55" t="s">
        <v>4636</v>
      </c>
      <c r="J55" t="s">
        <v>4637</v>
      </c>
    </row>
    <row r="56" spans="1:10" x14ac:dyDescent="0.35">
      <c r="A56">
        <v>10</v>
      </c>
      <c r="B56">
        <v>39768969</v>
      </c>
      <c r="C56" t="s">
        <v>4818</v>
      </c>
      <c r="D56" t="s">
        <v>4819</v>
      </c>
      <c r="E56" t="s">
        <v>1294</v>
      </c>
      <c r="F56">
        <v>2024</v>
      </c>
      <c r="G56" t="s">
        <v>4820</v>
      </c>
      <c r="H56" t="s">
        <v>4821</v>
      </c>
      <c r="I56" t="s">
        <v>4822</v>
      </c>
      <c r="J56" t="s">
        <v>4823</v>
      </c>
    </row>
    <row r="57" spans="1:10" x14ac:dyDescent="0.35">
      <c r="A57">
        <v>33</v>
      </c>
      <c r="B57">
        <v>38755499</v>
      </c>
      <c r="C57" t="s">
        <v>5335</v>
      </c>
      <c r="D57" t="s">
        <v>5336</v>
      </c>
      <c r="E57" t="s">
        <v>1399</v>
      </c>
      <c r="F57">
        <v>2024</v>
      </c>
      <c r="G57" t="s">
        <v>5337</v>
      </c>
      <c r="H57" t="s">
        <v>5338</v>
      </c>
      <c r="I57" t="s">
        <v>5339</v>
      </c>
      <c r="J57" t="s">
        <v>5340</v>
      </c>
    </row>
    <row r="58" spans="1:10" x14ac:dyDescent="0.35">
      <c r="A58">
        <v>17</v>
      </c>
      <c r="B58">
        <v>38587546</v>
      </c>
      <c r="C58" t="s">
        <v>4117</v>
      </c>
      <c r="D58" t="s">
        <v>4118</v>
      </c>
      <c r="E58" t="s">
        <v>580</v>
      </c>
      <c r="F58">
        <v>2024</v>
      </c>
      <c r="G58" t="s">
        <v>4119</v>
      </c>
      <c r="H58" t="s">
        <v>4120</v>
      </c>
      <c r="I58" t="s">
        <v>4121</v>
      </c>
      <c r="J58" t="s">
        <v>4122</v>
      </c>
    </row>
    <row r="59" spans="1:10" x14ac:dyDescent="0.35">
      <c r="A59">
        <v>40</v>
      </c>
      <c r="B59">
        <v>37898307</v>
      </c>
      <c r="C59" t="s">
        <v>5346</v>
      </c>
      <c r="D59" t="s">
        <v>5347</v>
      </c>
      <c r="E59" t="s">
        <v>79</v>
      </c>
      <c r="F59">
        <v>2024</v>
      </c>
      <c r="G59" t="s">
        <v>5348</v>
      </c>
      <c r="H59" t="s">
        <v>5349</v>
      </c>
      <c r="I59" t="s">
        <v>5350</v>
      </c>
      <c r="J59" t="s">
        <v>5351</v>
      </c>
    </row>
    <row r="60" spans="1:10" x14ac:dyDescent="0.35">
      <c r="A60">
        <v>15</v>
      </c>
      <c r="B60">
        <v>39043018</v>
      </c>
      <c r="C60" t="s">
        <v>4830</v>
      </c>
      <c r="D60" t="s">
        <v>4831</v>
      </c>
      <c r="E60" t="s">
        <v>528</v>
      </c>
      <c r="F60">
        <v>2024</v>
      </c>
      <c r="G60" t="s">
        <v>4832</v>
      </c>
      <c r="H60" t="s">
        <v>4833</v>
      </c>
      <c r="I60" t="s">
        <v>4834</v>
      </c>
      <c r="J60" t="s">
        <v>4835</v>
      </c>
    </row>
    <row r="61" spans="1:10" x14ac:dyDescent="0.35">
      <c r="A61">
        <v>38</v>
      </c>
      <c r="B61">
        <v>38282789</v>
      </c>
      <c r="C61" t="s">
        <v>4260</v>
      </c>
      <c r="D61" t="s">
        <v>4261</v>
      </c>
      <c r="E61" t="s">
        <v>4138</v>
      </c>
      <c r="F61">
        <v>2024</v>
      </c>
      <c r="G61" t="s">
        <v>4262</v>
      </c>
      <c r="H61" t="s">
        <v>4263</v>
      </c>
      <c r="I61" t="s">
        <v>4264</v>
      </c>
      <c r="J61" t="s">
        <v>4265</v>
      </c>
    </row>
    <row r="62" spans="1:10" x14ac:dyDescent="0.35">
      <c r="A62">
        <v>11</v>
      </c>
      <c r="B62">
        <v>38734309</v>
      </c>
      <c r="C62" t="s">
        <v>4661</v>
      </c>
      <c r="D62" t="s">
        <v>4662</v>
      </c>
      <c r="E62" t="s">
        <v>342</v>
      </c>
      <c r="F62">
        <v>2024</v>
      </c>
      <c r="G62" t="s">
        <v>4663</v>
      </c>
      <c r="H62" t="s">
        <v>4664</v>
      </c>
      <c r="I62" t="s">
        <v>4665</v>
      </c>
      <c r="J62" t="s">
        <v>4666</v>
      </c>
    </row>
    <row r="63" spans="1:10" x14ac:dyDescent="0.35">
      <c r="A63">
        <v>27</v>
      </c>
      <c r="B63">
        <v>36960920</v>
      </c>
      <c r="C63" t="s">
        <v>4524</v>
      </c>
      <c r="D63" t="s">
        <v>4525</v>
      </c>
      <c r="E63" t="s">
        <v>130</v>
      </c>
      <c r="F63">
        <v>2024</v>
      </c>
      <c r="G63" t="s">
        <v>4526</v>
      </c>
      <c r="H63" t="s">
        <v>4527</v>
      </c>
      <c r="I63" t="s">
        <v>4528</v>
      </c>
      <c r="J63" t="s">
        <v>4529</v>
      </c>
    </row>
    <row r="64" spans="1:10" x14ac:dyDescent="0.35">
      <c r="A64">
        <v>42</v>
      </c>
      <c r="B64">
        <v>37644333</v>
      </c>
      <c r="C64" t="s">
        <v>4272</v>
      </c>
      <c r="D64" t="s">
        <v>4273</v>
      </c>
      <c r="E64" t="s">
        <v>1399</v>
      </c>
      <c r="F64">
        <v>2024</v>
      </c>
      <c r="G64" t="s">
        <v>4274</v>
      </c>
      <c r="H64" t="s">
        <v>4275</v>
      </c>
      <c r="I64" t="s">
        <v>4276</v>
      </c>
      <c r="J64" t="s">
        <v>4277</v>
      </c>
    </row>
    <row r="65" spans="1:10" x14ac:dyDescent="0.35">
      <c r="A65">
        <v>13</v>
      </c>
      <c r="B65">
        <v>39694948</v>
      </c>
      <c r="C65" t="s">
        <v>4824</v>
      </c>
      <c r="D65" t="s">
        <v>4825</v>
      </c>
      <c r="E65" t="s">
        <v>4826</v>
      </c>
      <c r="F65">
        <v>2024</v>
      </c>
      <c r="G65" t="s">
        <v>4827</v>
      </c>
      <c r="H65" t="s">
        <v>453</v>
      </c>
      <c r="I65" t="s">
        <v>4828</v>
      </c>
      <c r="J65" t="s">
        <v>4829</v>
      </c>
    </row>
    <row r="66" spans="1:10" x14ac:dyDescent="0.35">
      <c r="A66">
        <v>28</v>
      </c>
      <c r="B66">
        <v>39523327</v>
      </c>
      <c r="C66" t="s">
        <v>4243</v>
      </c>
      <c r="D66" t="s">
        <v>4244</v>
      </c>
      <c r="E66" t="s">
        <v>4150</v>
      </c>
      <c r="F66">
        <v>2024</v>
      </c>
      <c r="G66" t="s">
        <v>4245</v>
      </c>
      <c r="H66" t="s">
        <v>603</v>
      </c>
      <c r="I66" t="s">
        <v>4246</v>
      </c>
      <c r="J66" t="s">
        <v>4247</v>
      </c>
    </row>
    <row r="67" spans="1:10" x14ac:dyDescent="0.35">
      <c r="A67">
        <v>25</v>
      </c>
      <c r="B67">
        <v>37296390</v>
      </c>
      <c r="C67" t="s">
        <v>4879</v>
      </c>
      <c r="D67" t="s">
        <v>4880</v>
      </c>
      <c r="E67" t="s">
        <v>379</v>
      </c>
      <c r="F67">
        <v>2023</v>
      </c>
      <c r="G67" t="s">
        <v>4881</v>
      </c>
      <c r="H67" t="s">
        <v>4882</v>
      </c>
      <c r="I67" t="s">
        <v>4883</v>
      </c>
      <c r="J67" t="s">
        <v>4884</v>
      </c>
    </row>
    <row r="68" spans="1:10" x14ac:dyDescent="0.35">
      <c r="A68">
        <v>55</v>
      </c>
      <c r="B68">
        <v>36462633</v>
      </c>
      <c r="C68" t="s">
        <v>4302</v>
      </c>
      <c r="D68" t="s">
        <v>4303</v>
      </c>
      <c r="E68" t="s">
        <v>565</v>
      </c>
      <c r="F68">
        <v>2023</v>
      </c>
      <c r="G68" t="s">
        <v>4304</v>
      </c>
      <c r="H68" t="s">
        <v>4305</v>
      </c>
      <c r="I68" t="s">
        <v>4306</v>
      </c>
      <c r="J68" t="s">
        <v>4307</v>
      </c>
    </row>
    <row r="69" spans="1:10" x14ac:dyDescent="0.35">
      <c r="A69">
        <v>43</v>
      </c>
      <c r="B69">
        <v>37568165</v>
      </c>
      <c r="C69" t="s">
        <v>5352</v>
      </c>
      <c r="D69" t="s">
        <v>4149</v>
      </c>
      <c r="E69" t="s">
        <v>4150</v>
      </c>
      <c r="F69">
        <v>2023</v>
      </c>
      <c r="G69" t="s">
        <v>5353</v>
      </c>
      <c r="H69" t="s">
        <v>3778</v>
      </c>
      <c r="I69" t="s">
        <v>5354</v>
      </c>
      <c r="J69" t="s">
        <v>5355</v>
      </c>
    </row>
    <row r="70" spans="1:10" x14ac:dyDescent="0.35">
      <c r="A70">
        <v>23</v>
      </c>
      <c r="B70">
        <v>38145223</v>
      </c>
      <c r="C70" t="s">
        <v>4518</v>
      </c>
      <c r="D70" t="s">
        <v>4519</v>
      </c>
      <c r="E70" t="s">
        <v>4138</v>
      </c>
      <c r="F70">
        <v>2023</v>
      </c>
      <c r="G70" t="s">
        <v>4520</v>
      </c>
      <c r="H70" t="s">
        <v>4521</v>
      </c>
      <c r="I70" t="s">
        <v>4522</v>
      </c>
      <c r="J70" t="s">
        <v>4523</v>
      </c>
    </row>
    <row r="71" spans="1:10" x14ac:dyDescent="0.35">
      <c r="A71">
        <v>23</v>
      </c>
      <c r="B71">
        <v>37560145</v>
      </c>
      <c r="C71" t="s">
        <v>4868</v>
      </c>
      <c r="D71" t="s">
        <v>4869</v>
      </c>
      <c r="E71" t="s">
        <v>4292</v>
      </c>
      <c r="F71">
        <v>2023</v>
      </c>
      <c r="G71" t="s">
        <v>4870</v>
      </c>
      <c r="H71" t="s">
        <v>4521</v>
      </c>
      <c r="I71" t="s">
        <v>4871</v>
      </c>
      <c r="J71" t="s">
        <v>4872</v>
      </c>
    </row>
    <row r="72" spans="1:10" x14ac:dyDescent="0.35">
      <c r="A72">
        <v>29</v>
      </c>
      <c r="B72">
        <v>36642768</v>
      </c>
      <c r="C72" t="s">
        <v>4903</v>
      </c>
      <c r="D72" t="s">
        <v>4904</v>
      </c>
      <c r="E72" t="s">
        <v>86</v>
      </c>
      <c r="F72">
        <v>2023</v>
      </c>
      <c r="G72" t="s">
        <v>4905</v>
      </c>
      <c r="H72" t="s">
        <v>729</v>
      </c>
      <c r="I72" t="s">
        <v>4906</v>
      </c>
      <c r="J72" t="s">
        <v>4907</v>
      </c>
    </row>
    <row r="73" spans="1:10" x14ac:dyDescent="0.35">
      <c r="A73">
        <v>41</v>
      </c>
      <c r="B73">
        <v>37831110</v>
      </c>
      <c r="C73" t="s">
        <v>4266</v>
      </c>
      <c r="D73" t="s">
        <v>4267</v>
      </c>
      <c r="E73" t="s">
        <v>71</v>
      </c>
      <c r="F73">
        <v>2023</v>
      </c>
      <c r="G73" t="s">
        <v>4268</v>
      </c>
      <c r="H73" t="s">
        <v>4269</v>
      </c>
      <c r="I73" t="s">
        <v>4270</v>
      </c>
      <c r="J73" t="s">
        <v>4271</v>
      </c>
    </row>
    <row r="74" spans="1:10" x14ac:dyDescent="0.35">
      <c r="A74">
        <v>28</v>
      </c>
      <c r="B74">
        <v>36646171</v>
      </c>
      <c r="C74" t="s">
        <v>4897</v>
      </c>
      <c r="D74" t="s">
        <v>4898</v>
      </c>
      <c r="E74" t="s">
        <v>342</v>
      </c>
      <c r="F74">
        <v>2023</v>
      </c>
      <c r="G74" t="s">
        <v>4899</v>
      </c>
      <c r="H74" t="s">
        <v>4900</v>
      </c>
      <c r="I74" t="s">
        <v>4901</v>
      </c>
      <c r="J74" t="s">
        <v>4902</v>
      </c>
    </row>
    <row r="75" spans="1:10" x14ac:dyDescent="0.35">
      <c r="A75">
        <v>26</v>
      </c>
      <c r="B75">
        <v>37106008</v>
      </c>
      <c r="C75" t="s">
        <v>4885</v>
      </c>
      <c r="D75" t="s">
        <v>4886</v>
      </c>
      <c r="E75" t="s">
        <v>2082</v>
      </c>
      <c r="F75">
        <v>2023</v>
      </c>
      <c r="G75" t="s">
        <v>4887</v>
      </c>
      <c r="H75" t="s">
        <v>4888</v>
      </c>
      <c r="I75" t="s">
        <v>4889</v>
      </c>
      <c r="J75" t="s">
        <v>4890</v>
      </c>
    </row>
    <row r="76" spans="1:10" x14ac:dyDescent="0.35">
      <c r="A76">
        <v>21</v>
      </c>
      <c r="B76">
        <v>38529242</v>
      </c>
      <c r="C76" t="s">
        <v>4855</v>
      </c>
      <c r="D76" t="s">
        <v>4856</v>
      </c>
      <c r="E76" t="s">
        <v>4857</v>
      </c>
      <c r="F76">
        <v>2023</v>
      </c>
      <c r="G76" t="s">
        <v>4858</v>
      </c>
      <c r="H76" t="s">
        <v>4859</v>
      </c>
      <c r="I76" t="s">
        <v>4860</v>
      </c>
      <c r="J76" t="s">
        <v>4861</v>
      </c>
    </row>
    <row r="77" spans="1:10" x14ac:dyDescent="0.35">
      <c r="A77">
        <v>13</v>
      </c>
      <c r="B77">
        <v>36738386</v>
      </c>
      <c r="C77" t="s">
        <v>4667</v>
      </c>
      <c r="D77" t="s">
        <v>4668</v>
      </c>
      <c r="E77" t="s">
        <v>4125</v>
      </c>
      <c r="F77">
        <v>2023</v>
      </c>
      <c r="G77" t="s">
        <v>4669</v>
      </c>
      <c r="H77" t="s">
        <v>4670</v>
      </c>
      <c r="I77" t="s">
        <v>4671</v>
      </c>
      <c r="J77" t="s">
        <v>4672</v>
      </c>
    </row>
    <row r="78" spans="1:10" x14ac:dyDescent="0.35">
      <c r="A78">
        <v>27</v>
      </c>
      <c r="B78">
        <v>37093236</v>
      </c>
      <c r="C78" t="s">
        <v>4891</v>
      </c>
      <c r="D78" t="s">
        <v>4892</v>
      </c>
      <c r="E78" t="s">
        <v>71</v>
      </c>
      <c r="F78">
        <v>2023</v>
      </c>
      <c r="G78" t="s">
        <v>4893</v>
      </c>
      <c r="H78" t="s">
        <v>4894</v>
      </c>
      <c r="I78" t="s">
        <v>4895</v>
      </c>
      <c r="J78" t="s">
        <v>4896</v>
      </c>
    </row>
    <row r="79" spans="1:10" x14ac:dyDescent="0.35">
      <c r="A79">
        <v>30</v>
      </c>
      <c r="B79">
        <v>36255474</v>
      </c>
      <c r="C79" t="s">
        <v>4530</v>
      </c>
      <c r="D79" t="s">
        <v>4531</v>
      </c>
      <c r="E79" t="s">
        <v>71</v>
      </c>
      <c r="F79">
        <v>2023</v>
      </c>
      <c r="G79" t="s">
        <v>4532</v>
      </c>
      <c r="H79" t="s">
        <v>4533</v>
      </c>
      <c r="I79" t="s">
        <v>4534</v>
      </c>
      <c r="J79" t="s">
        <v>4535</v>
      </c>
    </row>
    <row r="80" spans="1:10" x14ac:dyDescent="0.35">
      <c r="A80">
        <v>30</v>
      </c>
      <c r="B80">
        <v>36441213</v>
      </c>
      <c r="C80" t="s">
        <v>4908</v>
      </c>
      <c r="D80" t="s">
        <v>4909</v>
      </c>
      <c r="E80" t="s">
        <v>161</v>
      </c>
      <c r="F80">
        <v>2023</v>
      </c>
      <c r="G80" t="s">
        <v>4910</v>
      </c>
      <c r="H80" t="s">
        <v>4911</v>
      </c>
      <c r="I80" t="s">
        <v>4912</v>
      </c>
      <c r="J80" t="s">
        <v>4913</v>
      </c>
    </row>
    <row r="81" spans="1:10" x14ac:dyDescent="0.35">
      <c r="A81">
        <v>31</v>
      </c>
      <c r="B81">
        <v>36307618</v>
      </c>
      <c r="C81" t="s">
        <v>4130</v>
      </c>
      <c r="D81" t="s">
        <v>4131</v>
      </c>
      <c r="E81" t="s">
        <v>1399</v>
      </c>
      <c r="F81">
        <v>2023</v>
      </c>
      <c r="G81" t="s">
        <v>4132</v>
      </c>
      <c r="H81" t="s">
        <v>4133</v>
      </c>
      <c r="I81" t="s">
        <v>4134</v>
      </c>
      <c r="J81" t="s">
        <v>4135</v>
      </c>
    </row>
    <row r="82" spans="1:10" x14ac:dyDescent="0.35">
      <c r="A82">
        <v>24</v>
      </c>
      <c r="B82">
        <v>37537529</v>
      </c>
      <c r="C82" t="s">
        <v>4873</v>
      </c>
      <c r="D82" t="s">
        <v>4874</v>
      </c>
      <c r="E82" t="s">
        <v>379</v>
      </c>
      <c r="F82">
        <v>2023</v>
      </c>
      <c r="G82" t="s">
        <v>4875</v>
      </c>
      <c r="H82" t="s">
        <v>4876</v>
      </c>
      <c r="I82" t="s">
        <v>4877</v>
      </c>
      <c r="J82" t="s">
        <v>4878</v>
      </c>
    </row>
    <row r="83" spans="1:10" x14ac:dyDescent="0.35">
      <c r="A83">
        <v>46</v>
      </c>
      <c r="B83">
        <v>37477649</v>
      </c>
      <c r="C83" t="s">
        <v>4278</v>
      </c>
      <c r="D83" t="s">
        <v>4279</v>
      </c>
      <c r="E83" t="s">
        <v>71</v>
      </c>
      <c r="F83">
        <v>2023</v>
      </c>
      <c r="G83" t="s">
        <v>4280</v>
      </c>
      <c r="H83" t="s">
        <v>4281</v>
      </c>
      <c r="I83" t="s">
        <v>4282</v>
      </c>
      <c r="J83" t="s">
        <v>4283</v>
      </c>
    </row>
    <row r="84" spans="1:10" x14ac:dyDescent="0.35">
      <c r="A84">
        <v>48</v>
      </c>
      <c r="B84">
        <v>37388860</v>
      </c>
      <c r="C84" t="s">
        <v>4290</v>
      </c>
      <c r="D84" t="s">
        <v>4291</v>
      </c>
      <c r="E84" t="s">
        <v>4292</v>
      </c>
      <c r="F84">
        <v>2023</v>
      </c>
      <c r="G84" t="s">
        <v>4293</v>
      </c>
      <c r="H84" t="s">
        <v>4294</v>
      </c>
      <c r="I84" t="s">
        <v>4295</v>
      </c>
      <c r="J84" t="s">
        <v>4296</v>
      </c>
    </row>
    <row r="85" spans="1:10" x14ac:dyDescent="0.35">
      <c r="A85">
        <v>51</v>
      </c>
      <c r="B85">
        <v>37005946</v>
      </c>
      <c r="C85" t="s">
        <v>4297</v>
      </c>
      <c r="D85" t="s">
        <v>4298</v>
      </c>
      <c r="E85" t="s">
        <v>4125</v>
      </c>
      <c r="F85">
        <v>2023</v>
      </c>
      <c r="G85" t="s">
        <v>4299</v>
      </c>
      <c r="H85" t="s">
        <v>1595</v>
      </c>
      <c r="I85" t="s">
        <v>4300</v>
      </c>
      <c r="J85" t="s">
        <v>4301</v>
      </c>
    </row>
    <row r="86" spans="1:10" x14ac:dyDescent="0.35">
      <c r="A86">
        <v>58</v>
      </c>
      <c r="B86">
        <v>36178393</v>
      </c>
      <c r="C86" t="s">
        <v>5363</v>
      </c>
      <c r="D86" t="s">
        <v>5364</v>
      </c>
      <c r="E86" t="s">
        <v>342</v>
      </c>
      <c r="F86">
        <v>2022</v>
      </c>
      <c r="G86" t="s">
        <v>5365</v>
      </c>
      <c r="H86" t="s">
        <v>5366</v>
      </c>
      <c r="I86" t="s">
        <v>5367</v>
      </c>
      <c r="J86" t="s">
        <v>5368</v>
      </c>
    </row>
    <row r="87" spans="1:10" x14ac:dyDescent="0.35">
      <c r="A87">
        <v>77</v>
      </c>
      <c r="B87">
        <v>33619635</v>
      </c>
      <c r="C87" t="s">
        <v>4329</v>
      </c>
      <c r="D87" t="s">
        <v>4330</v>
      </c>
      <c r="E87" t="s">
        <v>71</v>
      </c>
      <c r="F87">
        <v>2022</v>
      </c>
      <c r="G87" t="s">
        <v>4331</v>
      </c>
      <c r="H87" t="s">
        <v>4332</v>
      </c>
      <c r="I87" t="s">
        <v>4333</v>
      </c>
      <c r="J87" t="s">
        <v>4334</v>
      </c>
    </row>
    <row r="88" spans="1:10" x14ac:dyDescent="0.35">
      <c r="A88">
        <v>54</v>
      </c>
      <c r="B88">
        <v>36561474</v>
      </c>
      <c r="C88" t="s">
        <v>5356</v>
      </c>
      <c r="D88" t="s">
        <v>5357</v>
      </c>
      <c r="E88" t="s">
        <v>5358</v>
      </c>
      <c r="F88">
        <v>2022</v>
      </c>
      <c r="G88" t="s">
        <v>5359</v>
      </c>
      <c r="H88" t="s">
        <v>5360</v>
      </c>
      <c r="I88" t="s">
        <v>5361</v>
      </c>
      <c r="J88" t="s">
        <v>5362</v>
      </c>
    </row>
    <row r="89" spans="1:10" x14ac:dyDescent="0.35">
      <c r="A89">
        <v>43</v>
      </c>
      <c r="B89">
        <v>34310176</v>
      </c>
      <c r="C89" t="s">
        <v>4962</v>
      </c>
      <c r="D89" t="s">
        <v>4963</v>
      </c>
      <c r="E89" t="s">
        <v>130</v>
      </c>
      <c r="F89">
        <v>2022</v>
      </c>
      <c r="G89" t="s">
        <v>4964</v>
      </c>
      <c r="H89" t="s">
        <v>4965</v>
      </c>
      <c r="I89" t="s">
        <v>4966</v>
      </c>
      <c r="J89" t="s">
        <v>4967</v>
      </c>
    </row>
    <row r="90" spans="1:10" x14ac:dyDescent="0.35">
      <c r="A90">
        <v>38</v>
      </c>
      <c r="B90">
        <v>34951064</v>
      </c>
      <c r="C90" t="s">
        <v>4554</v>
      </c>
      <c r="D90" t="s">
        <v>4555</v>
      </c>
      <c r="E90" t="s">
        <v>4556</v>
      </c>
      <c r="F90">
        <v>2022</v>
      </c>
      <c r="G90" t="s">
        <v>4557</v>
      </c>
      <c r="H90" t="s">
        <v>4558</v>
      </c>
      <c r="I90" t="s">
        <v>4559</v>
      </c>
      <c r="J90" t="s">
        <v>4560</v>
      </c>
    </row>
    <row r="91" spans="1:10" x14ac:dyDescent="0.35">
      <c r="A91">
        <v>16</v>
      </c>
      <c r="B91">
        <v>35123035</v>
      </c>
      <c r="C91" t="s">
        <v>4673</v>
      </c>
      <c r="D91" t="s">
        <v>4674</v>
      </c>
      <c r="E91" t="s">
        <v>565</v>
      </c>
      <c r="F91">
        <v>2022</v>
      </c>
      <c r="G91" t="s">
        <v>4675</v>
      </c>
      <c r="H91" t="s">
        <v>2018</v>
      </c>
      <c r="I91" t="s">
        <v>4676</v>
      </c>
      <c r="J91" t="s">
        <v>4677</v>
      </c>
    </row>
    <row r="92" spans="1:10" x14ac:dyDescent="0.35">
      <c r="A92">
        <v>59</v>
      </c>
      <c r="B92">
        <v>36157796</v>
      </c>
      <c r="C92" t="s">
        <v>868</v>
      </c>
      <c r="D92" t="s">
        <v>4308</v>
      </c>
      <c r="E92" t="s">
        <v>4309</v>
      </c>
      <c r="F92">
        <v>2022</v>
      </c>
      <c r="G92" t="s">
        <v>871</v>
      </c>
      <c r="H92" t="s">
        <v>872</v>
      </c>
      <c r="I92" t="s">
        <v>873</v>
      </c>
      <c r="J92" t="s">
        <v>874</v>
      </c>
    </row>
    <row r="93" spans="1:10" x14ac:dyDescent="0.35">
      <c r="A93">
        <v>33</v>
      </c>
      <c r="B93">
        <v>36096362</v>
      </c>
      <c r="C93" t="s">
        <v>4920</v>
      </c>
      <c r="D93" t="s">
        <v>4921</v>
      </c>
      <c r="E93" t="s">
        <v>342</v>
      </c>
      <c r="F93">
        <v>2022</v>
      </c>
      <c r="G93" t="s">
        <v>4922</v>
      </c>
      <c r="H93" t="s">
        <v>4923</v>
      </c>
      <c r="I93" t="s">
        <v>4924</v>
      </c>
      <c r="J93" t="s">
        <v>4925</v>
      </c>
    </row>
    <row r="94" spans="1:10" x14ac:dyDescent="0.35">
      <c r="A94">
        <v>69</v>
      </c>
      <c r="B94">
        <v>34617125</v>
      </c>
      <c r="C94" t="s">
        <v>5386</v>
      </c>
      <c r="D94" t="s">
        <v>5387</v>
      </c>
      <c r="E94" t="s">
        <v>71</v>
      </c>
      <c r="F94">
        <v>2022</v>
      </c>
      <c r="G94" t="s">
        <v>5388</v>
      </c>
      <c r="H94" t="s">
        <v>5389</v>
      </c>
      <c r="I94" t="s">
        <v>5390</v>
      </c>
      <c r="J94" t="s">
        <v>5391</v>
      </c>
    </row>
    <row r="95" spans="1:10" x14ac:dyDescent="0.35">
      <c r="A95">
        <v>40</v>
      </c>
      <c r="B95">
        <v>34494906</v>
      </c>
      <c r="C95" t="s">
        <v>4950</v>
      </c>
      <c r="D95" t="s">
        <v>4951</v>
      </c>
      <c r="E95" t="s">
        <v>130</v>
      </c>
      <c r="F95">
        <v>2022</v>
      </c>
      <c r="G95" t="s">
        <v>4952</v>
      </c>
      <c r="H95" t="s">
        <v>4953</v>
      </c>
      <c r="I95" t="s">
        <v>4954</v>
      </c>
      <c r="J95" t="s">
        <v>4955</v>
      </c>
    </row>
    <row r="96" spans="1:10" x14ac:dyDescent="0.35">
      <c r="A96">
        <v>37</v>
      </c>
      <c r="B96">
        <v>34970713</v>
      </c>
      <c r="C96" t="s">
        <v>4548</v>
      </c>
      <c r="D96" t="s">
        <v>4549</v>
      </c>
      <c r="E96" t="s">
        <v>4500</v>
      </c>
      <c r="F96">
        <v>2022</v>
      </c>
      <c r="G96" t="s">
        <v>4550</v>
      </c>
      <c r="H96" t="s">
        <v>4551</v>
      </c>
      <c r="I96" t="s">
        <v>4552</v>
      </c>
      <c r="J96" t="s">
        <v>4553</v>
      </c>
    </row>
    <row r="97" spans="1:10" x14ac:dyDescent="0.35">
      <c r="A97">
        <v>64</v>
      </c>
      <c r="B97">
        <v>35669018</v>
      </c>
      <c r="C97" t="s">
        <v>5369</v>
      </c>
      <c r="D97" t="s">
        <v>5370</v>
      </c>
      <c r="E97" t="s">
        <v>4640</v>
      </c>
      <c r="F97">
        <v>2022</v>
      </c>
      <c r="G97" t="s">
        <v>5371</v>
      </c>
      <c r="H97" t="s">
        <v>5372</v>
      </c>
      <c r="I97" t="s">
        <v>5373</v>
      </c>
      <c r="J97" t="s">
        <v>5374</v>
      </c>
    </row>
    <row r="98" spans="1:10" x14ac:dyDescent="0.35">
      <c r="A98">
        <v>35</v>
      </c>
      <c r="B98">
        <v>35343326</v>
      </c>
      <c r="C98" t="s">
        <v>4932</v>
      </c>
      <c r="D98" t="s">
        <v>4933</v>
      </c>
      <c r="E98" t="s">
        <v>2117</v>
      </c>
      <c r="F98">
        <v>2022</v>
      </c>
      <c r="G98" t="s">
        <v>4934</v>
      </c>
      <c r="H98" t="s">
        <v>4935</v>
      </c>
      <c r="I98" t="s">
        <v>4936</v>
      </c>
      <c r="J98" t="s">
        <v>4937</v>
      </c>
    </row>
    <row r="99" spans="1:10" x14ac:dyDescent="0.35">
      <c r="A99">
        <v>38</v>
      </c>
      <c r="B99">
        <v>34591691</v>
      </c>
      <c r="C99" t="s">
        <v>4938</v>
      </c>
      <c r="D99" t="s">
        <v>4939</v>
      </c>
      <c r="E99" t="s">
        <v>130</v>
      </c>
      <c r="F99">
        <v>2022</v>
      </c>
      <c r="G99" t="s">
        <v>4940</v>
      </c>
      <c r="H99" t="s">
        <v>4941</v>
      </c>
      <c r="I99" t="s">
        <v>4942</v>
      </c>
      <c r="J99" t="s">
        <v>4943</v>
      </c>
    </row>
    <row r="100" spans="1:10" x14ac:dyDescent="0.35">
      <c r="A100">
        <v>36</v>
      </c>
      <c r="B100">
        <v>35037693</v>
      </c>
      <c r="C100" t="s">
        <v>4543</v>
      </c>
      <c r="D100" t="s">
        <v>4544</v>
      </c>
      <c r="E100" t="s">
        <v>2146</v>
      </c>
      <c r="F100">
        <v>2022</v>
      </c>
      <c r="G100" t="s">
        <v>4545</v>
      </c>
      <c r="H100" t="s">
        <v>3778</v>
      </c>
      <c r="I100" t="s">
        <v>4546</v>
      </c>
      <c r="J100" t="s">
        <v>4547</v>
      </c>
    </row>
    <row r="101" spans="1:10" x14ac:dyDescent="0.35">
      <c r="A101">
        <v>37</v>
      </c>
      <c r="B101">
        <v>35024368</v>
      </c>
      <c r="C101" t="s">
        <v>4143</v>
      </c>
      <c r="D101" t="s">
        <v>4144</v>
      </c>
      <c r="E101" t="s">
        <v>4138</v>
      </c>
      <c r="F101">
        <v>2022</v>
      </c>
      <c r="G101" t="s">
        <v>4145</v>
      </c>
      <c r="H101" t="s">
        <v>344</v>
      </c>
      <c r="I101" t="s">
        <v>4146</v>
      </c>
      <c r="J101" t="s">
        <v>4147</v>
      </c>
    </row>
    <row r="102" spans="1:10" x14ac:dyDescent="0.35">
      <c r="A102">
        <v>39</v>
      </c>
      <c r="B102">
        <v>34536121</v>
      </c>
      <c r="C102" t="s">
        <v>4944</v>
      </c>
      <c r="D102" t="s">
        <v>4945</v>
      </c>
      <c r="E102" t="s">
        <v>161</v>
      </c>
      <c r="F102">
        <v>2022</v>
      </c>
      <c r="G102" t="s">
        <v>4946</v>
      </c>
      <c r="H102" t="s">
        <v>4947</v>
      </c>
      <c r="I102" t="s">
        <v>4948</v>
      </c>
      <c r="J102" t="s">
        <v>4949</v>
      </c>
    </row>
    <row r="103" spans="1:10" x14ac:dyDescent="0.35">
      <c r="A103">
        <v>34</v>
      </c>
      <c r="B103">
        <v>35721585</v>
      </c>
      <c r="C103" t="s">
        <v>4926</v>
      </c>
      <c r="D103" t="s">
        <v>4927</v>
      </c>
      <c r="E103" t="s">
        <v>4687</v>
      </c>
      <c r="F103">
        <v>2022</v>
      </c>
      <c r="G103" t="s">
        <v>4928</v>
      </c>
      <c r="H103" t="s">
        <v>4929</v>
      </c>
      <c r="I103" t="s">
        <v>4930</v>
      </c>
      <c r="J103" t="s">
        <v>4931</v>
      </c>
    </row>
    <row r="104" spans="1:10" x14ac:dyDescent="0.35">
      <c r="A104">
        <v>66</v>
      </c>
      <c r="B104">
        <v>35543668</v>
      </c>
      <c r="C104" t="s">
        <v>5381</v>
      </c>
      <c r="D104" t="s">
        <v>5382</v>
      </c>
      <c r="E104" t="s">
        <v>342</v>
      </c>
      <c r="F104">
        <v>2022</v>
      </c>
      <c r="G104" t="s">
        <v>5383</v>
      </c>
      <c r="H104" t="s">
        <v>4367</v>
      </c>
      <c r="I104" t="s">
        <v>5384</v>
      </c>
      <c r="J104" t="s">
        <v>5385</v>
      </c>
    </row>
    <row r="105" spans="1:10" x14ac:dyDescent="0.35">
      <c r="A105">
        <v>41</v>
      </c>
      <c r="B105">
        <v>34431012</v>
      </c>
      <c r="C105" t="s">
        <v>4956</v>
      </c>
      <c r="D105" t="s">
        <v>4957</v>
      </c>
      <c r="E105" t="s">
        <v>71</v>
      </c>
      <c r="F105">
        <v>2022</v>
      </c>
      <c r="G105" t="s">
        <v>4958</v>
      </c>
      <c r="H105" t="s">
        <v>4959</v>
      </c>
      <c r="I105" t="s">
        <v>4960</v>
      </c>
      <c r="J105" t="s">
        <v>4961</v>
      </c>
    </row>
    <row r="106" spans="1:10" x14ac:dyDescent="0.35">
      <c r="A106">
        <v>17</v>
      </c>
      <c r="B106">
        <v>34048294</v>
      </c>
      <c r="C106" t="s">
        <v>4678</v>
      </c>
      <c r="D106" t="s">
        <v>4679</v>
      </c>
      <c r="E106" t="s">
        <v>4680</v>
      </c>
      <c r="F106">
        <v>2022</v>
      </c>
      <c r="G106" t="s">
        <v>4681</v>
      </c>
      <c r="H106" t="s">
        <v>4682</v>
      </c>
      <c r="I106" t="s">
        <v>4683</v>
      </c>
      <c r="J106" t="s">
        <v>4684</v>
      </c>
    </row>
    <row r="107" spans="1:10" x14ac:dyDescent="0.35">
      <c r="A107">
        <v>61</v>
      </c>
      <c r="B107">
        <v>36122878</v>
      </c>
      <c r="C107" t="s">
        <v>4317</v>
      </c>
      <c r="D107" t="s">
        <v>4318</v>
      </c>
      <c r="E107" t="s">
        <v>565</v>
      </c>
      <c r="F107">
        <v>2022</v>
      </c>
      <c r="G107" t="s">
        <v>4319</v>
      </c>
      <c r="H107" t="s">
        <v>4320</v>
      </c>
      <c r="I107" t="s">
        <v>4321</v>
      </c>
      <c r="J107" t="s">
        <v>4322</v>
      </c>
    </row>
    <row r="108" spans="1:10" x14ac:dyDescent="0.35">
      <c r="A108">
        <v>60</v>
      </c>
      <c r="B108">
        <v>36137116</v>
      </c>
      <c r="C108" t="s">
        <v>4310</v>
      </c>
      <c r="D108" t="s">
        <v>4311</v>
      </c>
      <c r="E108" t="s">
        <v>4312</v>
      </c>
      <c r="F108">
        <v>2022</v>
      </c>
      <c r="G108" t="s">
        <v>4313</v>
      </c>
      <c r="H108" t="s">
        <v>4314</v>
      </c>
      <c r="I108" t="s">
        <v>4315</v>
      </c>
      <c r="J108" t="s">
        <v>4316</v>
      </c>
    </row>
    <row r="109" spans="1:10" x14ac:dyDescent="0.35">
      <c r="A109">
        <v>32</v>
      </c>
      <c r="B109">
        <v>36255278</v>
      </c>
      <c r="C109" t="s">
        <v>4914</v>
      </c>
      <c r="D109" t="s">
        <v>4915</v>
      </c>
      <c r="E109" t="s">
        <v>130</v>
      </c>
      <c r="F109">
        <v>2022</v>
      </c>
      <c r="G109" t="s">
        <v>4916</v>
      </c>
      <c r="H109" t="s">
        <v>4917</v>
      </c>
      <c r="I109" t="s">
        <v>4918</v>
      </c>
      <c r="J109" t="s">
        <v>4919</v>
      </c>
    </row>
    <row r="110" spans="1:10" x14ac:dyDescent="0.35">
      <c r="A110">
        <v>35</v>
      </c>
      <c r="B110">
        <v>35411690</v>
      </c>
      <c r="C110" t="s">
        <v>4536</v>
      </c>
      <c r="D110" t="s">
        <v>4537</v>
      </c>
      <c r="E110" t="s">
        <v>4538</v>
      </c>
      <c r="F110">
        <v>2022</v>
      </c>
      <c r="G110" t="s">
        <v>4539</v>
      </c>
      <c r="H110" t="s">
        <v>4540</v>
      </c>
      <c r="I110" t="s">
        <v>4541</v>
      </c>
      <c r="J110" t="s">
        <v>4542</v>
      </c>
    </row>
    <row r="111" spans="1:10" x14ac:dyDescent="0.35">
      <c r="A111">
        <v>65</v>
      </c>
      <c r="B111">
        <v>35638209</v>
      </c>
      <c r="C111" t="s">
        <v>5375</v>
      </c>
      <c r="D111" t="s">
        <v>5376</v>
      </c>
      <c r="E111" t="s">
        <v>2538</v>
      </c>
      <c r="F111">
        <v>2022</v>
      </c>
      <c r="G111" t="s">
        <v>5377</v>
      </c>
      <c r="H111" t="s">
        <v>5378</v>
      </c>
      <c r="I111" t="s">
        <v>5379</v>
      </c>
      <c r="J111" t="s">
        <v>5380</v>
      </c>
    </row>
    <row r="112" spans="1:10" x14ac:dyDescent="0.35">
      <c r="A112">
        <v>73</v>
      </c>
      <c r="B112">
        <v>34470509</v>
      </c>
      <c r="C112" t="s">
        <v>5392</v>
      </c>
      <c r="D112" t="s">
        <v>5393</v>
      </c>
      <c r="E112" t="s">
        <v>130</v>
      </c>
      <c r="F112">
        <v>2022</v>
      </c>
      <c r="G112" t="s">
        <v>5394</v>
      </c>
      <c r="H112" t="s">
        <v>5079</v>
      </c>
      <c r="I112" t="s">
        <v>5395</v>
      </c>
      <c r="J112" t="s">
        <v>5396</v>
      </c>
    </row>
    <row r="113" spans="1:10" x14ac:dyDescent="0.35">
      <c r="A113">
        <v>39</v>
      </c>
      <c r="B113">
        <v>34942315</v>
      </c>
      <c r="C113" t="s">
        <v>4561</v>
      </c>
      <c r="D113" t="s">
        <v>4562</v>
      </c>
      <c r="E113" t="s">
        <v>79</v>
      </c>
      <c r="F113">
        <v>2022</v>
      </c>
      <c r="G113" t="s">
        <v>4563</v>
      </c>
      <c r="H113" t="s">
        <v>453</v>
      </c>
      <c r="I113" t="s">
        <v>4564</v>
      </c>
      <c r="J113" t="s">
        <v>4565</v>
      </c>
    </row>
    <row r="114" spans="1:10" x14ac:dyDescent="0.35">
      <c r="A114">
        <v>36</v>
      </c>
      <c r="B114">
        <v>35127959</v>
      </c>
      <c r="C114" t="s">
        <v>4136</v>
      </c>
      <c r="D114" t="s">
        <v>4137</v>
      </c>
      <c r="E114" t="s">
        <v>4138</v>
      </c>
      <c r="F114">
        <v>2022</v>
      </c>
      <c r="G114" t="s">
        <v>4139</v>
      </c>
      <c r="H114" t="s">
        <v>4140</v>
      </c>
      <c r="I114" t="s">
        <v>4141</v>
      </c>
      <c r="J114" t="s">
        <v>4142</v>
      </c>
    </row>
    <row r="115" spans="1:10" x14ac:dyDescent="0.35">
      <c r="A115">
        <v>60</v>
      </c>
      <c r="B115">
        <v>31233432</v>
      </c>
      <c r="C115" t="s">
        <v>5058</v>
      </c>
      <c r="D115" t="s">
        <v>5059</v>
      </c>
      <c r="E115" t="s">
        <v>1449</v>
      </c>
      <c r="F115">
        <v>2021</v>
      </c>
      <c r="G115" t="s">
        <v>5060</v>
      </c>
      <c r="H115" t="s">
        <v>5061</v>
      </c>
      <c r="I115" t="s">
        <v>5062</v>
      </c>
      <c r="J115" t="s">
        <v>5063</v>
      </c>
    </row>
    <row r="116" spans="1:10" x14ac:dyDescent="0.35">
      <c r="A116">
        <v>68</v>
      </c>
      <c r="B116">
        <v>34949188</v>
      </c>
      <c r="C116" t="s">
        <v>4323</v>
      </c>
      <c r="D116" t="s">
        <v>4324</v>
      </c>
      <c r="E116" t="s">
        <v>4150</v>
      </c>
      <c r="F116">
        <v>2021</v>
      </c>
      <c r="G116" t="s">
        <v>4325</v>
      </c>
      <c r="H116" t="s">
        <v>4326</v>
      </c>
      <c r="I116" t="s">
        <v>4327</v>
      </c>
      <c r="J116" t="s">
        <v>4328</v>
      </c>
    </row>
    <row r="117" spans="1:10" x14ac:dyDescent="0.35">
      <c r="A117">
        <v>45</v>
      </c>
      <c r="B117">
        <v>33098947</v>
      </c>
      <c r="C117" t="s">
        <v>4566</v>
      </c>
      <c r="D117" t="s">
        <v>4567</v>
      </c>
      <c r="E117" t="s">
        <v>79</v>
      </c>
      <c r="F117">
        <v>2021</v>
      </c>
      <c r="G117" t="s">
        <v>4568</v>
      </c>
      <c r="H117" t="s">
        <v>4569</v>
      </c>
      <c r="I117" t="s">
        <v>4570</v>
      </c>
      <c r="J117" t="s">
        <v>4571</v>
      </c>
    </row>
    <row r="118" spans="1:10" x14ac:dyDescent="0.35">
      <c r="A118">
        <v>42</v>
      </c>
      <c r="B118">
        <v>34348750</v>
      </c>
      <c r="C118" t="s">
        <v>4148</v>
      </c>
      <c r="D118" t="s">
        <v>4149</v>
      </c>
      <c r="E118" t="s">
        <v>4150</v>
      </c>
      <c r="F118">
        <v>2021</v>
      </c>
      <c r="G118" t="s">
        <v>4151</v>
      </c>
      <c r="H118" t="s">
        <v>3778</v>
      </c>
      <c r="I118" t="s">
        <v>4152</v>
      </c>
      <c r="J118" t="s">
        <v>4153</v>
      </c>
    </row>
    <row r="119" spans="1:10" x14ac:dyDescent="0.35">
      <c r="A119">
        <v>81</v>
      </c>
      <c r="B119">
        <v>32984919</v>
      </c>
      <c r="C119" t="s">
        <v>5397</v>
      </c>
      <c r="D119" t="s">
        <v>5398</v>
      </c>
      <c r="E119" t="s">
        <v>71</v>
      </c>
      <c r="F119">
        <v>2021</v>
      </c>
      <c r="G119" t="s">
        <v>5399</v>
      </c>
      <c r="H119" t="s">
        <v>4998</v>
      </c>
      <c r="I119" t="s">
        <v>5400</v>
      </c>
      <c r="J119" t="s">
        <v>5401</v>
      </c>
    </row>
    <row r="120" spans="1:10" x14ac:dyDescent="0.35">
      <c r="A120">
        <v>44</v>
      </c>
      <c r="B120">
        <v>33621648</v>
      </c>
      <c r="C120" t="s">
        <v>4968</v>
      </c>
      <c r="D120" t="s">
        <v>4969</v>
      </c>
      <c r="E120" t="s">
        <v>79</v>
      </c>
      <c r="F120">
        <v>2021</v>
      </c>
      <c r="G120" t="s">
        <v>4970</v>
      </c>
      <c r="H120" t="s">
        <v>4971</v>
      </c>
      <c r="I120" t="s">
        <v>4972</v>
      </c>
      <c r="J120" t="s">
        <v>4973</v>
      </c>
    </row>
    <row r="121" spans="1:10" x14ac:dyDescent="0.35">
      <c r="A121">
        <v>82</v>
      </c>
      <c r="B121">
        <v>32721544</v>
      </c>
      <c r="C121" t="s">
        <v>4335</v>
      </c>
      <c r="D121" t="s">
        <v>4336</v>
      </c>
      <c r="E121" t="s">
        <v>79</v>
      </c>
      <c r="F121">
        <v>2021</v>
      </c>
      <c r="G121" t="s">
        <v>4337</v>
      </c>
      <c r="H121" t="s">
        <v>4338</v>
      </c>
      <c r="I121" t="s">
        <v>4339</v>
      </c>
      <c r="J121" t="s">
        <v>4340</v>
      </c>
    </row>
    <row r="122" spans="1:10" x14ac:dyDescent="0.35">
      <c r="A122">
        <v>52</v>
      </c>
      <c r="B122">
        <v>32374646</v>
      </c>
      <c r="C122" t="s">
        <v>5011</v>
      </c>
      <c r="D122" t="s">
        <v>5012</v>
      </c>
      <c r="E122" t="s">
        <v>2117</v>
      </c>
      <c r="F122">
        <v>2020</v>
      </c>
      <c r="G122" t="s">
        <v>5013</v>
      </c>
      <c r="H122" t="s">
        <v>5014</v>
      </c>
      <c r="I122" t="s">
        <v>5015</v>
      </c>
      <c r="J122" t="s">
        <v>5016</v>
      </c>
    </row>
    <row r="123" spans="1:10" x14ac:dyDescent="0.35">
      <c r="A123">
        <v>92</v>
      </c>
      <c r="B123">
        <v>31919024</v>
      </c>
      <c r="C123" t="s">
        <v>4347</v>
      </c>
      <c r="D123" t="s">
        <v>4348</v>
      </c>
      <c r="E123" t="s">
        <v>79</v>
      </c>
      <c r="F123">
        <v>2020</v>
      </c>
      <c r="G123" t="s">
        <v>4349</v>
      </c>
      <c r="H123" t="s">
        <v>4350</v>
      </c>
      <c r="I123" t="s">
        <v>4351</v>
      </c>
      <c r="J123" t="s">
        <v>4352</v>
      </c>
    </row>
    <row r="124" spans="1:10" x14ac:dyDescent="0.35">
      <c r="A124">
        <v>51</v>
      </c>
      <c r="B124">
        <v>32387652</v>
      </c>
      <c r="C124" t="s">
        <v>5006</v>
      </c>
      <c r="D124" t="s">
        <v>5007</v>
      </c>
      <c r="E124" t="s">
        <v>79</v>
      </c>
      <c r="F124">
        <v>2020</v>
      </c>
      <c r="G124" t="s">
        <v>5008</v>
      </c>
      <c r="H124" t="s">
        <v>624</v>
      </c>
      <c r="I124" t="s">
        <v>5009</v>
      </c>
      <c r="J124" t="s">
        <v>5010</v>
      </c>
    </row>
    <row r="125" spans="1:10" x14ac:dyDescent="0.35">
      <c r="A125">
        <v>54</v>
      </c>
      <c r="B125">
        <v>30959537</v>
      </c>
      <c r="C125" t="s">
        <v>4578</v>
      </c>
      <c r="D125" t="s">
        <v>4579</v>
      </c>
      <c r="E125" t="s">
        <v>63</v>
      </c>
      <c r="F125">
        <v>2020</v>
      </c>
      <c r="G125" t="s">
        <v>4580</v>
      </c>
      <c r="H125" t="s">
        <v>4569</v>
      </c>
      <c r="I125" t="s">
        <v>4581</v>
      </c>
      <c r="J125" t="s">
        <v>4582</v>
      </c>
    </row>
    <row r="126" spans="1:10" x14ac:dyDescent="0.35">
      <c r="A126">
        <v>56</v>
      </c>
      <c r="B126">
        <v>31987693</v>
      </c>
      <c r="C126" t="s">
        <v>5033</v>
      </c>
      <c r="D126" t="s">
        <v>5034</v>
      </c>
      <c r="E126" t="s">
        <v>79</v>
      </c>
      <c r="F126">
        <v>2020</v>
      </c>
      <c r="G126" t="s">
        <v>5035</v>
      </c>
      <c r="H126" t="s">
        <v>5036</v>
      </c>
      <c r="I126" t="s">
        <v>5037</v>
      </c>
      <c r="J126" t="s">
        <v>5038</v>
      </c>
    </row>
    <row r="127" spans="1:10" x14ac:dyDescent="0.35">
      <c r="A127">
        <v>49</v>
      </c>
      <c r="B127">
        <v>32482429</v>
      </c>
      <c r="C127" t="s">
        <v>4995</v>
      </c>
      <c r="D127" t="s">
        <v>4996</v>
      </c>
      <c r="E127" t="s">
        <v>94</v>
      </c>
      <c r="F127">
        <v>2020</v>
      </c>
      <c r="G127" t="s">
        <v>4997</v>
      </c>
      <c r="H127" t="s">
        <v>4998</v>
      </c>
      <c r="I127" t="s">
        <v>4999</v>
      </c>
      <c r="J127" t="s">
        <v>5000</v>
      </c>
    </row>
    <row r="128" spans="1:10" x14ac:dyDescent="0.35">
      <c r="A128">
        <v>49</v>
      </c>
      <c r="B128">
        <v>32320949</v>
      </c>
      <c r="C128" t="s">
        <v>4572</v>
      </c>
      <c r="D128" t="s">
        <v>4573</v>
      </c>
      <c r="E128" t="s">
        <v>2016</v>
      </c>
      <c r="F128">
        <v>2020</v>
      </c>
      <c r="G128" t="s">
        <v>4574</v>
      </c>
      <c r="H128" t="s">
        <v>4575</v>
      </c>
      <c r="I128" t="s">
        <v>4576</v>
      </c>
      <c r="J128" t="s">
        <v>4577</v>
      </c>
    </row>
    <row r="129" spans="1:10" x14ac:dyDescent="0.35">
      <c r="A129">
        <v>18</v>
      </c>
      <c r="B129">
        <v>32766390</v>
      </c>
      <c r="C129" t="s">
        <v>4685</v>
      </c>
      <c r="D129" t="s">
        <v>4686</v>
      </c>
      <c r="E129" t="s">
        <v>4687</v>
      </c>
      <c r="F129">
        <v>2020</v>
      </c>
      <c r="G129" t="s">
        <v>4688</v>
      </c>
      <c r="H129" t="s">
        <v>4081</v>
      </c>
      <c r="I129" t="s">
        <v>4689</v>
      </c>
      <c r="J129" t="s">
        <v>4690</v>
      </c>
    </row>
    <row r="130" spans="1:10" x14ac:dyDescent="0.35">
      <c r="A130">
        <v>48</v>
      </c>
      <c r="B130">
        <v>32700496</v>
      </c>
      <c r="C130" t="s">
        <v>4990</v>
      </c>
      <c r="D130" t="s">
        <v>4991</v>
      </c>
      <c r="E130" t="s">
        <v>3995</v>
      </c>
      <c r="F130">
        <v>2020</v>
      </c>
      <c r="G130" t="s">
        <v>4992</v>
      </c>
      <c r="H130" t="s">
        <v>729</v>
      </c>
      <c r="I130" t="s">
        <v>4993</v>
      </c>
      <c r="J130" t="s">
        <v>4994</v>
      </c>
    </row>
    <row r="131" spans="1:10" x14ac:dyDescent="0.35">
      <c r="A131">
        <v>59</v>
      </c>
      <c r="B131">
        <v>31305357</v>
      </c>
      <c r="C131" t="s">
        <v>5051</v>
      </c>
      <c r="D131" t="s">
        <v>5052</v>
      </c>
      <c r="E131" t="s">
        <v>5053</v>
      </c>
      <c r="F131">
        <v>2020</v>
      </c>
      <c r="G131" t="s">
        <v>5054</v>
      </c>
      <c r="H131" t="s">
        <v>5055</v>
      </c>
      <c r="I131" t="s">
        <v>5056</v>
      </c>
      <c r="J131" t="s">
        <v>5057</v>
      </c>
    </row>
    <row r="132" spans="1:10" x14ac:dyDescent="0.35">
      <c r="A132">
        <v>53</v>
      </c>
      <c r="B132">
        <v>32367221</v>
      </c>
      <c r="C132" t="s">
        <v>5017</v>
      </c>
      <c r="D132" t="s">
        <v>5018</v>
      </c>
      <c r="E132" t="s">
        <v>1399</v>
      </c>
      <c r="F132">
        <v>2020</v>
      </c>
      <c r="G132" t="s">
        <v>5019</v>
      </c>
      <c r="H132" t="s">
        <v>4888</v>
      </c>
      <c r="I132" t="s">
        <v>5020</v>
      </c>
      <c r="J132" t="s">
        <v>5021</v>
      </c>
    </row>
    <row r="133" spans="1:10" x14ac:dyDescent="0.35">
      <c r="A133">
        <v>47</v>
      </c>
      <c r="B133">
        <v>33135006</v>
      </c>
      <c r="C133" t="s">
        <v>4985</v>
      </c>
      <c r="D133" t="s">
        <v>4986</v>
      </c>
      <c r="E133" t="s">
        <v>4292</v>
      </c>
      <c r="F133">
        <v>2020</v>
      </c>
      <c r="G133" t="s">
        <v>4987</v>
      </c>
      <c r="H133" t="s">
        <v>2003</v>
      </c>
      <c r="I133" t="s">
        <v>4988</v>
      </c>
      <c r="J133" t="s">
        <v>4989</v>
      </c>
    </row>
    <row r="134" spans="1:10" x14ac:dyDescent="0.35">
      <c r="A134">
        <v>104</v>
      </c>
      <c r="B134">
        <v>30656372</v>
      </c>
      <c r="C134" t="s">
        <v>4370</v>
      </c>
      <c r="D134" t="s">
        <v>4371</v>
      </c>
      <c r="E134" t="s">
        <v>71</v>
      </c>
      <c r="F134">
        <v>2020</v>
      </c>
      <c r="G134" t="s">
        <v>4372</v>
      </c>
      <c r="H134" t="s">
        <v>4373</v>
      </c>
      <c r="I134" t="s">
        <v>4374</v>
      </c>
      <c r="J134" t="s">
        <v>4375</v>
      </c>
    </row>
    <row r="135" spans="1:10" x14ac:dyDescent="0.35">
      <c r="A135">
        <v>96</v>
      </c>
      <c r="B135">
        <v>31538227</v>
      </c>
      <c r="C135" t="s">
        <v>5408</v>
      </c>
      <c r="D135" t="s">
        <v>5409</v>
      </c>
      <c r="E135" t="s">
        <v>71</v>
      </c>
      <c r="F135">
        <v>2020</v>
      </c>
      <c r="G135" t="s">
        <v>5410</v>
      </c>
      <c r="H135" t="s">
        <v>5199</v>
      </c>
      <c r="I135" t="s">
        <v>5411</v>
      </c>
      <c r="J135" t="s">
        <v>5412</v>
      </c>
    </row>
    <row r="136" spans="1:10" x14ac:dyDescent="0.35">
      <c r="A136">
        <v>83</v>
      </c>
      <c r="B136">
        <v>32523288</v>
      </c>
      <c r="C136" t="s">
        <v>4341</v>
      </c>
      <c r="D136" t="s">
        <v>4342</v>
      </c>
      <c r="E136" t="s">
        <v>4233</v>
      </c>
      <c r="F136">
        <v>2020</v>
      </c>
      <c r="G136" t="s">
        <v>4343</v>
      </c>
      <c r="H136" t="s">
        <v>4344</v>
      </c>
      <c r="I136" t="s">
        <v>4345</v>
      </c>
      <c r="J136" t="s">
        <v>4346</v>
      </c>
    </row>
    <row r="137" spans="1:10" x14ac:dyDescent="0.35">
      <c r="A137">
        <v>54</v>
      </c>
      <c r="B137">
        <v>32180364</v>
      </c>
      <c r="C137" t="s">
        <v>5022</v>
      </c>
      <c r="D137" t="s">
        <v>5023</v>
      </c>
      <c r="E137" t="s">
        <v>5024</v>
      </c>
      <c r="F137">
        <v>2020</v>
      </c>
      <c r="G137" t="s">
        <v>5025</v>
      </c>
      <c r="H137" t="s">
        <v>4228</v>
      </c>
      <c r="I137" t="s">
        <v>5026</v>
      </c>
      <c r="J137" t="s">
        <v>5027</v>
      </c>
    </row>
    <row r="138" spans="1:10" x14ac:dyDescent="0.35">
      <c r="A138">
        <v>99</v>
      </c>
      <c r="B138">
        <v>31166113</v>
      </c>
      <c r="C138" t="s">
        <v>4353</v>
      </c>
      <c r="D138" t="s">
        <v>4354</v>
      </c>
      <c r="E138" t="s">
        <v>130</v>
      </c>
      <c r="F138">
        <v>2020</v>
      </c>
      <c r="G138" t="s">
        <v>4355</v>
      </c>
      <c r="H138" t="s">
        <v>987</v>
      </c>
      <c r="I138" t="s">
        <v>4356</v>
      </c>
      <c r="J138" t="s">
        <v>4357</v>
      </c>
    </row>
    <row r="139" spans="1:10" x14ac:dyDescent="0.35">
      <c r="A139">
        <v>45</v>
      </c>
      <c r="B139">
        <v>33437619</v>
      </c>
      <c r="C139" t="s">
        <v>4974</v>
      </c>
      <c r="D139" t="s">
        <v>4975</v>
      </c>
      <c r="E139" t="s">
        <v>4976</v>
      </c>
      <c r="F139">
        <v>2020</v>
      </c>
      <c r="G139" t="s">
        <v>4977</v>
      </c>
      <c r="H139" t="s">
        <v>2040</v>
      </c>
      <c r="I139" t="s">
        <v>4978</v>
      </c>
      <c r="J139" t="s">
        <v>4979</v>
      </c>
    </row>
    <row r="140" spans="1:10" x14ac:dyDescent="0.35">
      <c r="A140">
        <v>57</v>
      </c>
      <c r="B140">
        <v>31858199</v>
      </c>
      <c r="C140" t="s">
        <v>5039</v>
      </c>
      <c r="D140" t="s">
        <v>5040</v>
      </c>
      <c r="E140" t="s">
        <v>86</v>
      </c>
      <c r="F140">
        <v>2020</v>
      </c>
      <c r="G140" t="s">
        <v>5041</v>
      </c>
      <c r="H140" t="s">
        <v>2040</v>
      </c>
      <c r="I140" t="s">
        <v>5042</v>
      </c>
      <c r="J140" t="s">
        <v>5043</v>
      </c>
    </row>
    <row r="141" spans="1:10" x14ac:dyDescent="0.35">
      <c r="A141">
        <v>19</v>
      </c>
      <c r="B141">
        <v>32410434</v>
      </c>
      <c r="C141" t="s">
        <v>4691</v>
      </c>
      <c r="D141" t="s">
        <v>4692</v>
      </c>
      <c r="E141" t="s">
        <v>2059</v>
      </c>
      <c r="F141">
        <v>2020</v>
      </c>
      <c r="G141" t="s">
        <v>4693</v>
      </c>
      <c r="H141" t="s">
        <v>453</v>
      </c>
      <c r="I141" t="s">
        <v>4694</v>
      </c>
      <c r="J141" t="s">
        <v>4695</v>
      </c>
    </row>
    <row r="142" spans="1:10" x14ac:dyDescent="0.35">
      <c r="A142">
        <v>46</v>
      </c>
      <c r="B142">
        <v>33235137</v>
      </c>
      <c r="C142" t="s">
        <v>4980</v>
      </c>
      <c r="D142" t="s">
        <v>4981</v>
      </c>
      <c r="E142" t="s">
        <v>2284</v>
      </c>
      <c r="F142">
        <v>2020</v>
      </c>
      <c r="G142" t="s">
        <v>4982</v>
      </c>
      <c r="H142" t="s">
        <v>603</v>
      </c>
      <c r="I142" t="s">
        <v>4983</v>
      </c>
      <c r="J142" t="s">
        <v>4984</v>
      </c>
    </row>
    <row r="143" spans="1:10" x14ac:dyDescent="0.35">
      <c r="A143">
        <v>55</v>
      </c>
      <c r="B143">
        <v>32010729</v>
      </c>
      <c r="C143" t="s">
        <v>5028</v>
      </c>
      <c r="D143" t="s">
        <v>5029</v>
      </c>
      <c r="E143" t="s">
        <v>4138</v>
      </c>
      <c r="F143">
        <v>2019</v>
      </c>
      <c r="G143" t="s">
        <v>5030</v>
      </c>
      <c r="H143" t="s">
        <v>624</v>
      </c>
      <c r="I143" t="s">
        <v>5031</v>
      </c>
      <c r="J143" t="s">
        <v>5032</v>
      </c>
    </row>
    <row r="144" spans="1:10" x14ac:dyDescent="0.35">
      <c r="A144">
        <v>106</v>
      </c>
      <c r="B144">
        <v>30206911</v>
      </c>
      <c r="C144" t="s">
        <v>5413</v>
      </c>
      <c r="D144" t="s">
        <v>5414</v>
      </c>
      <c r="E144" t="s">
        <v>63</v>
      </c>
      <c r="F144">
        <v>2019</v>
      </c>
      <c r="G144" t="s">
        <v>5415</v>
      </c>
      <c r="H144" t="s">
        <v>5416</v>
      </c>
      <c r="I144" t="s">
        <v>5417</v>
      </c>
      <c r="J144" t="s">
        <v>5418</v>
      </c>
    </row>
    <row r="145" spans="1:10" x14ac:dyDescent="0.35">
      <c r="A145">
        <v>22</v>
      </c>
      <c r="B145">
        <v>31093753</v>
      </c>
      <c r="C145" t="s">
        <v>4707</v>
      </c>
      <c r="D145" t="s">
        <v>4708</v>
      </c>
      <c r="E145" t="s">
        <v>1399</v>
      </c>
      <c r="F145">
        <v>2019</v>
      </c>
      <c r="G145" t="s">
        <v>4709</v>
      </c>
      <c r="H145" t="s">
        <v>4710</v>
      </c>
      <c r="I145" t="s">
        <v>4711</v>
      </c>
      <c r="J145" t="s">
        <v>4712</v>
      </c>
    </row>
    <row r="146" spans="1:10" x14ac:dyDescent="0.35">
      <c r="A146">
        <v>50</v>
      </c>
      <c r="B146">
        <v>32440495</v>
      </c>
      <c r="C146" t="s">
        <v>5001</v>
      </c>
      <c r="D146" t="s">
        <v>5002</v>
      </c>
      <c r="E146" t="s">
        <v>4976</v>
      </c>
      <c r="F146">
        <v>2019</v>
      </c>
      <c r="G146" t="s">
        <v>5003</v>
      </c>
      <c r="H146" t="s">
        <v>1683</v>
      </c>
      <c r="I146" t="s">
        <v>5004</v>
      </c>
      <c r="J146" t="s">
        <v>5005</v>
      </c>
    </row>
    <row r="147" spans="1:10" x14ac:dyDescent="0.35">
      <c r="A147">
        <v>103</v>
      </c>
      <c r="B147">
        <v>30773253</v>
      </c>
      <c r="C147" t="s">
        <v>4364</v>
      </c>
      <c r="D147" t="s">
        <v>4365</v>
      </c>
      <c r="E147" t="s">
        <v>528</v>
      </c>
      <c r="F147">
        <v>2019</v>
      </c>
      <c r="G147" t="s">
        <v>4366</v>
      </c>
      <c r="H147" t="s">
        <v>4367</v>
      </c>
      <c r="I147" t="s">
        <v>4368</v>
      </c>
      <c r="J147" t="s">
        <v>4369</v>
      </c>
    </row>
    <row r="148" spans="1:10" x14ac:dyDescent="0.35">
      <c r="A148">
        <v>58</v>
      </c>
      <c r="B148">
        <v>29974173</v>
      </c>
      <c r="C148" t="s">
        <v>4583</v>
      </c>
      <c r="D148" t="s">
        <v>4584</v>
      </c>
      <c r="E148" t="s">
        <v>71</v>
      </c>
      <c r="F148">
        <v>2019</v>
      </c>
      <c r="G148" t="s">
        <v>4585</v>
      </c>
      <c r="H148" t="s">
        <v>4586</v>
      </c>
      <c r="I148" t="s">
        <v>4587</v>
      </c>
      <c r="J148" t="s">
        <v>4588</v>
      </c>
    </row>
    <row r="149" spans="1:10" x14ac:dyDescent="0.35">
      <c r="A149">
        <v>62</v>
      </c>
      <c r="B149">
        <v>30790526</v>
      </c>
      <c r="C149" t="s">
        <v>5070</v>
      </c>
      <c r="D149" t="s">
        <v>5071</v>
      </c>
      <c r="E149" t="s">
        <v>130</v>
      </c>
      <c r="F149">
        <v>2019</v>
      </c>
      <c r="G149" t="s">
        <v>5072</v>
      </c>
      <c r="H149" t="s">
        <v>5073</v>
      </c>
      <c r="I149" t="s">
        <v>5074</v>
      </c>
      <c r="J149" t="s">
        <v>5075</v>
      </c>
    </row>
    <row r="150" spans="1:10" x14ac:dyDescent="0.35">
      <c r="A150">
        <v>21</v>
      </c>
      <c r="B150">
        <v>31272646</v>
      </c>
      <c r="C150" t="s">
        <v>4701</v>
      </c>
      <c r="D150" t="s">
        <v>4702</v>
      </c>
      <c r="E150" t="s">
        <v>79</v>
      </c>
      <c r="F150">
        <v>2019</v>
      </c>
      <c r="G150" t="s">
        <v>4703</v>
      </c>
      <c r="H150" t="s">
        <v>4704</v>
      </c>
      <c r="I150" t="s">
        <v>4705</v>
      </c>
      <c r="J150" t="s">
        <v>4706</v>
      </c>
    </row>
    <row r="151" spans="1:10" x14ac:dyDescent="0.35">
      <c r="A151">
        <v>61</v>
      </c>
      <c r="B151">
        <v>30964537</v>
      </c>
      <c r="C151" t="s">
        <v>5064</v>
      </c>
      <c r="D151" t="s">
        <v>5065</v>
      </c>
      <c r="E151" t="s">
        <v>291</v>
      </c>
      <c r="F151">
        <v>2019</v>
      </c>
      <c r="G151" t="s">
        <v>5066</v>
      </c>
      <c r="H151" t="s">
        <v>5067</v>
      </c>
      <c r="I151" t="s">
        <v>5068</v>
      </c>
      <c r="J151" t="s">
        <v>5069</v>
      </c>
    </row>
    <row r="152" spans="1:10" x14ac:dyDescent="0.35">
      <c r="A152">
        <v>100</v>
      </c>
      <c r="B152">
        <v>31053462</v>
      </c>
      <c r="C152" t="s">
        <v>4358</v>
      </c>
      <c r="D152" t="s">
        <v>4359</v>
      </c>
      <c r="E152" t="s">
        <v>79</v>
      </c>
      <c r="F152">
        <v>2019</v>
      </c>
      <c r="G152" t="s">
        <v>4360</v>
      </c>
      <c r="H152" t="s">
        <v>4361</v>
      </c>
      <c r="I152" t="s">
        <v>4362</v>
      </c>
      <c r="J152" t="s">
        <v>4363</v>
      </c>
    </row>
    <row r="153" spans="1:10" x14ac:dyDescent="0.35">
      <c r="A153">
        <v>58</v>
      </c>
      <c r="B153">
        <v>31798951</v>
      </c>
      <c r="C153" t="s">
        <v>5044</v>
      </c>
      <c r="D153" t="s">
        <v>5045</v>
      </c>
      <c r="E153" t="s">
        <v>5046</v>
      </c>
      <c r="F153">
        <v>2019</v>
      </c>
      <c r="G153" t="s">
        <v>5047</v>
      </c>
      <c r="H153" t="s">
        <v>5048</v>
      </c>
      <c r="I153" t="s">
        <v>5049</v>
      </c>
      <c r="J153" t="s">
        <v>5050</v>
      </c>
    </row>
    <row r="154" spans="1:10" x14ac:dyDescent="0.35">
      <c r="A154">
        <v>63</v>
      </c>
      <c r="B154">
        <v>30212919</v>
      </c>
      <c r="C154" t="s">
        <v>5076</v>
      </c>
      <c r="D154" t="s">
        <v>5077</v>
      </c>
      <c r="E154" t="s">
        <v>63</v>
      </c>
      <c r="F154">
        <v>2019</v>
      </c>
      <c r="G154" t="s">
        <v>5078</v>
      </c>
      <c r="H154" t="s">
        <v>5079</v>
      </c>
      <c r="I154" t="s">
        <v>5080</v>
      </c>
      <c r="J154" t="s">
        <v>5081</v>
      </c>
    </row>
    <row r="155" spans="1:10" x14ac:dyDescent="0.35">
      <c r="A155">
        <v>94</v>
      </c>
      <c r="B155">
        <v>31853457</v>
      </c>
      <c r="C155" t="s">
        <v>5402</v>
      </c>
      <c r="D155" t="s">
        <v>5403</v>
      </c>
      <c r="E155" t="s">
        <v>4138</v>
      </c>
      <c r="F155">
        <v>2019</v>
      </c>
      <c r="G155" t="s">
        <v>5404</v>
      </c>
      <c r="H155" t="s">
        <v>5405</v>
      </c>
      <c r="I155" t="s">
        <v>5406</v>
      </c>
      <c r="J155" t="s">
        <v>5407</v>
      </c>
    </row>
    <row r="156" spans="1:10" x14ac:dyDescent="0.35">
      <c r="A156">
        <v>20</v>
      </c>
      <c r="B156">
        <v>31279767</v>
      </c>
      <c r="C156" t="s">
        <v>4696</v>
      </c>
      <c r="D156" t="s">
        <v>4697</v>
      </c>
      <c r="E156" t="s">
        <v>565</v>
      </c>
      <c r="F156">
        <v>2019</v>
      </c>
      <c r="G156" t="s">
        <v>4698</v>
      </c>
      <c r="H156" t="s">
        <v>2040</v>
      </c>
      <c r="I156" t="s">
        <v>4699</v>
      </c>
      <c r="J156" t="s">
        <v>4700</v>
      </c>
    </row>
    <row r="157" spans="1:10" x14ac:dyDescent="0.35">
      <c r="A157">
        <v>66</v>
      </c>
      <c r="B157">
        <v>29628379</v>
      </c>
      <c r="C157" t="s">
        <v>5087</v>
      </c>
      <c r="D157" t="s">
        <v>5088</v>
      </c>
      <c r="E157" t="s">
        <v>79</v>
      </c>
      <c r="F157">
        <v>2018</v>
      </c>
      <c r="G157" t="s">
        <v>5089</v>
      </c>
      <c r="H157" t="s">
        <v>4350</v>
      </c>
      <c r="I157" t="s">
        <v>5090</v>
      </c>
      <c r="J157" t="s">
        <v>5091</v>
      </c>
    </row>
    <row r="158" spans="1:10" x14ac:dyDescent="0.35">
      <c r="A158">
        <v>67</v>
      </c>
      <c r="B158">
        <v>29366740</v>
      </c>
      <c r="C158" t="s">
        <v>5092</v>
      </c>
      <c r="D158" t="s">
        <v>5093</v>
      </c>
      <c r="E158" t="s">
        <v>79</v>
      </c>
      <c r="F158">
        <v>2018</v>
      </c>
      <c r="G158" t="s">
        <v>5094</v>
      </c>
      <c r="H158" t="s">
        <v>4350</v>
      </c>
      <c r="I158" t="s">
        <v>5095</v>
      </c>
      <c r="J158" t="s">
        <v>5096</v>
      </c>
    </row>
    <row r="159" spans="1:10" x14ac:dyDescent="0.35">
      <c r="A159">
        <v>70</v>
      </c>
      <c r="B159">
        <v>28456816</v>
      </c>
      <c r="C159" t="s">
        <v>4161</v>
      </c>
      <c r="D159" t="s">
        <v>4162</v>
      </c>
      <c r="E159" t="s">
        <v>71</v>
      </c>
      <c r="F159">
        <v>2018</v>
      </c>
      <c r="G159" t="s">
        <v>4163</v>
      </c>
      <c r="H159" t="s">
        <v>4164</v>
      </c>
      <c r="I159" t="s">
        <v>4165</v>
      </c>
      <c r="J159" t="s">
        <v>4166</v>
      </c>
    </row>
    <row r="160" spans="1:10" x14ac:dyDescent="0.35">
      <c r="A160">
        <v>109</v>
      </c>
      <c r="B160">
        <v>29423546</v>
      </c>
      <c r="C160" t="s">
        <v>4376</v>
      </c>
      <c r="D160" t="s">
        <v>4377</v>
      </c>
      <c r="E160" t="s">
        <v>71</v>
      </c>
      <c r="F160">
        <v>2018</v>
      </c>
      <c r="G160" t="s">
        <v>4378</v>
      </c>
      <c r="H160" t="s">
        <v>344</v>
      </c>
      <c r="I160" t="s">
        <v>4379</v>
      </c>
      <c r="J160" t="s">
        <v>4380</v>
      </c>
    </row>
    <row r="161" spans="1:10" x14ac:dyDescent="0.35">
      <c r="A161">
        <v>113</v>
      </c>
      <c r="B161">
        <v>29066266</v>
      </c>
      <c r="C161" t="s">
        <v>4392</v>
      </c>
      <c r="D161" t="s">
        <v>4393</v>
      </c>
      <c r="E161" t="s">
        <v>79</v>
      </c>
      <c r="F161">
        <v>2018</v>
      </c>
      <c r="G161" t="s">
        <v>4394</v>
      </c>
      <c r="H161" t="s">
        <v>4395</v>
      </c>
      <c r="I161" t="s">
        <v>4396</v>
      </c>
      <c r="J161" t="s">
        <v>4397</v>
      </c>
    </row>
    <row r="162" spans="1:10" x14ac:dyDescent="0.35">
      <c r="A162">
        <v>65</v>
      </c>
      <c r="B162">
        <v>29628380</v>
      </c>
      <c r="C162" t="s">
        <v>5082</v>
      </c>
      <c r="D162" t="s">
        <v>5083</v>
      </c>
      <c r="E162" t="s">
        <v>79</v>
      </c>
      <c r="F162">
        <v>2018</v>
      </c>
      <c r="G162" t="s">
        <v>5084</v>
      </c>
      <c r="H162" t="s">
        <v>4367</v>
      </c>
      <c r="I162" t="s">
        <v>5085</v>
      </c>
      <c r="J162" t="s">
        <v>5086</v>
      </c>
    </row>
    <row r="163" spans="1:10" x14ac:dyDescent="0.35">
      <c r="A163">
        <v>114</v>
      </c>
      <c r="B163">
        <v>28753392</v>
      </c>
      <c r="C163" t="s">
        <v>4398</v>
      </c>
      <c r="D163" t="s">
        <v>4399</v>
      </c>
      <c r="E163" t="s">
        <v>130</v>
      </c>
      <c r="F163">
        <v>2018</v>
      </c>
      <c r="G163" t="s">
        <v>4400</v>
      </c>
      <c r="H163" t="s">
        <v>4401</v>
      </c>
      <c r="I163" t="s">
        <v>4402</v>
      </c>
      <c r="J163" t="s">
        <v>4403</v>
      </c>
    </row>
    <row r="164" spans="1:10" x14ac:dyDescent="0.35">
      <c r="A164">
        <v>111</v>
      </c>
      <c r="B164">
        <v>29191469</v>
      </c>
      <c r="C164" t="s">
        <v>4381</v>
      </c>
      <c r="D164" t="s">
        <v>4382</v>
      </c>
      <c r="E164" t="s">
        <v>565</v>
      </c>
      <c r="F164">
        <v>2018</v>
      </c>
      <c r="G164" t="s">
        <v>4383</v>
      </c>
      <c r="H164" t="s">
        <v>4384</v>
      </c>
      <c r="I164" t="s">
        <v>4385</v>
      </c>
      <c r="J164" t="s">
        <v>4386</v>
      </c>
    </row>
    <row r="165" spans="1:10" x14ac:dyDescent="0.35">
      <c r="A165">
        <v>64</v>
      </c>
      <c r="B165">
        <v>29782440</v>
      </c>
      <c r="C165" t="s">
        <v>4154</v>
      </c>
      <c r="D165" t="s">
        <v>4155</v>
      </c>
      <c r="E165" t="s">
        <v>4156</v>
      </c>
      <c r="F165">
        <v>2018</v>
      </c>
      <c r="G165" t="s">
        <v>4157</v>
      </c>
      <c r="H165" t="s">
        <v>4158</v>
      </c>
      <c r="I165" t="s">
        <v>4159</v>
      </c>
      <c r="J165" t="s">
        <v>4160</v>
      </c>
    </row>
    <row r="166" spans="1:10" x14ac:dyDescent="0.35">
      <c r="A166">
        <v>69</v>
      </c>
      <c r="B166">
        <v>28654440</v>
      </c>
      <c r="C166" t="s">
        <v>5103</v>
      </c>
      <c r="D166" t="s">
        <v>5104</v>
      </c>
      <c r="E166" t="s">
        <v>1449</v>
      </c>
      <c r="F166">
        <v>2018</v>
      </c>
      <c r="G166" t="s">
        <v>5105</v>
      </c>
      <c r="H166" t="s">
        <v>5106</v>
      </c>
      <c r="I166" t="s">
        <v>5107</v>
      </c>
      <c r="J166" t="s">
        <v>5108</v>
      </c>
    </row>
    <row r="167" spans="1:10" x14ac:dyDescent="0.35">
      <c r="A167">
        <v>120</v>
      </c>
      <c r="B167">
        <v>27923626</v>
      </c>
      <c r="C167" t="s">
        <v>4416</v>
      </c>
      <c r="D167" t="s">
        <v>4417</v>
      </c>
      <c r="E167" t="s">
        <v>528</v>
      </c>
      <c r="F167">
        <v>2017</v>
      </c>
      <c r="G167" t="s">
        <v>4418</v>
      </c>
      <c r="H167" t="s">
        <v>4419</v>
      </c>
      <c r="I167" t="s">
        <v>4420</v>
      </c>
      <c r="J167" t="s">
        <v>4421</v>
      </c>
    </row>
    <row r="168" spans="1:10" x14ac:dyDescent="0.35">
      <c r="A168">
        <v>118</v>
      </c>
      <c r="B168">
        <v>28068159</v>
      </c>
      <c r="C168" t="s">
        <v>4410</v>
      </c>
      <c r="D168" t="s">
        <v>4411</v>
      </c>
      <c r="E168" t="s">
        <v>130</v>
      </c>
      <c r="F168">
        <v>2017</v>
      </c>
      <c r="G168" t="s">
        <v>4412</v>
      </c>
      <c r="H168" t="s">
        <v>4413</v>
      </c>
      <c r="I168" t="s">
        <v>4414</v>
      </c>
      <c r="J168" t="s">
        <v>4415</v>
      </c>
    </row>
    <row r="169" spans="1:10" x14ac:dyDescent="0.35">
      <c r="A169">
        <v>72</v>
      </c>
      <c r="B169">
        <v>28040335</v>
      </c>
      <c r="C169" t="s">
        <v>5115</v>
      </c>
      <c r="D169" t="s">
        <v>5116</v>
      </c>
      <c r="E169" t="s">
        <v>79</v>
      </c>
      <c r="F169">
        <v>2017</v>
      </c>
      <c r="G169" t="s">
        <v>5117</v>
      </c>
      <c r="H169" t="s">
        <v>5118</v>
      </c>
      <c r="I169" t="s">
        <v>5119</v>
      </c>
      <c r="J169" t="s">
        <v>5120</v>
      </c>
    </row>
    <row r="170" spans="1:10" x14ac:dyDescent="0.35">
      <c r="A170">
        <v>112</v>
      </c>
      <c r="B170">
        <v>29115973</v>
      </c>
      <c r="C170" t="s">
        <v>4387</v>
      </c>
      <c r="D170" t="s">
        <v>4388</v>
      </c>
      <c r="E170" t="s">
        <v>4150</v>
      </c>
      <c r="F170">
        <v>2017</v>
      </c>
      <c r="G170" t="s">
        <v>4389</v>
      </c>
      <c r="H170" t="s">
        <v>624</v>
      </c>
      <c r="I170" t="s">
        <v>4390</v>
      </c>
      <c r="J170" t="s">
        <v>4391</v>
      </c>
    </row>
    <row r="171" spans="1:10" x14ac:dyDescent="0.35">
      <c r="A171">
        <v>116</v>
      </c>
      <c r="B171">
        <v>28502387</v>
      </c>
      <c r="C171" t="s">
        <v>4404</v>
      </c>
      <c r="D171" t="s">
        <v>4405</v>
      </c>
      <c r="E171" t="s">
        <v>79</v>
      </c>
      <c r="F171">
        <v>2017</v>
      </c>
      <c r="G171" t="s">
        <v>4406</v>
      </c>
      <c r="H171" t="s">
        <v>4407</v>
      </c>
      <c r="I171" t="s">
        <v>4408</v>
      </c>
      <c r="J171" t="s">
        <v>4409</v>
      </c>
    </row>
    <row r="172" spans="1:10" x14ac:dyDescent="0.35">
      <c r="A172">
        <v>24</v>
      </c>
      <c r="B172">
        <v>28583062</v>
      </c>
      <c r="C172" t="s">
        <v>5497</v>
      </c>
      <c r="D172" t="s">
        <v>5498</v>
      </c>
      <c r="E172" t="s">
        <v>5499</v>
      </c>
      <c r="F172">
        <v>2017</v>
      </c>
      <c r="G172" t="s">
        <v>977</v>
      </c>
      <c r="H172" t="s">
        <v>5281</v>
      </c>
      <c r="I172" t="s">
        <v>5500</v>
      </c>
      <c r="J172" t="s">
        <v>5501</v>
      </c>
    </row>
    <row r="173" spans="1:10" x14ac:dyDescent="0.35">
      <c r="A173">
        <v>73</v>
      </c>
      <c r="B173">
        <v>27544274</v>
      </c>
      <c r="C173" t="s">
        <v>5121</v>
      </c>
      <c r="D173" t="s">
        <v>5122</v>
      </c>
      <c r="E173" t="s">
        <v>71</v>
      </c>
      <c r="F173">
        <v>2017</v>
      </c>
      <c r="G173" t="s">
        <v>5123</v>
      </c>
      <c r="H173" t="s">
        <v>5124</v>
      </c>
      <c r="I173" t="s">
        <v>5125</v>
      </c>
      <c r="J173" t="s">
        <v>5126</v>
      </c>
    </row>
    <row r="174" spans="1:10" x14ac:dyDescent="0.35">
      <c r="A174">
        <v>68</v>
      </c>
      <c r="B174">
        <v>28660230</v>
      </c>
      <c r="C174" t="s">
        <v>5097</v>
      </c>
      <c r="D174" t="s">
        <v>5098</v>
      </c>
      <c r="E174" t="s">
        <v>4138</v>
      </c>
      <c r="F174">
        <v>2017</v>
      </c>
      <c r="G174" t="s">
        <v>5099</v>
      </c>
      <c r="H174" t="s">
        <v>5100</v>
      </c>
      <c r="I174" t="s">
        <v>5101</v>
      </c>
      <c r="J174" t="s">
        <v>5102</v>
      </c>
    </row>
    <row r="175" spans="1:10" x14ac:dyDescent="0.35">
      <c r="A175">
        <v>71</v>
      </c>
      <c r="B175">
        <v>28205075</v>
      </c>
      <c r="C175" t="s">
        <v>5109</v>
      </c>
      <c r="D175" t="s">
        <v>5110</v>
      </c>
      <c r="E175" t="s">
        <v>494</v>
      </c>
      <c r="F175">
        <v>2017</v>
      </c>
      <c r="G175" t="s">
        <v>5111</v>
      </c>
      <c r="H175" t="s">
        <v>5112</v>
      </c>
      <c r="I175" t="s">
        <v>5113</v>
      </c>
      <c r="J175" t="s">
        <v>5114</v>
      </c>
    </row>
    <row r="176" spans="1:10" x14ac:dyDescent="0.35">
      <c r="A176">
        <v>62</v>
      </c>
      <c r="B176">
        <v>27837221</v>
      </c>
      <c r="C176" t="s">
        <v>4589</v>
      </c>
      <c r="D176" t="s">
        <v>4590</v>
      </c>
      <c r="E176" t="s">
        <v>71</v>
      </c>
      <c r="F176">
        <v>2017</v>
      </c>
      <c r="G176" t="s">
        <v>4591</v>
      </c>
      <c r="H176" t="s">
        <v>4592</v>
      </c>
      <c r="I176" t="s">
        <v>4593</v>
      </c>
      <c r="J176" t="s">
        <v>4594</v>
      </c>
    </row>
    <row r="177" spans="1:10" x14ac:dyDescent="0.35">
      <c r="A177">
        <v>74</v>
      </c>
      <c r="B177">
        <v>27450741</v>
      </c>
      <c r="C177" t="s">
        <v>5127</v>
      </c>
      <c r="D177" t="s">
        <v>5128</v>
      </c>
      <c r="E177" t="s">
        <v>4738</v>
      </c>
      <c r="F177">
        <v>2016</v>
      </c>
      <c r="G177" t="s">
        <v>5129</v>
      </c>
      <c r="H177" t="s">
        <v>5130</v>
      </c>
      <c r="I177" t="s">
        <v>5131</v>
      </c>
      <c r="J177" t="s">
        <v>5132</v>
      </c>
    </row>
    <row r="178" spans="1:10" x14ac:dyDescent="0.35">
      <c r="A178">
        <v>75</v>
      </c>
      <c r="B178">
        <v>25999439</v>
      </c>
      <c r="C178" t="s">
        <v>5133</v>
      </c>
      <c r="D178" t="s">
        <v>5134</v>
      </c>
      <c r="E178" t="s">
        <v>130</v>
      </c>
      <c r="F178">
        <v>2016</v>
      </c>
      <c r="G178" t="s">
        <v>5135</v>
      </c>
      <c r="H178" t="s">
        <v>5136</v>
      </c>
      <c r="I178" t="s">
        <v>5137</v>
      </c>
      <c r="J178" t="s">
        <v>5138</v>
      </c>
    </row>
    <row r="179" spans="1:10" x14ac:dyDescent="0.35">
      <c r="A179">
        <v>126</v>
      </c>
      <c r="B179">
        <v>25802119</v>
      </c>
      <c r="C179" t="s">
        <v>5426</v>
      </c>
      <c r="D179" t="s">
        <v>5427</v>
      </c>
      <c r="E179" t="s">
        <v>130</v>
      </c>
      <c r="F179">
        <v>2016</v>
      </c>
      <c r="G179" t="s">
        <v>5428</v>
      </c>
      <c r="H179" t="s">
        <v>5079</v>
      </c>
      <c r="I179" t="s">
        <v>5429</v>
      </c>
      <c r="J179" t="s">
        <v>5430</v>
      </c>
    </row>
    <row r="180" spans="1:10" x14ac:dyDescent="0.35">
      <c r="A180">
        <v>124</v>
      </c>
      <c r="B180">
        <v>26354196</v>
      </c>
      <c r="C180" t="s">
        <v>4422</v>
      </c>
      <c r="D180" t="s">
        <v>4423</v>
      </c>
      <c r="E180" t="s">
        <v>79</v>
      </c>
      <c r="F180">
        <v>2015</v>
      </c>
      <c r="G180" t="s">
        <v>4424</v>
      </c>
      <c r="H180" t="s">
        <v>624</v>
      </c>
      <c r="I180" t="s">
        <v>4425</v>
      </c>
      <c r="J180" t="s">
        <v>4426</v>
      </c>
    </row>
    <row r="181" spans="1:10" x14ac:dyDescent="0.35">
      <c r="A181">
        <v>80</v>
      </c>
      <c r="B181">
        <v>25442654</v>
      </c>
      <c r="C181" t="s">
        <v>4167</v>
      </c>
      <c r="D181" t="s">
        <v>4168</v>
      </c>
      <c r="E181" t="s">
        <v>79</v>
      </c>
      <c r="F181">
        <v>2015</v>
      </c>
      <c r="G181" t="s">
        <v>4169</v>
      </c>
      <c r="H181" t="s">
        <v>4170</v>
      </c>
      <c r="I181" t="s">
        <v>4171</v>
      </c>
      <c r="J181" t="s">
        <v>4172</v>
      </c>
    </row>
    <row r="182" spans="1:10" x14ac:dyDescent="0.35">
      <c r="A182">
        <v>123</v>
      </c>
      <c r="B182">
        <v>26917031</v>
      </c>
      <c r="C182" t="s">
        <v>5419</v>
      </c>
      <c r="D182" t="s">
        <v>5420</v>
      </c>
      <c r="E182" t="s">
        <v>5421</v>
      </c>
      <c r="F182">
        <v>2015</v>
      </c>
      <c r="G182" t="s">
        <v>5422</v>
      </c>
      <c r="H182" t="s">
        <v>5423</v>
      </c>
      <c r="I182" t="s">
        <v>5424</v>
      </c>
      <c r="J182" t="s">
        <v>5425</v>
      </c>
    </row>
    <row r="183" spans="1:10" x14ac:dyDescent="0.35">
      <c r="A183">
        <v>77</v>
      </c>
      <c r="B183">
        <v>27501023</v>
      </c>
      <c r="C183" t="s">
        <v>5145</v>
      </c>
      <c r="D183" t="s">
        <v>5146</v>
      </c>
      <c r="E183" t="s">
        <v>4844</v>
      </c>
      <c r="F183">
        <v>2015</v>
      </c>
      <c r="G183" t="s">
        <v>5147</v>
      </c>
      <c r="H183" t="s">
        <v>5148</v>
      </c>
      <c r="I183" t="s">
        <v>5149</v>
      </c>
      <c r="J183" t="s">
        <v>5150</v>
      </c>
    </row>
    <row r="184" spans="1:10" x14ac:dyDescent="0.35">
      <c r="A184">
        <v>76</v>
      </c>
      <c r="B184">
        <v>25727493</v>
      </c>
      <c r="C184" t="s">
        <v>5139</v>
      </c>
      <c r="D184" t="s">
        <v>5140</v>
      </c>
      <c r="E184" t="s">
        <v>79</v>
      </c>
      <c r="F184">
        <v>2015</v>
      </c>
      <c r="G184" t="s">
        <v>5141</v>
      </c>
      <c r="H184" t="s">
        <v>5142</v>
      </c>
      <c r="I184" t="s">
        <v>5143</v>
      </c>
      <c r="J184" t="s">
        <v>5144</v>
      </c>
    </row>
    <row r="185" spans="1:10" x14ac:dyDescent="0.35">
      <c r="A185">
        <v>79</v>
      </c>
      <c r="B185">
        <v>25543249</v>
      </c>
      <c r="C185" t="s">
        <v>5157</v>
      </c>
      <c r="D185" t="s">
        <v>5158</v>
      </c>
      <c r="E185" t="s">
        <v>79</v>
      </c>
      <c r="F185">
        <v>2015</v>
      </c>
      <c r="G185" t="s">
        <v>5159</v>
      </c>
      <c r="H185" t="s">
        <v>5160</v>
      </c>
      <c r="I185" t="s">
        <v>5161</v>
      </c>
      <c r="J185" t="s">
        <v>5162</v>
      </c>
    </row>
    <row r="186" spans="1:10" x14ac:dyDescent="0.35">
      <c r="A186">
        <v>78</v>
      </c>
      <c r="B186">
        <v>25547048</v>
      </c>
      <c r="C186" t="s">
        <v>5151</v>
      </c>
      <c r="D186" t="s">
        <v>5152</v>
      </c>
      <c r="E186" t="s">
        <v>528</v>
      </c>
      <c r="F186">
        <v>2015</v>
      </c>
      <c r="G186" t="s">
        <v>5153</v>
      </c>
      <c r="H186" t="s">
        <v>5154</v>
      </c>
      <c r="I186" t="s">
        <v>5155</v>
      </c>
      <c r="J186" t="s">
        <v>5156</v>
      </c>
    </row>
    <row r="187" spans="1:10" x14ac:dyDescent="0.35">
      <c r="A187">
        <v>82</v>
      </c>
      <c r="B187">
        <v>24748500</v>
      </c>
      <c r="C187" t="s">
        <v>5170</v>
      </c>
      <c r="D187" t="s">
        <v>5171</v>
      </c>
      <c r="E187" t="s">
        <v>1399</v>
      </c>
      <c r="F187">
        <v>2015</v>
      </c>
      <c r="G187" t="s">
        <v>5172</v>
      </c>
      <c r="H187" t="s">
        <v>5154</v>
      </c>
      <c r="I187" t="s">
        <v>5173</v>
      </c>
      <c r="J187" t="s">
        <v>5174</v>
      </c>
    </row>
    <row r="188" spans="1:10" x14ac:dyDescent="0.35">
      <c r="A188">
        <v>30</v>
      </c>
      <c r="B188">
        <v>24553885</v>
      </c>
      <c r="C188" t="s">
        <v>4718</v>
      </c>
      <c r="D188" t="s">
        <v>4719</v>
      </c>
      <c r="E188" t="s">
        <v>47</v>
      </c>
      <c r="F188">
        <v>2014</v>
      </c>
      <c r="G188" t="s">
        <v>4720</v>
      </c>
      <c r="H188" t="s">
        <v>4721</v>
      </c>
      <c r="I188" t="s">
        <v>4722</v>
      </c>
      <c r="J188" t="s">
        <v>4723</v>
      </c>
    </row>
    <row r="189" spans="1:10" x14ac:dyDescent="0.35">
      <c r="A189">
        <v>65</v>
      </c>
      <c r="B189">
        <v>23812438</v>
      </c>
      <c r="C189" t="s">
        <v>4595</v>
      </c>
      <c r="D189" t="s">
        <v>4596</v>
      </c>
      <c r="E189" t="s">
        <v>71</v>
      </c>
      <c r="F189">
        <v>2014</v>
      </c>
      <c r="G189" t="s">
        <v>4597</v>
      </c>
      <c r="H189" t="s">
        <v>4598</v>
      </c>
      <c r="I189" t="s">
        <v>4599</v>
      </c>
      <c r="J189" t="s">
        <v>4600</v>
      </c>
    </row>
    <row r="190" spans="1:10" x14ac:dyDescent="0.35">
      <c r="A190">
        <v>29</v>
      </c>
      <c r="B190">
        <v>24992054</v>
      </c>
      <c r="C190" t="s">
        <v>4713</v>
      </c>
      <c r="D190" t="s">
        <v>4714</v>
      </c>
      <c r="E190" t="s">
        <v>291</v>
      </c>
      <c r="F190">
        <v>2014</v>
      </c>
      <c r="G190" t="s">
        <v>4715</v>
      </c>
      <c r="H190" t="s">
        <v>1160</v>
      </c>
      <c r="I190" t="s">
        <v>4716</v>
      </c>
      <c r="J190" t="s">
        <v>4717</v>
      </c>
    </row>
    <row r="191" spans="1:10" x14ac:dyDescent="0.35">
      <c r="A191">
        <v>133</v>
      </c>
      <c r="B191">
        <v>23595537</v>
      </c>
      <c r="C191" t="s">
        <v>5431</v>
      </c>
      <c r="D191" t="s">
        <v>5432</v>
      </c>
      <c r="E191" t="s">
        <v>71</v>
      </c>
      <c r="F191">
        <v>2014</v>
      </c>
      <c r="G191" t="s">
        <v>5433</v>
      </c>
      <c r="H191" t="s">
        <v>5434</v>
      </c>
      <c r="I191" t="s">
        <v>5435</v>
      </c>
      <c r="J191" t="s">
        <v>5436</v>
      </c>
    </row>
    <row r="192" spans="1:10" x14ac:dyDescent="0.35">
      <c r="A192">
        <v>131</v>
      </c>
      <c r="B192">
        <v>25064753</v>
      </c>
      <c r="C192" t="s">
        <v>4427</v>
      </c>
      <c r="D192" t="s">
        <v>4428</v>
      </c>
      <c r="E192" t="s">
        <v>79</v>
      </c>
      <c r="F192">
        <v>2014</v>
      </c>
      <c r="G192" t="s">
        <v>4429</v>
      </c>
      <c r="H192" t="s">
        <v>4430</v>
      </c>
      <c r="I192" t="s">
        <v>4431</v>
      </c>
      <c r="J192" t="s">
        <v>4432</v>
      </c>
    </row>
    <row r="193" spans="1:10" x14ac:dyDescent="0.35">
      <c r="A193">
        <v>81</v>
      </c>
      <c r="B193">
        <v>25269758</v>
      </c>
      <c r="C193" t="s">
        <v>5163</v>
      </c>
      <c r="D193" t="s">
        <v>5164</v>
      </c>
      <c r="E193" t="s">
        <v>5165</v>
      </c>
      <c r="F193">
        <v>2014</v>
      </c>
      <c r="G193" t="s">
        <v>5166</v>
      </c>
      <c r="H193" t="s">
        <v>5167</v>
      </c>
      <c r="I193" t="s">
        <v>5168</v>
      </c>
      <c r="J193" t="s">
        <v>5169</v>
      </c>
    </row>
    <row r="194" spans="1:10" x14ac:dyDescent="0.35">
      <c r="A194">
        <v>31</v>
      </c>
      <c r="B194">
        <v>23820260</v>
      </c>
      <c r="C194" t="s">
        <v>4724</v>
      </c>
      <c r="D194" t="s">
        <v>4725</v>
      </c>
      <c r="E194" t="s">
        <v>79</v>
      </c>
      <c r="F194">
        <v>2013</v>
      </c>
      <c r="G194" t="s">
        <v>4726</v>
      </c>
      <c r="H194" t="s">
        <v>4727</v>
      </c>
      <c r="I194" t="s">
        <v>4728</v>
      </c>
      <c r="J194" t="s">
        <v>4729</v>
      </c>
    </row>
    <row r="195" spans="1:10" x14ac:dyDescent="0.35">
      <c r="A195">
        <v>134</v>
      </c>
      <c r="B195">
        <v>23007413</v>
      </c>
      <c r="C195" t="s">
        <v>5437</v>
      </c>
      <c r="D195" t="s">
        <v>5438</v>
      </c>
      <c r="E195" t="s">
        <v>71</v>
      </c>
      <c r="F195">
        <v>2013</v>
      </c>
      <c r="G195" t="s">
        <v>5439</v>
      </c>
      <c r="H195" t="s">
        <v>5440</v>
      </c>
      <c r="I195" t="s">
        <v>5441</v>
      </c>
      <c r="J195" t="s">
        <v>5442</v>
      </c>
    </row>
    <row r="196" spans="1:10" x14ac:dyDescent="0.35">
      <c r="A196">
        <v>66</v>
      </c>
      <c r="B196">
        <v>23177469</v>
      </c>
      <c r="C196" t="s">
        <v>4601</v>
      </c>
      <c r="D196" t="s">
        <v>4602</v>
      </c>
      <c r="E196" t="s">
        <v>320</v>
      </c>
      <c r="F196">
        <v>2013</v>
      </c>
      <c r="G196" t="s">
        <v>4603</v>
      </c>
      <c r="H196" t="s">
        <v>4604</v>
      </c>
      <c r="I196" t="s">
        <v>4605</v>
      </c>
      <c r="J196" t="s">
        <v>4606</v>
      </c>
    </row>
    <row r="197" spans="1:10" x14ac:dyDescent="0.35">
      <c r="A197">
        <v>135</v>
      </c>
      <c r="B197">
        <v>22560484</v>
      </c>
      <c r="C197" t="s">
        <v>4433</v>
      </c>
      <c r="D197" t="s">
        <v>4434</v>
      </c>
      <c r="E197" t="s">
        <v>79</v>
      </c>
      <c r="F197">
        <v>2012</v>
      </c>
      <c r="G197" t="s">
        <v>4435</v>
      </c>
      <c r="H197" t="s">
        <v>1676</v>
      </c>
      <c r="I197" t="s">
        <v>4436</v>
      </c>
      <c r="J197" t="s">
        <v>4437</v>
      </c>
    </row>
    <row r="198" spans="1:10" x14ac:dyDescent="0.35">
      <c r="A198">
        <v>33</v>
      </c>
      <c r="B198">
        <v>23153663</v>
      </c>
      <c r="C198" t="s">
        <v>4730</v>
      </c>
      <c r="D198" t="s">
        <v>4731</v>
      </c>
      <c r="E198" t="s">
        <v>565</v>
      </c>
      <c r="F198">
        <v>2012</v>
      </c>
      <c r="G198" t="s">
        <v>4732</v>
      </c>
      <c r="H198" t="s">
        <v>4733</v>
      </c>
      <c r="I198" t="s">
        <v>4734</v>
      </c>
      <c r="J198" t="s">
        <v>4735</v>
      </c>
    </row>
    <row r="199" spans="1:10" x14ac:dyDescent="0.35">
      <c r="A199">
        <v>34</v>
      </c>
      <c r="B199">
        <v>23152258</v>
      </c>
      <c r="C199" t="s">
        <v>4736</v>
      </c>
      <c r="D199" t="s">
        <v>4737</v>
      </c>
      <c r="E199" t="s">
        <v>4738</v>
      </c>
      <c r="F199">
        <v>2012</v>
      </c>
      <c r="G199" t="s">
        <v>4739</v>
      </c>
      <c r="H199" t="s">
        <v>4740</v>
      </c>
      <c r="I199" t="s">
        <v>4741</v>
      </c>
      <c r="J199" t="s">
        <v>4742</v>
      </c>
    </row>
    <row r="200" spans="1:10" x14ac:dyDescent="0.35">
      <c r="A200">
        <v>140</v>
      </c>
      <c r="B200">
        <v>21063817</v>
      </c>
      <c r="C200" t="s">
        <v>4450</v>
      </c>
      <c r="D200" t="s">
        <v>4451</v>
      </c>
      <c r="E200" t="s">
        <v>494</v>
      </c>
      <c r="F200">
        <v>2011</v>
      </c>
      <c r="G200" t="s">
        <v>4452</v>
      </c>
      <c r="H200" t="s">
        <v>4453</v>
      </c>
      <c r="I200" t="s">
        <v>4454</v>
      </c>
      <c r="J200" t="s">
        <v>4455</v>
      </c>
    </row>
    <row r="201" spans="1:10" x14ac:dyDescent="0.35">
      <c r="A201">
        <v>88</v>
      </c>
      <c r="B201">
        <v>20850327</v>
      </c>
      <c r="C201" t="s">
        <v>5191</v>
      </c>
      <c r="D201" t="s">
        <v>5192</v>
      </c>
      <c r="E201" t="s">
        <v>528</v>
      </c>
      <c r="F201">
        <v>2011</v>
      </c>
      <c r="G201" t="s">
        <v>5193</v>
      </c>
      <c r="H201" t="s">
        <v>729</v>
      </c>
      <c r="I201" t="s">
        <v>5194</v>
      </c>
      <c r="J201" t="s">
        <v>5195</v>
      </c>
    </row>
    <row r="202" spans="1:10" x14ac:dyDescent="0.35">
      <c r="A202">
        <v>87</v>
      </c>
      <c r="B202">
        <v>20953764</v>
      </c>
      <c r="C202" t="s">
        <v>5186</v>
      </c>
      <c r="D202" t="s">
        <v>5187</v>
      </c>
      <c r="E202" t="s">
        <v>71</v>
      </c>
      <c r="F202">
        <v>2011</v>
      </c>
      <c r="G202" t="s">
        <v>5188</v>
      </c>
      <c r="H202" t="s">
        <v>5148</v>
      </c>
      <c r="I202" t="s">
        <v>5189</v>
      </c>
      <c r="J202" t="s">
        <v>5190</v>
      </c>
    </row>
    <row r="203" spans="1:10" x14ac:dyDescent="0.35">
      <c r="A203">
        <v>84</v>
      </c>
      <c r="B203">
        <v>21901700</v>
      </c>
      <c r="C203" t="s">
        <v>5175</v>
      </c>
      <c r="D203" t="s">
        <v>5176</v>
      </c>
      <c r="E203" t="s">
        <v>4738</v>
      </c>
      <c r="F203">
        <v>2011</v>
      </c>
      <c r="G203" t="s">
        <v>5177</v>
      </c>
      <c r="H203" t="s">
        <v>1358</v>
      </c>
      <c r="I203" t="s">
        <v>5178</v>
      </c>
      <c r="J203" t="s">
        <v>5179</v>
      </c>
    </row>
    <row r="204" spans="1:10" x14ac:dyDescent="0.35">
      <c r="A204">
        <v>85</v>
      </c>
      <c r="B204">
        <v>21553794</v>
      </c>
      <c r="C204" t="s">
        <v>5460</v>
      </c>
      <c r="D204" t="s">
        <v>5461</v>
      </c>
      <c r="E204" t="s">
        <v>5462</v>
      </c>
      <c r="F204">
        <v>2011</v>
      </c>
      <c r="G204" t="s">
        <v>977</v>
      </c>
      <c r="H204" t="s">
        <v>5463</v>
      </c>
      <c r="I204" t="s">
        <v>5464</v>
      </c>
      <c r="J204" t="s">
        <v>5465</v>
      </c>
    </row>
    <row r="205" spans="1:10" x14ac:dyDescent="0.35">
      <c r="A205">
        <v>35</v>
      </c>
      <c r="B205">
        <v>21820843</v>
      </c>
      <c r="C205" t="s">
        <v>4743</v>
      </c>
      <c r="D205" t="s">
        <v>4744</v>
      </c>
      <c r="E205" t="s">
        <v>79</v>
      </c>
      <c r="F205">
        <v>2011</v>
      </c>
      <c r="G205" t="s">
        <v>4745</v>
      </c>
      <c r="H205" t="s">
        <v>4746</v>
      </c>
      <c r="I205" t="s">
        <v>4747</v>
      </c>
      <c r="J205" t="s">
        <v>4748</v>
      </c>
    </row>
    <row r="206" spans="1:10" x14ac:dyDescent="0.35">
      <c r="A206">
        <v>83</v>
      </c>
      <c r="B206">
        <v>22340342</v>
      </c>
      <c r="C206" t="s">
        <v>5522</v>
      </c>
      <c r="D206" t="s">
        <v>5523</v>
      </c>
      <c r="E206" t="s">
        <v>2869</v>
      </c>
      <c r="F206">
        <v>2011</v>
      </c>
      <c r="G206" t="s">
        <v>977</v>
      </c>
      <c r="H206" t="s">
        <v>5524</v>
      </c>
      <c r="I206" t="s">
        <v>5525</v>
      </c>
      <c r="J206" t="s">
        <v>5526</v>
      </c>
    </row>
    <row r="207" spans="1:10" x14ac:dyDescent="0.35">
      <c r="A207">
        <v>138</v>
      </c>
      <c r="B207">
        <v>21776554</v>
      </c>
      <c r="C207" t="s">
        <v>4438</v>
      </c>
      <c r="D207" t="s">
        <v>4439</v>
      </c>
      <c r="E207" t="s">
        <v>47</v>
      </c>
      <c r="F207">
        <v>2011</v>
      </c>
      <c r="G207" t="s">
        <v>4440</v>
      </c>
      <c r="H207" t="s">
        <v>4294</v>
      </c>
      <c r="I207" t="s">
        <v>4441</v>
      </c>
      <c r="J207" t="s">
        <v>4442</v>
      </c>
    </row>
    <row r="208" spans="1:10" x14ac:dyDescent="0.35">
      <c r="A208">
        <v>90</v>
      </c>
      <c r="B208">
        <v>19902178</v>
      </c>
      <c r="C208" t="s">
        <v>4173</v>
      </c>
      <c r="D208" t="s">
        <v>4174</v>
      </c>
      <c r="E208" t="s">
        <v>71</v>
      </c>
      <c r="F208">
        <v>2010</v>
      </c>
      <c r="G208" t="s">
        <v>4175</v>
      </c>
      <c r="H208" t="s">
        <v>57</v>
      </c>
      <c r="I208" t="s">
        <v>4176</v>
      </c>
      <c r="J208" t="s">
        <v>4177</v>
      </c>
    </row>
    <row r="209" spans="1:10" x14ac:dyDescent="0.35">
      <c r="A209">
        <v>86</v>
      </c>
      <c r="B209">
        <v>21035009</v>
      </c>
      <c r="C209" t="s">
        <v>5180</v>
      </c>
      <c r="D209" t="s">
        <v>5181</v>
      </c>
      <c r="E209" t="s">
        <v>79</v>
      </c>
      <c r="F209">
        <v>2010</v>
      </c>
      <c r="G209" t="s">
        <v>5182</v>
      </c>
      <c r="H209" t="s">
        <v>5183</v>
      </c>
      <c r="I209" t="s">
        <v>5184</v>
      </c>
      <c r="J209" t="s">
        <v>5185</v>
      </c>
    </row>
    <row r="210" spans="1:10" x14ac:dyDescent="0.35">
      <c r="A210">
        <v>139</v>
      </c>
      <c r="B210">
        <v>21079509</v>
      </c>
      <c r="C210" t="s">
        <v>4443</v>
      </c>
      <c r="D210" t="s">
        <v>4444</v>
      </c>
      <c r="E210" t="s">
        <v>4445</v>
      </c>
      <c r="F210">
        <v>2010</v>
      </c>
      <c r="G210" t="s">
        <v>4446</v>
      </c>
      <c r="H210" t="s">
        <v>4447</v>
      </c>
      <c r="I210" t="s">
        <v>4448</v>
      </c>
      <c r="J210" t="s">
        <v>4449</v>
      </c>
    </row>
    <row r="211" spans="1:10" x14ac:dyDescent="0.35">
      <c r="A211">
        <v>89</v>
      </c>
      <c r="B211">
        <v>20810081</v>
      </c>
      <c r="C211" t="s">
        <v>5196</v>
      </c>
      <c r="D211" t="s">
        <v>5197</v>
      </c>
      <c r="E211" t="s">
        <v>79</v>
      </c>
      <c r="F211">
        <v>2010</v>
      </c>
      <c r="G211" t="s">
        <v>5198</v>
      </c>
      <c r="H211" t="s">
        <v>5199</v>
      </c>
      <c r="I211" t="s">
        <v>5200</v>
      </c>
      <c r="J211" t="s">
        <v>5201</v>
      </c>
    </row>
    <row r="212" spans="1:10" x14ac:dyDescent="0.35">
      <c r="A212">
        <v>144</v>
      </c>
      <c r="B212">
        <v>20734024</v>
      </c>
      <c r="C212" t="s">
        <v>4456</v>
      </c>
      <c r="D212" t="s">
        <v>4457</v>
      </c>
      <c r="E212" t="s">
        <v>408</v>
      </c>
      <c r="F212">
        <v>2010</v>
      </c>
      <c r="G212" t="s">
        <v>4458</v>
      </c>
      <c r="H212" t="s">
        <v>4459</v>
      </c>
      <c r="I212" t="s">
        <v>4460</v>
      </c>
      <c r="J212" t="s">
        <v>4461</v>
      </c>
    </row>
    <row r="213" spans="1:10" x14ac:dyDescent="0.35">
      <c r="A213">
        <v>91</v>
      </c>
      <c r="B213">
        <v>19709991</v>
      </c>
      <c r="C213" t="s">
        <v>5202</v>
      </c>
      <c r="D213" t="s">
        <v>5203</v>
      </c>
      <c r="E213" t="s">
        <v>130</v>
      </c>
      <c r="F213">
        <v>2009</v>
      </c>
      <c r="G213" t="s">
        <v>5204</v>
      </c>
      <c r="H213" t="s">
        <v>5205</v>
      </c>
      <c r="I213" t="s">
        <v>5206</v>
      </c>
      <c r="J213" t="s">
        <v>5207</v>
      </c>
    </row>
    <row r="214" spans="1:10" x14ac:dyDescent="0.35">
      <c r="A214">
        <v>92</v>
      </c>
      <c r="B214">
        <v>19476176</v>
      </c>
      <c r="C214" t="s">
        <v>5208</v>
      </c>
      <c r="D214" t="s">
        <v>5209</v>
      </c>
      <c r="E214" t="s">
        <v>63</v>
      </c>
      <c r="F214">
        <v>2009</v>
      </c>
      <c r="G214" t="s">
        <v>5210</v>
      </c>
      <c r="H214" t="s">
        <v>5211</v>
      </c>
      <c r="I214" t="s">
        <v>5212</v>
      </c>
      <c r="J214" t="s">
        <v>5213</v>
      </c>
    </row>
    <row r="215" spans="1:10" x14ac:dyDescent="0.35">
      <c r="A215">
        <v>93</v>
      </c>
      <c r="B215">
        <v>18757764</v>
      </c>
      <c r="C215" t="s">
        <v>5214</v>
      </c>
      <c r="D215" t="s">
        <v>5215</v>
      </c>
      <c r="E215" t="s">
        <v>130</v>
      </c>
      <c r="F215">
        <v>2008</v>
      </c>
      <c r="G215" t="s">
        <v>5216</v>
      </c>
      <c r="H215" t="s">
        <v>5217</v>
      </c>
      <c r="I215" t="s">
        <v>5218</v>
      </c>
      <c r="J215" t="s">
        <v>5219</v>
      </c>
    </row>
    <row r="216" spans="1:10" x14ac:dyDescent="0.35">
      <c r="A216">
        <v>150</v>
      </c>
      <c r="B216">
        <v>17146361</v>
      </c>
      <c r="C216" t="s">
        <v>5443</v>
      </c>
      <c r="D216" t="s">
        <v>5444</v>
      </c>
      <c r="E216" t="s">
        <v>494</v>
      </c>
      <c r="F216">
        <v>2007</v>
      </c>
      <c r="G216" t="s">
        <v>5445</v>
      </c>
      <c r="H216" t="s">
        <v>5446</v>
      </c>
      <c r="I216" t="s">
        <v>5447</v>
      </c>
      <c r="J216" t="s">
        <v>5448</v>
      </c>
    </row>
    <row r="217" spans="1:10" x14ac:dyDescent="0.35">
      <c r="A217">
        <v>37</v>
      </c>
      <c r="B217">
        <v>17493414</v>
      </c>
      <c r="C217" t="s">
        <v>5502</v>
      </c>
      <c r="D217" t="s">
        <v>5503</v>
      </c>
      <c r="E217" t="s">
        <v>3764</v>
      </c>
      <c r="F217">
        <v>2007</v>
      </c>
      <c r="G217" t="s">
        <v>977</v>
      </c>
      <c r="H217" t="s">
        <v>5504</v>
      </c>
      <c r="I217" t="s">
        <v>5505</v>
      </c>
      <c r="J217" t="s">
        <v>5506</v>
      </c>
    </row>
    <row r="218" spans="1:10" x14ac:dyDescent="0.35">
      <c r="A218">
        <v>148</v>
      </c>
      <c r="B218">
        <v>17645372</v>
      </c>
      <c r="C218" t="s">
        <v>4462</v>
      </c>
      <c r="D218" t="s">
        <v>4463</v>
      </c>
      <c r="E218" t="s">
        <v>2239</v>
      </c>
      <c r="F218">
        <v>2007</v>
      </c>
      <c r="G218" t="s">
        <v>4464</v>
      </c>
      <c r="H218" t="s">
        <v>4465</v>
      </c>
      <c r="I218" t="s">
        <v>4466</v>
      </c>
      <c r="J218" t="s">
        <v>4467</v>
      </c>
    </row>
    <row r="219" spans="1:10" x14ac:dyDescent="0.35">
      <c r="A219">
        <v>94</v>
      </c>
      <c r="B219">
        <v>17437083</v>
      </c>
      <c r="C219" t="s">
        <v>5220</v>
      </c>
      <c r="D219" t="s">
        <v>5221</v>
      </c>
      <c r="E219" t="s">
        <v>71</v>
      </c>
      <c r="F219">
        <v>2007</v>
      </c>
      <c r="G219" t="s">
        <v>5222</v>
      </c>
      <c r="H219" t="s">
        <v>5223</v>
      </c>
      <c r="I219" t="s">
        <v>5224</v>
      </c>
      <c r="J219" t="s">
        <v>5225</v>
      </c>
    </row>
    <row r="220" spans="1:10" x14ac:dyDescent="0.35">
      <c r="A220">
        <v>95</v>
      </c>
      <c r="B220">
        <v>16603564</v>
      </c>
      <c r="C220" t="s">
        <v>5226</v>
      </c>
      <c r="D220" t="s">
        <v>5227</v>
      </c>
      <c r="E220" t="s">
        <v>5228</v>
      </c>
      <c r="F220">
        <v>2006</v>
      </c>
      <c r="G220" t="s">
        <v>5229</v>
      </c>
      <c r="H220" t="s">
        <v>5205</v>
      </c>
      <c r="I220" t="s">
        <v>5230</v>
      </c>
      <c r="J220" t="s">
        <v>5231</v>
      </c>
    </row>
    <row r="221" spans="1:10" x14ac:dyDescent="0.35">
      <c r="A221">
        <v>69</v>
      </c>
      <c r="B221">
        <v>16806942</v>
      </c>
      <c r="C221" t="s">
        <v>4607</v>
      </c>
      <c r="D221" t="s">
        <v>4608</v>
      </c>
      <c r="E221" t="s">
        <v>528</v>
      </c>
      <c r="F221">
        <v>2006</v>
      </c>
      <c r="G221" t="s">
        <v>4609</v>
      </c>
      <c r="H221" t="s">
        <v>4610</v>
      </c>
      <c r="I221" t="s">
        <v>4611</v>
      </c>
      <c r="J221" t="s">
        <v>4612</v>
      </c>
    </row>
    <row r="222" spans="1:10" x14ac:dyDescent="0.35">
      <c r="A222">
        <v>98</v>
      </c>
      <c r="B222">
        <v>15911297</v>
      </c>
      <c r="C222" t="s">
        <v>5243</v>
      </c>
      <c r="D222" t="s">
        <v>5244</v>
      </c>
      <c r="E222" t="s">
        <v>528</v>
      </c>
      <c r="F222">
        <v>2005</v>
      </c>
      <c r="G222" t="s">
        <v>5245</v>
      </c>
      <c r="H222" t="s">
        <v>5246</v>
      </c>
      <c r="I222" t="s">
        <v>5247</v>
      </c>
      <c r="J222" t="s">
        <v>5248</v>
      </c>
    </row>
    <row r="223" spans="1:10" x14ac:dyDescent="0.35">
      <c r="A223">
        <v>97</v>
      </c>
      <c r="B223">
        <v>16012491</v>
      </c>
      <c r="C223" t="s">
        <v>5237</v>
      </c>
      <c r="D223" t="s">
        <v>5238</v>
      </c>
      <c r="E223" t="s">
        <v>79</v>
      </c>
      <c r="F223">
        <v>2005</v>
      </c>
      <c r="G223" t="s">
        <v>5239</v>
      </c>
      <c r="H223" t="s">
        <v>5240</v>
      </c>
      <c r="I223" t="s">
        <v>5241</v>
      </c>
      <c r="J223" t="s">
        <v>5242</v>
      </c>
    </row>
    <row r="224" spans="1:10" x14ac:dyDescent="0.35">
      <c r="A224">
        <v>96</v>
      </c>
      <c r="B224">
        <v>16226648</v>
      </c>
      <c r="C224" t="s">
        <v>5232</v>
      </c>
      <c r="D224" t="s">
        <v>5233</v>
      </c>
      <c r="E224" t="s">
        <v>79</v>
      </c>
      <c r="F224">
        <v>2005</v>
      </c>
      <c r="G224" t="s">
        <v>5234</v>
      </c>
      <c r="H224" t="s">
        <v>5223</v>
      </c>
      <c r="I224" t="s">
        <v>5235</v>
      </c>
      <c r="J224" t="s">
        <v>5236</v>
      </c>
    </row>
    <row r="225" spans="1:10" x14ac:dyDescent="0.35">
      <c r="A225">
        <v>155</v>
      </c>
      <c r="B225">
        <v>15743847</v>
      </c>
      <c r="C225" t="s">
        <v>4468</v>
      </c>
      <c r="D225" t="s">
        <v>4469</v>
      </c>
      <c r="E225" t="s">
        <v>47</v>
      </c>
      <c r="F225">
        <v>2005</v>
      </c>
      <c r="G225" t="s">
        <v>4470</v>
      </c>
      <c r="H225" t="s">
        <v>4471</v>
      </c>
      <c r="I225" t="s">
        <v>4472</v>
      </c>
      <c r="J225" t="s">
        <v>4473</v>
      </c>
    </row>
    <row r="226" spans="1:10" x14ac:dyDescent="0.35">
      <c r="A226">
        <v>99</v>
      </c>
      <c r="B226">
        <v>15572332</v>
      </c>
      <c r="C226" t="s">
        <v>5249</v>
      </c>
      <c r="D226" t="s">
        <v>5250</v>
      </c>
      <c r="E226" t="s">
        <v>130</v>
      </c>
      <c r="F226">
        <v>2004</v>
      </c>
      <c r="G226" t="s">
        <v>5251</v>
      </c>
      <c r="H226" t="s">
        <v>5252</v>
      </c>
      <c r="I226" t="s">
        <v>5253</v>
      </c>
      <c r="J226" t="s">
        <v>5254</v>
      </c>
    </row>
    <row r="227" spans="1:10" x14ac:dyDescent="0.35">
      <c r="A227">
        <v>101</v>
      </c>
      <c r="B227">
        <v>12627149</v>
      </c>
      <c r="C227" t="s">
        <v>4178</v>
      </c>
      <c r="D227" t="s">
        <v>4179</v>
      </c>
      <c r="E227" t="s">
        <v>79</v>
      </c>
      <c r="F227">
        <v>2003</v>
      </c>
      <c r="G227" t="s">
        <v>4180</v>
      </c>
      <c r="H227" t="s">
        <v>4181</v>
      </c>
      <c r="I227" t="s">
        <v>4182</v>
      </c>
      <c r="J227" t="s">
        <v>4183</v>
      </c>
    </row>
    <row r="228" spans="1:10" x14ac:dyDescent="0.35">
      <c r="A228">
        <v>102</v>
      </c>
      <c r="B228">
        <v>12531750</v>
      </c>
      <c r="C228" t="s">
        <v>5261</v>
      </c>
      <c r="D228" t="s">
        <v>5262</v>
      </c>
      <c r="E228" t="s">
        <v>130</v>
      </c>
      <c r="F228">
        <v>2003</v>
      </c>
      <c r="G228" t="s">
        <v>5263</v>
      </c>
      <c r="H228" t="s">
        <v>5264</v>
      </c>
      <c r="I228" t="s">
        <v>5265</v>
      </c>
      <c r="J228" t="s">
        <v>5266</v>
      </c>
    </row>
    <row r="229" spans="1:10" x14ac:dyDescent="0.35">
      <c r="A229">
        <v>100</v>
      </c>
      <c r="B229">
        <v>12735201</v>
      </c>
      <c r="C229" t="s">
        <v>5255</v>
      </c>
      <c r="D229" t="s">
        <v>5256</v>
      </c>
      <c r="E229" t="s">
        <v>4615</v>
      </c>
      <c r="F229">
        <v>2003</v>
      </c>
      <c r="G229" t="s">
        <v>5257</v>
      </c>
      <c r="H229" t="s">
        <v>5258</v>
      </c>
      <c r="I229" t="s">
        <v>5259</v>
      </c>
      <c r="J229" t="s">
        <v>5260</v>
      </c>
    </row>
    <row r="230" spans="1:10" x14ac:dyDescent="0.35">
      <c r="A230">
        <v>70</v>
      </c>
      <c r="B230">
        <v>12735205</v>
      </c>
      <c r="C230" t="s">
        <v>4613</v>
      </c>
      <c r="D230" t="s">
        <v>4614</v>
      </c>
      <c r="E230" t="s">
        <v>4615</v>
      </c>
      <c r="F230">
        <v>2003</v>
      </c>
      <c r="G230" t="s">
        <v>4616</v>
      </c>
      <c r="H230" t="s">
        <v>4617</v>
      </c>
      <c r="I230" t="s">
        <v>4618</v>
      </c>
      <c r="J230" t="s">
        <v>4619</v>
      </c>
    </row>
    <row r="231" spans="1:10" x14ac:dyDescent="0.35">
      <c r="A231">
        <v>103</v>
      </c>
      <c r="B231">
        <v>12528911</v>
      </c>
      <c r="C231" t="s">
        <v>5267</v>
      </c>
      <c r="D231" t="s">
        <v>5268</v>
      </c>
      <c r="E231" t="s">
        <v>4615</v>
      </c>
      <c r="F231">
        <v>2002</v>
      </c>
      <c r="G231" t="s">
        <v>5269</v>
      </c>
      <c r="H231" t="s">
        <v>5270</v>
      </c>
      <c r="I231" t="s">
        <v>5271</v>
      </c>
      <c r="J231" t="s">
        <v>5272</v>
      </c>
    </row>
    <row r="232" spans="1:10" x14ac:dyDescent="0.35">
      <c r="A232">
        <v>104</v>
      </c>
      <c r="B232">
        <v>11665745</v>
      </c>
      <c r="C232" t="s">
        <v>5273</v>
      </c>
      <c r="D232" t="s">
        <v>5274</v>
      </c>
      <c r="E232" t="s">
        <v>2854</v>
      </c>
      <c r="F232">
        <v>2001</v>
      </c>
      <c r="G232" t="s">
        <v>5275</v>
      </c>
      <c r="H232" t="s">
        <v>772</v>
      </c>
      <c r="I232" t="s">
        <v>5276</v>
      </c>
      <c r="J232" t="s">
        <v>5277</v>
      </c>
    </row>
    <row r="233" spans="1:10" x14ac:dyDescent="0.35">
      <c r="A233">
        <v>72</v>
      </c>
      <c r="B233">
        <v>10525618</v>
      </c>
      <c r="C233" t="s">
        <v>5454</v>
      </c>
      <c r="D233" t="s">
        <v>5455</v>
      </c>
      <c r="E233" t="s">
        <v>115</v>
      </c>
      <c r="F233">
        <v>1999</v>
      </c>
      <c r="G233" t="s">
        <v>5456</v>
      </c>
      <c r="H233" t="s">
        <v>5457</v>
      </c>
      <c r="I233" t="s">
        <v>5458</v>
      </c>
      <c r="J233" t="s">
        <v>5459</v>
      </c>
    </row>
    <row r="234" spans="1:10" x14ac:dyDescent="0.35">
      <c r="A234">
        <v>160</v>
      </c>
      <c r="B234">
        <v>9816658</v>
      </c>
      <c r="C234" t="s">
        <v>5486</v>
      </c>
      <c r="D234" t="s">
        <v>5487</v>
      </c>
      <c r="E234" t="s">
        <v>5488</v>
      </c>
      <c r="F234">
        <v>1998</v>
      </c>
      <c r="G234" t="s">
        <v>977</v>
      </c>
      <c r="H234" t="s">
        <v>5489</v>
      </c>
      <c r="I234" t="s">
        <v>5490</v>
      </c>
      <c r="J234" t="s">
        <v>5491</v>
      </c>
    </row>
    <row r="235" spans="1:10" x14ac:dyDescent="0.35">
      <c r="A235">
        <v>73</v>
      </c>
      <c r="B235">
        <v>8129117</v>
      </c>
      <c r="C235" t="s">
        <v>4620</v>
      </c>
      <c r="D235" t="s">
        <v>4621</v>
      </c>
      <c r="E235" t="s">
        <v>130</v>
      </c>
      <c r="F235">
        <v>1994</v>
      </c>
      <c r="G235" t="s">
        <v>4622</v>
      </c>
      <c r="H235" t="s">
        <v>4623</v>
      </c>
      <c r="I235" t="s">
        <v>4624</v>
      </c>
      <c r="J235" t="s">
        <v>4625</v>
      </c>
    </row>
    <row r="236" spans="1:10" x14ac:dyDescent="0.35">
      <c r="A236">
        <v>41</v>
      </c>
      <c r="B236">
        <v>8261517</v>
      </c>
      <c r="C236" t="s">
        <v>5512</v>
      </c>
      <c r="D236" t="s">
        <v>5513</v>
      </c>
      <c r="E236" t="s">
        <v>320</v>
      </c>
      <c r="F236">
        <v>1993</v>
      </c>
      <c r="G236" t="s">
        <v>977</v>
      </c>
      <c r="H236" t="s">
        <v>5514</v>
      </c>
      <c r="I236" t="s">
        <v>5515</v>
      </c>
      <c r="J236" t="s">
        <v>5516</v>
      </c>
    </row>
    <row r="237" spans="1:10" x14ac:dyDescent="0.35">
      <c r="A237">
        <v>40</v>
      </c>
      <c r="B237">
        <v>8309693</v>
      </c>
      <c r="C237" t="s">
        <v>5507</v>
      </c>
      <c r="D237" t="s">
        <v>5508</v>
      </c>
      <c r="E237" t="s">
        <v>408</v>
      </c>
      <c r="F237">
        <v>1993</v>
      </c>
      <c r="G237" t="s">
        <v>977</v>
      </c>
      <c r="H237" t="s">
        <v>5509</v>
      </c>
      <c r="I237" t="s">
        <v>5510</v>
      </c>
      <c r="J237" t="s">
        <v>5511</v>
      </c>
    </row>
    <row r="238" spans="1:10" x14ac:dyDescent="0.35">
      <c r="A238">
        <v>105</v>
      </c>
      <c r="B238">
        <v>8475403</v>
      </c>
      <c r="C238" t="s">
        <v>5466</v>
      </c>
      <c r="D238" t="s">
        <v>5467</v>
      </c>
      <c r="E238" t="s">
        <v>115</v>
      </c>
      <c r="F238">
        <v>1993</v>
      </c>
      <c r="G238" t="s">
        <v>977</v>
      </c>
      <c r="H238" t="s">
        <v>5468</v>
      </c>
      <c r="I238" t="s">
        <v>5469</v>
      </c>
      <c r="J238" t="s">
        <v>5470</v>
      </c>
    </row>
    <row r="239" spans="1:10" x14ac:dyDescent="0.35">
      <c r="A239">
        <v>161</v>
      </c>
      <c r="B239">
        <v>1395249</v>
      </c>
      <c r="C239" t="s">
        <v>5492</v>
      </c>
      <c r="D239" t="s">
        <v>5493</v>
      </c>
      <c r="E239" t="s">
        <v>494</v>
      </c>
      <c r="F239">
        <v>1992</v>
      </c>
      <c r="G239" t="s">
        <v>977</v>
      </c>
      <c r="H239" t="s">
        <v>5494</v>
      </c>
      <c r="I239" t="s">
        <v>5495</v>
      </c>
      <c r="J239" t="s">
        <v>5496</v>
      </c>
    </row>
    <row r="240" spans="1:10" x14ac:dyDescent="0.35">
      <c r="A240">
        <v>107</v>
      </c>
      <c r="B240">
        <v>1962708</v>
      </c>
      <c r="C240" t="s">
        <v>5284</v>
      </c>
      <c r="D240" t="s">
        <v>5285</v>
      </c>
      <c r="E240" t="s">
        <v>130</v>
      </c>
      <c r="F240">
        <v>1991</v>
      </c>
      <c r="G240" t="s">
        <v>5286</v>
      </c>
      <c r="H240" t="s">
        <v>5287</v>
      </c>
      <c r="I240" t="s">
        <v>5288</v>
      </c>
      <c r="J240" t="s">
        <v>5289</v>
      </c>
    </row>
    <row r="241" spans="1:10" x14ac:dyDescent="0.35">
      <c r="A241">
        <v>106</v>
      </c>
      <c r="B241">
        <v>1962709</v>
      </c>
      <c r="C241" t="s">
        <v>5278</v>
      </c>
      <c r="D241" t="s">
        <v>5279</v>
      </c>
      <c r="E241" t="s">
        <v>130</v>
      </c>
      <c r="F241">
        <v>1991</v>
      </c>
      <c r="G241" t="s">
        <v>5280</v>
      </c>
      <c r="H241" t="s">
        <v>5281</v>
      </c>
      <c r="I241" t="s">
        <v>5282</v>
      </c>
      <c r="J241" t="s">
        <v>5283</v>
      </c>
    </row>
    <row r="242" spans="1:10" x14ac:dyDescent="0.35">
      <c r="A242">
        <v>108</v>
      </c>
      <c r="B242">
        <v>1793940</v>
      </c>
      <c r="C242" t="s">
        <v>5471</v>
      </c>
      <c r="D242" t="s">
        <v>5472</v>
      </c>
      <c r="E242" t="s">
        <v>5473</v>
      </c>
      <c r="F242">
        <v>1991</v>
      </c>
      <c r="G242" t="s">
        <v>977</v>
      </c>
      <c r="H242" t="s">
        <v>5468</v>
      </c>
      <c r="I242" t="s">
        <v>5474</v>
      </c>
      <c r="J242" t="s">
        <v>5475</v>
      </c>
    </row>
    <row r="243" spans="1:10" x14ac:dyDescent="0.35">
      <c r="A243">
        <v>109</v>
      </c>
      <c r="B243">
        <v>2240487</v>
      </c>
      <c r="C243" t="s">
        <v>5476</v>
      </c>
      <c r="D243" t="s">
        <v>5477</v>
      </c>
      <c r="E243" t="s">
        <v>5478</v>
      </c>
      <c r="F243">
        <v>1990</v>
      </c>
      <c r="G243" t="s">
        <v>977</v>
      </c>
      <c r="H243" t="s">
        <v>1971</v>
      </c>
      <c r="I243" t="s">
        <v>5479</v>
      </c>
      <c r="J243" t="s">
        <v>5480</v>
      </c>
    </row>
    <row r="244" spans="1:10" x14ac:dyDescent="0.35">
      <c r="A244">
        <v>42</v>
      </c>
      <c r="B244">
        <v>2667374</v>
      </c>
      <c r="C244" t="s">
        <v>4749</v>
      </c>
      <c r="D244" t="s">
        <v>4750</v>
      </c>
      <c r="E244" t="s">
        <v>130</v>
      </c>
      <c r="F244">
        <v>1989</v>
      </c>
      <c r="G244" t="s">
        <v>4751</v>
      </c>
      <c r="H244" t="s">
        <v>714</v>
      </c>
      <c r="I244" t="s">
        <v>4752</v>
      </c>
      <c r="J244" t="s">
        <v>4753</v>
      </c>
    </row>
    <row r="245" spans="1:10" x14ac:dyDescent="0.35">
      <c r="A245">
        <v>43</v>
      </c>
      <c r="B245">
        <v>3052881</v>
      </c>
      <c r="C245" t="s">
        <v>5517</v>
      </c>
      <c r="D245" t="s">
        <v>5518</v>
      </c>
      <c r="E245" t="s">
        <v>320</v>
      </c>
      <c r="F245">
        <v>1988</v>
      </c>
      <c r="G245" t="s">
        <v>977</v>
      </c>
      <c r="H245" t="s">
        <v>5519</v>
      </c>
      <c r="I245" t="s">
        <v>5520</v>
      </c>
      <c r="J245" t="s">
        <v>5521</v>
      </c>
    </row>
    <row r="246" spans="1:10" x14ac:dyDescent="0.35">
      <c r="A246">
        <v>110</v>
      </c>
      <c r="B246">
        <v>3881714</v>
      </c>
      <c r="C246" t="s">
        <v>5527</v>
      </c>
      <c r="D246" t="s">
        <v>5528</v>
      </c>
      <c r="E246" t="s">
        <v>4615</v>
      </c>
      <c r="F246">
        <v>1985</v>
      </c>
      <c r="G246" t="s">
        <v>977</v>
      </c>
      <c r="H246" t="s">
        <v>5529</v>
      </c>
      <c r="I246" t="s">
        <v>5530</v>
      </c>
      <c r="J246" t="s">
        <v>5531</v>
      </c>
    </row>
    <row r="247" spans="1:10" x14ac:dyDescent="0.35">
      <c r="A247">
        <v>45</v>
      </c>
      <c r="B247">
        <v>6390611</v>
      </c>
      <c r="C247" t="s">
        <v>4754</v>
      </c>
      <c r="D247" t="s">
        <v>4755</v>
      </c>
      <c r="E247" t="s">
        <v>2239</v>
      </c>
      <c r="F247">
        <v>1984</v>
      </c>
      <c r="G247" t="s">
        <v>4756</v>
      </c>
      <c r="H247" t="s">
        <v>4757</v>
      </c>
      <c r="I247" t="s">
        <v>4758</v>
      </c>
      <c r="J247" t="s">
        <v>4759</v>
      </c>
    </row>
    <row r="248" spans="1:10" x14ac:dyDescent="0.35">
      <c r="A248">
        <v>111</v>
      </c>
      <c r="B248">
        <v>6365386</v>
      </c>
      <c r="C248" t="s">
        <v>5481</v>
      </c>
      <c r="D248" t="s">
        <v>5482</v>
      </c>
      <c r="E248" t="s">
        <v>494</v>
      </c>
      <c r="F248">
        <v>1984</v>
      </c>
      <c r="G248" t="s">
        <v>977</v>
      </c>
      <c r="H248" t="s">
        <v>5483</v>
      </c>
      <c r="I248" t="s">
        <v>5484</v>
      </c>
      <c r="J248" t="s">
        <v>5485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F069-504E-4237-AEAA-D4302113564F}">
  <dimension ref="A1:C12"/>
  <sheetViews>
    <sheetView workbookViewId="0">
      <selection activeCell="C3" sqref="C3"/>
    </sheetView>
  </sheetViews>
  <sheetFormatPr defaultRowHeight="14.5" x14ac:dyDescent="0.35"/>
  <cols>
    <col min="2" max="2" width="11.1796875" bestFit="1" customWidth="1"/>
  </cols>
  <sheetData>
    <row r="1" spans="1:3" x14ac:dyDescent="0.35">
      <c r="A1" t="s">
        <v>0</v>
      </c>
    </row>
    <row r="2" spans="1:3" x14ac:dyDescent="0.35">
      <c r="B2" t="s">
        <v>4081</v>
      </c>
      <c r="C2">
        <v>2022</v>
      </c>
    </row>
    <row r="3" spans="1:3" x14ac:dyDescent="0.35">
      <c r="B3" t="s">
        <v>5532</v>
      </c>
      <c r="C3">
        <v>2022</v>
      </c>
    </row>
    <row r="4" spans="1:3" x14ac:dyDescent="0.35">
      <c r="B4" t="s">
        <v>5533</v>
      </c>
      <c r="C4">
        <v>2014</v>
      </c>
    </row>
    <row r="5" spans="1:3" x14ac:dyDescent="0.35">
      <c r="B5" t="s">
        <v>5534</v>
      </c>
      <c r="C5">
        <v>2013</v>
      </c>
    </row>
    <row r="6" spans="1:3" x14ac:dyDescent="0.35">
      <c r="B6" t="s">
        <v>5535</v>
      </c>
      <c r="C6">
        <v>2013</v>
      </c>
    </row>
    <row r="7" spans="1:3" x14ac:dyDescent="0.35">
      <c r="B7" t="s">
        <v>5535</v>
      </c>
      <c r="C7">
        <v>2013</v>
      </c>
    </row>
    <row r="8" spans="1:3" x14ac:dyDescent="0.35">
      <c r="B8" t="s">
        <v>5536</v>
      </c>
      <c r="C8">
        <v>2013</v>
      </c>
    </row>
    <row r="9" spans="1:3" x14ac:dyDescent="0.35">
      <c r="B9" t="s">
        <v>2593</v>
      </c>
      <c r="C9">
        <v>2010</v>
      </c>
    </row>
    <row r="10" spans="1:3" x14ac:dyDescent="0.35">
      <c r="B10" t="s">
        <v>2593</v>
      </c>
      <c r="C10">
        <v>2010</v>
      </c>
    </row>
    <row r="11" spans="1:3" x14ac:dyDescent="0.35">
      <c r="B11" t="s">
        <v>5538</v>
      </c>
      <c r="C11">
        <v>2009</v>
      </c>
    </row>
    <row r="12" spans="1:3" x14ac:dyDescent="0.35">
      <c r="B12" t="s">
        <v>5537</v>
      </c>
      <c r="C12">
        <v>2008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B3D90A-0157-4E7D-9E46-0E5710A16D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title_abstract_screening_2026-0</vt:lpstr>
      <vt:lpstr>title_abstract_screening</vt:lpstr>
      <vt:lpstr>full-text_screening</vt:lpstr>
      <vt:lpstr>screening</vt:lpstr>
      <vt:lpstr>reviews_for_citation</vt:lpstr>
      <vt:lpstr>citation_back-searching_results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2026-02-16T14:51:19Z</dcterms:created>
  <dcterms:modified xsi:type="dcterms:W3CDTF">2026-02-17T23:47:01Z</dcterms:modified>
</cp:coreProperties>
</file>