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umn_matching" sheetId="1" r:id="rId4"/>
    <sheet state="visible" name="pubmed" sheetId="2" r:id="rId5"/>
    <sheet state="visible" name="embase" sheetId="3" r:id="rId6"/>
    <sheet state="visible" name="wos" sheetId="4" r:id="rId7"/>
  </sheets>
  <definedNames/>
  <calcPr/>
  <extLst>
    <ext uri="GoogleSheetsCustomDataVersion2">
      <go:sheetsCustomData xmlns:go="http://customooxmlschemas.google.com/" r:id="rId8" roundtripDataChecksum="8pPL3qjb5Ph9bYDWoY2021qE+xGOFE+jMkFw37kgr+o="/>
    </ext>
  </extLst>
</workbook>
</file>

<file path=xl/sharedStrings.xml><?xml version="1.0" encoding="utf-8"?>
<sst xmlns="http://schemas.openxmlformats.org/spreadsheetml/2006/main" count="15216" uniqueCount="6875">
  <si>
    <t>column</t>
  </si>
  <si>
    <t>pubmed</t>
  </si>
  <si>
    <t>embase</t>
  </si>
  <si>
    <t>wos</t>
  </si>
  <si>
    <t>Source</t>
  </si>
  <si>
    <t>scopus</t>
  </si>
  <si>
    <t>A</t>
  </si>
  <si>
    <t>Publication Type</t>
  </si>
  <si>
    <t>ID
 (w/o nulls)</t>
  </si>
  <si>
    <t>PMID</t>
  </si>
  <si>
    <t>Embase Link
 PUI</t>
  </si>
  <si>
    <t>UT (Unique WOS ID)
 Web of Science Record</t>
  </si>
  <si>
    <t>EID</t>
  </si>
  <si>
    <t>B</t>
  </si>
  <si>
    <t>Title</t>
  </si>
  <si>
    <t>Authors</t>
  </si>
  <si>
    <t>DOI</t>
  </si>
  <si>
    <t>C</t>
  </si>
  <si>
    <t>Original Title</t>
  </si>
  <si>
    <t>Book Authors</t>
  </si>
  <si>
    <t>Author Names</t>
  </si>
  <si>
    <t>D</t>
  </si>
  <si>
    <t>Book Editors</t>
  </si>
  <si>
    <t>Article Title</t>
  </si>
  <si>
    <t>E</t>
  </si>
  <si>
    <t>Citation</t>
  </si>
  <si>
    <t>Author Addresses</t>
  </si>
  <si>
    <t>Book Group Authors</t>
  </si>
  <si>
    <t>Year</t>
  </si>
  <si>
    <t>Publication Year</t>
  </si>
  <si>
    <t>F</t>
  </si>
  <si>
    <t>First Author</t>
  </si>
  <si>
    <t>Correspondence Address</t>
  </si>
  <si>
    <t>Author Full Names</t>
  </si>
  <si>
    <t>Journal</t>
  </si>
  <si>
    <t>Journal/Book</t>
  </si>
  <si>
    <t>Source Title</t>
  </si>
  <si>
    <t>Source title</t>
  </si>
  <si>
    <t>G</t>
  </si>
  <si>
    <t>Editors</t>
  </si>
  <si>
    <t>Book Author Full Names</t>
  </si>
  <si>
    <t>id</t>
  </si>
  <si>
    <t>H</t>
  </si>
  <si>
    <t>AiP/IP Entry Date</t>
  </si>
  <si>
    <t>Group Authors</t>
  </si>
  <si>
    <t>doi</t>
  </si>
  <si>
    <t>I</t>
  </si>
  <si>
    <t>Create Date</t>
  </si>
  <si>
    <t>Full Record Entry Date</t>
  </si>
  <si>
    <t>authors</t>
  </si>
  <si>
    <t>J</t>
  </si>
  <si>
    <t>PMCID</t>
  </si>
  <si>
    <t>title</t>
  </si>
  <si>
    <t>K</t>
  </si>
  <si>
    <t>NIHMS ID</t>
  </si>
  <si>
    <t>Book Series Title</t>
  </si>
  <si>
    <t>year</t>
  </si>
  <si>
    <t>L</t>
  </si>
  <si>
    <t>Book Series Subtitle</t>
  </si>
  <si>
    <t>journal</t>
  </si>
  <si>
    <t>M</t>
  </si>
  <si>
    <t>Volume</t>
  </si>
  <si>
    <t>Language</t>
  </si>
  <si>
    <t>N</t>
  </si>
  <si>
    <t>Issue</t>
  </si>
  <si>
    <t>Document Type</t>
  </si>
  <si>
    <t>O</t>
  </si>
  <si>
    <t>First Page</t>
  </si>
  <si>
    <t>Conference Title</t>
  </si>
  <si>
    <t>P</t>
  </si>
  <si>
    <t>Last Page</t>
  </si>
  <si>
    <t>Conference Date</t>
  </si>
  <si>
    <t>Q</t>
  </si>
  <si>
    <t>Date of Publication</t>
  </si>
  <si>
    <t>Conference Location</t>
  </si>
  <si>
    <t>R</t>
  </si>
  <si>
    <t>Conference Sponsor</t>
  </si>
  <si>
    <t>S</t>
  </si>
  <si>
    <t>Conference Name</t>
  </si>
  <si>
    <t>Conference Host</t>
  </si>
  <si>
    <t>T</t>
  </si>
  <si>
    <t>Author Keywords</t>
  </si>
  <si>
    <t>U</t>
  </si>
  <si>
    <t>Keywords Plus</t>
  </si>
  <si>
    <t>V</t>
  </si>
  <si>
    <t>Conference Editors</t>
  </si>
  <si>
    <t>Abstract</t>
  </si>
  <si>
    <t>W</t>
  </si>
  <si>
    <t>ISSN</t>
  </si>
  <si>
    <t>Addresses</t>
  </si>
  <si>
    <t>X</t>
  </si>
  <si>
    <t>ISBN</t>
  </si>
  <si>
    <t>Affiliations</t>
  </si>
  <si>
    <t>Y</t>
  </si>
  <si>
    <t>Book Publisher</t>
  </si>
  <si>
    <t>Reprint Addresses</t>
  </si>
  <si>
    <t>Z</t>
  </si>
  <si>
    <t>Email Addresses</t>
  </si>
  <si>
    <t>AA</t>
  </si>
  <si>
    <t>CAS Registry Numbers</t>
  </si>
  <si>
    <t>Researcher Ids</t>
  </si>
  <si>
    <t>AB</t>
  </si>
  <si>
    <t>Molecular Sequence Numbers</t>
  </si>
  <si>
    <t>ORCIDs</t>
  </si>
  <si>
    <t>AC</t>
  </si>
  <si>
    <t>Clinical Trial Numbers</t>
  </si>
  <si>
    <t>Funding Orgs</t>
  </si>
  <si>
    <t>AD</t>
  </si>
  <si>
    <t>Article Language</t>
  </si>
  <si>
    <t>Funding Name Preferred</t>
  </si>
  <si>
    <t>AE</t>
  </si>
  <si>
    <t>Summary Language</t>
  </si>
  <si>
    <t>Funding Text</t>
  </si>
  <si>
    <t>AF</t>
  </si>
  <si>
    <t>Embase Accession ID</t>
  </si>
  <si>
    <t>Cited References</t>
  </si>
  <si>
    <t>AG</t>
  </si>
  <si>
    <t>Medline PMID</t>
  </si>
  <si>
    <t>Cited Reference Count</t>
  </si>
  <si>
    <t>AH</t>
  </si>
  <si>
    <t>PUI</t>
  </si>
  <si>
    <t>Times Cited, WoS Core</t>
  </si>
  <si>
    <t>AI</t>
  </si>
  <si>
    <t>Times Cited, All Databases</t>
  </si>
  <si>
    <t>AJ</t>
  </si>
  <si>
    <t>Full Text Link</t>
  </si>
  <si>
    <t>180 Day Usage Count</t>
  </si>
  <si>
    <t>AK</t>
  </si>
  <si>
    <t>Embase Link</t>
  </si>
  <si>
    <t>Since 2013 Usage Count</t>
  </si>
  <si>
    <t>AL</t>
  </si>
  <si>
    <t>Open URL Link</t>
  </si>
  <si>
    <t>Publisher</t>
  </si>
  <si>
    <t>AM</t>
  </si>
  <si>
    <t>Copyright</t>
  </si>
  <si>
    <t>Publisher City</t>
  </si>
  <si>
    <t>Publisher Address</t>
  </si>
  <si>
    <t>eISSN</t>
  </si>
  <si>
    <t>Journal Abbreviation</t>
  </si>
  <si>
    <t>Journal ISO Abbreviation</t>
  </si>
  <si>
    <t>Publication Date</t>
  </si>
  <si>
    <t>Part Number</t>
  </si>
  <si>
    <t>Supplement</t>
  </si>
  <si>
    <t>Special Issue</t>
  </si>
  <si>
    <t>Meeting Abstract</t>
  </si>
  <si>
    <t>Start Page</t>
  </si>
  <si>
    <t>End Page</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</si>
  <si>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</si>
  <si>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</si>
  <si>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</si>
  <si>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</si>
  <si>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</si>
  <si>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</si>
  <si>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</si>
  <si>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</si>
  <si>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</si>
  <si>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</si>
  <si>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</si>
  <si>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</si>
  <si>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</si>
  <si>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</si>
  <si>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</si>
  <si>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</si>
  <si>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Reduced Knee Flexion Strength 18 Years After ACL Reconstruction With Hamstring Tendon Versus Patellar Tendon</t>
  </si>
  <si>
    <t>Popovic M, Myhre JR, Holen JIH, Gifstad T, Strand IL, Strand T, Mo IF, Fischer-Bredenbeck C, Drogset JO.</t>
  </si>
  <si>
    <t>Am J Sports Med. 2024 Sep;52(11):2750-2757. doi: 10.1177/03635465241271524. Epub 2024 Sep 2.</t>
  </si>
  <si>
    <t>Popovic M</t>
  </si>
  <si>
    <t>Am J Sports Med</t>
  </si>
  <si>
    <t>10.1177/03635465241271524</t>
  </si>
  <si>
    <t>Tubularization of Bone-Tendon-Bone Grafts: Effects on Mechanical Strength and Postoperative Knee Stability in Anterior Cruciate Ligament Reconstruction</t>
  </si>
  <si>
    <t>ObradoviÄ‡ M, NinkoviÄ‡ S, GvozdenoviÄ‡ N, ToÅ¡iÄ‡ M, Milinkov M, DuliÄ‡ O.</t>
  </si>
  <si>
    <t>Medicina (Kaunas). 2023 Oct 3;59(10):1764. doi: 10.3390/medicina59101764.</t>
  </si>
  <si>
    <t>ObradoviÄ‡ M</t>
  </si>
  <si>
    <t>Medicina (Kaunas)</t>
  </si>
  <si>
    <t>PMC10608507</t>
  </si>
  <si>
    <t>10.3390/medicina59101764</t>
  </si>
  <si>
    <t>Is contralateral autogenous patellar tendon graft a better choice than ipsilateral for anterior cruciate ligament reconstruction in young sportsmen? A randomized controlled trial</t>
  </si>
  <si>
    <t>de Souza Borges JH, Oliveira M, Junior PL, de Souza Machado R, Lima R, Ramos LA, Cohen M.</t>
  </si>
  <si>
    <t>Knee. 2022 Jun;36:33-43. doi: 10.1016/j.knee.2022.03.015. Epub 2022 Apr 22.</t>
  </si>
  <si>
    <t>de Souza Borges JH</t>
  </si>
  <si>
    <t>Knee</t>
  </si>
  <si>
    <t>10.1016/j.knee.2022.03.015</t>
  </si>
  <si>
    <t>Anterior Cruciate Ligament Patellar Tendon Autograft Fixation at 0Â° Versus 30Â° Results in Improved Activity Scores and a Greater Proportion of Patients Achieving the Minimal Clinical Important Difference For Knee Injury and Osteoarthritis Outcome Score Pain: A Randomized Controlled Trial</t>
  </si>
  <si>
    <t>Chahal J, Whelan DB, Hoit G, Theodoropoulos J, Ajrawat P, Betsch M, Docter S, Dwyer T.</t>
  </si>
  <si>
    <t>Arthroscopy. 2022 Jun;38(6):1969-1977. doi: 10.1016/j.arthro.2021.12.018. Epub 2021 Dec 22.</t>
  </si>
  <si>
    <t>Chahal J</t>
  </si>
  <si>
    <t>Arthroscopy</t>
  </si>
  <si>
    <t>10.1016/j.arthro.2021.12.018</t>
  </si>
  <si>
    <t>In vivo knee rotational stability 2Â years after the ACL reconstruction using a quadriceps tendon graft with bone block and bone-patellar tendon-bone graft</t>
  </si>
  <si>
    <t>KomzÃ¡k M, Hart R, NÃ¡hlÃ­k D, VysokÃ½ R.</t>
  </si>
  <si>
    <t>Arch Orthop Trauma Surg. 2022 Aug;142(8):1995-1999. doi: 10.1007/s00402-021-04195-2. Epub 2021 Oct 3.</t>
  </si>
  <si>
    <t>KomzÃ¡k M</t>
  </si>
  <si>
    <t>Arch Orthop Trauma Surg</t>
  </si>
  <si>
    <t>10.1007/s00402-021-04195-2</t>
  </si>
  <si>
    <t>Validation of a Risk Calculator to Personalize Graft Choice and Reduce Rupture Rates for Anterior Cruciate Ligament Reconstruction</t>
  </si>
  <si>
    <t>Marmura H, Getgood AMJ, Spindler KP, Kattan MW, Briskin I, Bryant DM.</t>
  </si>
  <si>
    <t>Am J Sports Med. 2021 Jun;49(7):1777-1785. doi: 10.1177/03635465211010798. Epub 2021 May 4.</t>
  </si>
  <si>
    <t>Marmura H</t>
  </si>
  <si>
    <t>10.1177/03635465211010798</t>
  </si>
  <si>
    <t>Quadriceps tendon vs. patellar tendon autograft for ACL reconstruction using a hardware-free press-fit fixation technique: comparable stability, function and return-to-sport level but less donor site morbidity in athletes after 10Â years</t>
  </si>
  <si>
    <t>BariÃ© A, Sprinckstub T, Huber J, Jaber A.</t>
  </si>
  <si>
    <t>Arch Orthop Trauma Surg. 2020 Oct;140(10):1465-1474. doi: 10.1007/s00402-020-03508-1. Epub 2020 Jun 5.</t>
  </si>
  <si>
    <t>BariÃ© A</t>
  </si>
  <si>
    <t>PMC7505888</t>
  </si>
  <si>
    <t>10.1007/s00402-020-03508-1</t>
  </si>
  <si>
    <t>A Randomized Controlled Trial of Bone-Patellar Tendon-Bone Anterior Cruciate Ligament Reconstruction With and Without Lateral Extra-articular Tenodesis: 19-Year Clinical and Radiological Follow-up</t>
  </si>
  <si>
    <t>Castoldi M, Magnussen RA, Gunst S, Batailler C, Neyret P, Lustig S, Servien E.</t>
  </si>
  <si>
    <t>Am J Sports Med. 2020 Jun;48(7):1665-1672. doi: 10.1177/0363546520914936. Epub 2020 May 5.</t>
  </si>
  <si>
    <t>Castoldi M</t>
  </si>
  <si>
    <t>10.1177/0363546520914936</t>
  </si>
  <si>
    <t>Bridge-Enhanced Anterior Cruciate Ligament Repair Is Not Inferior to Autograft Anterior Cruciate Ligament Reconstruction at 2 Years: Results of a Prospective Randomized Clinical Trial</t>
  </si>
  <si>
    <t>Murray MM, Fleming BC, Badger GJ; BEAR Trial Team; Freiberger C, Henderson R, Barnett S, Kiapour A, Ecklund K, Proffen B, Sant N, Kramer DE, Micheli LJ, Yen YM.</t>
  </si>
  <si>
    <t>Am J Sports Med. 2020 May;48(6):1305-1315. doi: 10.1177/0363546520913532. Epub 2020 Apr 16.</t>
  </si>
  <si>
    <t>Murray MM</t>
  </si>
  <si>
    <t>PMC7227128</t>
  </si>
  <si>
    <t>10.1177/0363546520913532</t>
  </si>
  <si>
    <t>All-Inside Quadrupled Semitendinosus Autograft Shows Stability Equivalent to Patellar Tendon Autograft Anterior Cruciate Ligament Reconstruction: Randomized Controlled Trial in Athletes 24 Years or Younger</t>
  </si>
  <si>
    <t>Smith PA, Cook CS, Bley JA.</t>
  </si>
  <si>
    <t>Arthroscopy. 2020 Jun;36(6):1629-1646. doi: 10.1016/j.arthro.2020.01.048. Epub 2020 Feb 12.</t>
  </si>
  <si>
    <t>Smith PA</t>
  </si>
  <si>
    <t>10.1016/j.arthro.2020.01.048</t>
  </si>
  <si>
    <t>Autologous BPTB ACL Reconstruction Results in Lower Failure Rates Than ACL Repair with and without Synthetic Augmentation at 30 Years of Follow-up: A Prospective Randomized Study</t>
  </si>
  <si>
    <t>Sporsheim AN, Gifstad T, Lundemo TO, Engebretsen L, Strand T, MÃ¸lster A, Drogset JO.</t>
  </si>
  <si>
    <t>J Bone Joint Surg Am. 2019 Dec 4;101(23):2074-2081. doi: 10.2106/JBJS.19.00098.</t>
  </si>
  <si>
    <t>Sporsheim AN</t>
  </si>
  <si>
    <t>J Bone Joint Surg Am</t>
  </si>
  <si>
    <t>10.2106/JBJS.19.00098</t>
  </si>
  <si>
    <t>Effects of autologous adipose-derived regenerative stem cells administered at the time of anterior cruciate ligament reconstruction on knee function and graft healing</t>
  </si>
  <si>
    <t>Alentorn-Geli E, Seijas R, MartÃ­nez-De la Torre A, CuscÃ³ X, Steinbacher G, Ã_x0081_lvarez-DÃ­az P, Barastegui D, Navarro J, Serra-Renom JM, Nishishinya B, CatalÃ  J, Laiz P, GarcÃ­a-BalletbÃ³ M, Cugat R.</t>
  </si>
  <si>
    <t>J Orthop Surg (Hong Kong). 2019 Sep-Dec;27(3):2309499019867580. doi: 10.1177/2309499019867580.</t>
  </si>
  <si>
    <t>Alentorn-Geli E</t>
  </si>
  <si>
    <t>J Orthop Surg (Hong Kong)</t>
  </si>
  <si>
    <t>10.1177/2309499019867580</t>
  </si>
  <si>
    <t>A Randomized Clinical Trial Comparing Patellar Tendon, Hamstring Tendon, and Double-Bundle ACL Reconstructions: Patient-Reported and Clinical Outcomes at 5-Year Follow-up</t>
  </si>
  <si>
    <t>Mohtadi NG, Chan DS.</t>
  </si>
  <si>
    <t>J Bone Joint Surg Am. 2019 Jun 5;101(11):949-960. doi: 10.2106/JBJS.18.01322.</t>
  </si>
  <si>
    <t>Mohtadi NG</t>
  </si>
  <si>
    <t>10.2106/JBJS.18.01322</t>
  </si>
  <si>
    <t>Adductor Canal Nerve Versus Femoral Nerve Blockade for Pain Control and Quadriceps Function Following Anterior Cruciate Ligament Reconstruction With Patellar Tendon Autograft: AÂ Prospective Randomized Trial</t>
  </si>
  <si>
    <t>Bailey L, Griffin J, Elliott M, Wu J, Papavasiliou T, Harner C, Lowe W.</t>
  </si>
  <si>
    <t>Arthroscopy. 2019 Mar;35(3):921-929. doi: 10.1016/j.arthro.2018.10.149. Epub 2019 Feb 4.</t>
  </si>
  <si>
    <t>Bailey L</t>
  </si>
  <si>
    <t>10.1016/j.arthro.2018.10.149</t>
  </si>
  <si>
    <t>Effect of Intraoperative Platelet-Rich Plasma Treatment on Postoperative Donor Site Knee Pain in Patellar Tendon Autograft Anterior Cruciate Ligament Reconstruction: A Double-Blind Randomized Controlled Trial</t>
  </si>
  <si>
    <t>Walters BL, Porter DA, Hobart SJ, Bedford BB, Hogan DE, McHugh MM, Klein DA, Harousseau K, Nicholas SJ.</t>
  </si>
  <si>
    <t>Am J Sports Med. 2018 Jul;46(8):1827-1835. doi: 10.1177/0363546518769295. Epub 2018 May 9.</t>
  </si>
  <si>
    <t>Walters BL</t>
  </si>
  <si>
    <t>10.1177/0363546518769295</t>
  </si>
  <si>
    <t>Long-term Comparison of Semitendinosus and Gracilis Tendon Versus Patellar Tendon Autografts for Anterior Cruciate Ligament Reconstruction: A 17-Year Follow-up of a Randomized Controlled Trial</t>
  </si>
  <si>
    <t>Sajovic M, Stropnik D, Skaza K.</t>
  </si>
  <si>
    <t>Am J Sports Med. 2018 Jul;46(8):1800-1808. doi: 10.1177/0363546518768768. Epub 2018 May 9.</t>
  </si>
  <si>
    <t>Sajovic M</t>
  </si>
  <si>
    <t>10.1177/0363546518768768</t>
  </si>
  <si>
    <t>Lack of stability at more than 12 months of follow-up after anterior cruciate ligament reconstruction using all-inside quadruple-stranded semitendinosus graft with adjustable cortical button fixation in both femoral and tibial sides</t>
  </si>
  <si>
    <t>Bressy G, Brun V, Ferrier A, Dujardin D, Oubaya N, Morel N, Fontanin N, Ohl X.</t>
  </si>
  <si>
    <t>Orthop Traumatol Surg Res. 2016 Nov;102(7):867-872. doi: 10.1016/j.otsr.2016.08.011. Epub 2016 Oct 4.</t>
  </si>
  <si>
    <t>Bressy G</t>
  </si>
  <si>
    <t>Orthop Traumatol Surg Res</t>
  </si>
  <si>
    <t>10.1016/j.otsr.2016.08.011</t>
  </si>
  <si>
    <t>Double-layer versus single-layer bone-patellar tendon-bone anterior cruciate ligament reconstruction: a prospective randomized study with 3-year follow-up</t>
  </si>
  <si>
    <t>Mei X, Zhang Z, Yang J.</t>
  </si>
  <si>
    <t>Arch Orthop Trauma Surg. 2016 Dec;136(12):1733-1739. doi: 10.1007/s00402-016-2548-z. Epub 2016 Aug 27.</t>
  </si>
  <si>
    <t>Mei X</t>
  </si>
  <si>
    <t>10.1007/s00402-016-2548-z</t>
  </si>
  <si>
    <t>Correlation of tunnel widening and tunnel positioning with short-term functional outcomes in single-bundle anterior cruciate ligament reconstruction using patellar tendon versus hamstring graft: a prospective study</t>
  </si>
  <si>
    <t>Biswal UK, Balaji G, Nema S, Poduval M, Menon J, Patro DK.</t>
  </si>
  <si>
    <t>Eur J Orthop Surg Traumatol. 2016 Aug;26(6):647-55. doi: 10.1007/s00590-016-1809-4. Epub 2016 Jul 4.</t>
  </si>
  <si>
    <t>Biswal UK</t>
  </si>
  <si>
    <t>Eur J Orthop Surg Traumatol</t>
  </si>
  <si>
    <t>10.1007/s00590-016-1809-4</t>
  </si>
  <si>
    <t>Anatomic single-bundle anterior cruciate ligament reconstruction improves walking economy: hamstrings tendon versus patellar tendon grafts</t>
  </si>
  <si>
    <t>Iliopoulos E, Galanis N, Zafeiridis A, Iosifidis M, Papadopoulos P, Potoupnis M, Geladas N, Vrabas IS, Kirkos J.</t>
  </si>
  <si>
    <t>Knee Surg Sports Traumatol Arthrosc. 2017 Oct;25(10):3155-3162. doi: 10.1007/s00167-016-4229-4. Epub 2016 Jul 1.</t>
  </si>
  <si>
    <t>Iliopoulos E</t>
  </si>
  <si>
    <t>Knee Surg Sports Traumatol Arthrosc</t>
  </si>
  <si>
    <t>10.1007/s00167-016-4229-4</t>
  </si>
  <si>
    <t>A Randomized Controlled Trial With Mean 16-Year Follow-up Comparing Hamstring and Patellar Tendon Autografts in Anterior Cruciate Ligament Reconstruction</t>
  </si>
  <si>
    <t>BjÃ¶rnsson H, Samuelsson K, Sundemo D, Desai N, Sernert N, RostgÃ¥rd-Christensen L, Karlsson J, Kartus J.</t>
  </si>
  <si>
    <t>Am J Sports Med. 2016 Sep;44(9):2304-13. doi: 10.1177/0363546516646378. Epub 2016 May 26.</t>
  </si>
  <si>
    <t>BjÃ¶rnsson H</t>
  </si>
  <si>
    <t>10.1177/0363546516646378</t>
  </si>
  <si>
    <t>Effect of Matching or Overconstraining Knee Laxity During Anterior Cruciate Ligament Reconstruction on Knee Osteoarthritis and Clinical Outcomes: A Randomized Controlled Trial With 84-Month Follow-up</t>
  </si>
  <si>
    <t>Akelman MR, Fadale PD, Hulstyn MJ, Shalvoy RM, Garcia A, Chin KE, Duryea J, Badger GJ, Tung GA, Fleming BC.</t>
  </si>
  <si>
    <t>Am J Sports Med. 2016 Jul;44(7):1660-70. doi: 10.1177/0363546516638387. Epub 2016 Apr 19.</t>
  </si>
  <si>
    <t>Akelman MR</t>
  </si>
  <si>
    <t>PMC4930731</t>
  </si>
  <si>
    <t>NIHMS763995</t>
  </si>
  <si>
    <t>10.1177/0363546516638387</t>
  </si>
  <si>
    <t>Prospective Randomized Study of Objective and Subjective Clinical Results Between Double-Bundle and Single-Bundle Anterior Cruciate Ligament Reconstruction</t>
  </si>
  <si>
    <t>Sasaki S, Tsuda E, Hiraga Y, Yamamoto Y, Maeda S, Sasaki E, Ishibashi Y.</t>
  </si>
  <si>
    <t>Am J Sports Med. 2016 Apr;44(4):855-64. doi: 10.1177/0363546515624471. Epub 2016 Feb 2.</t>
  </si>
  <si>
    <t>Sasaki S</t>
  </si>
  <si>
    <t>10.1177/0363546515624471</t>
  </si>
  <si>
    <t>No significant difference in clinical outcome and knee stability between patellar tendon and semitendinosus tendon in anterior cruciate ligament reconstruction</t>
  </si>
  <si>
    <t>Konrads C, Reppenhagen S, Plumhoff P, Hoberg M, Rudert M, Barthel T.</t>
  </si>
  <si>
    <t>Arch Orthop Trauma Surg. 2016 Apr;136(4):521-5. doi: 10.1007/s00402-015-2386-4. Epub 2016 Jan 2.</t>
  </si>
  <si>
    <t>Konrads C</t>
  </si>
  <si>
    <t>10.1007/s00402-015-2386-4</t>
  </si>
  <si>
    <t>Comparison of Patellar Tendon and Hamstring Tendon Anterior Cruciate Ligament Reconstruction: A 15-Year Follow-up of a Randomized Controlled Trial</t>
  </si>
  <si>
    <t>Webster KE, Feller JA, Hartnett N, Leigh WB, Richmond AK.</t>
  </si>
  <si>
    <t>Am J Sports Med. 2016 Jan;44(1):83-90. doi: 10.1177/0363546515611886. Epub 2015 Nov 17.</t>
  </si>
  <si>
    <t>Webster KE</t>
  </si>
  <si>
    <t>10.1177/0363546515611886</t>
  </si>
  <si>
    <t>Reruptures, Reinjuries, and Revisions at a Minimum 2-Year Follow-up: A Randomized Clinical Trial Comparing 3 Graft Types for ACL Reconstruction</t>
  </si>
  <si>
    <t>Mohtadi N, Chan D, Barber R, Paolucci EO.</t>
  </si>
  <si>
    <t>Clin J Sport Med. 2016 Mar;26(2):96-107. doi: 10.1097/JSM.0000000000000209.</t>
  </si>
  <si>
    <t>Mohtadi N</t>
  </si>
  <si>
    <t>Clin J Sport Med</t>
  </si>
  <si>
    <t>10.1097/JSM.0000000000000209</t>
  </si>
  <si>
    <t>[Long-term outcomes after "anatomic" reconstruction of anterior cruciate ligament using central third of patellar tendon]</t>
  </si>
  <si>
    <t>PÅ‚omiÅ„ski J, PiÄ…tkowski K, Rowicki K.</t>
  </si>
  <si>
    <t>Pol Merkur Lekarski. 2015 May;38(227):263-8.</t>
  </si>
  <si>
    <t>PÅ‚omiÅ„ski J</t>
  </si>
  <si>
    <t>Pol Merkur Lekarski</t>
  </si>
  <si>
    <t>A Randomized Clinical Trial Comparing Patellar Tendon, Hamstring Tendon, and Double-Bundle ACL Reconstructions: Patient-Reported and Clinical Outcomes at a Minimal 2-Year Follow-up</t>
  </si>
  <si>
    <t>Mohtadi N, Chan D, Barber R, Oddone Paolucci E.</t>
  </si>
  <si>
    <t>Clin J Sport Med. 2015 Jul;25(4):321-31. doi: 10.1097/JSM.0000000000000165.</t>
  </si>
  <si>
    <t>10.1097/JSM.0000000000000165</t>
  </si>
  <si>
    <t>Comparison between two different platelet-rich plasma preparations and control applied during anterior cruciate ligament reconstruction. Is there any evidence to support their use?</t>
  </si>
  <si>
    <t>ValentÃ­ AzcÃ¡rate A, Lamo-Espinosa J, Aquerreta Beola JD, Hernandez Gonzalez M, Mora Gasque G, ValentÃ­ Nin JR.</t>
  </si>
  <si>
    <t>Injury. 2014 Oct;45 Suppl 4:S36-41. doi: 10.1016/S0020-1383(14)70008-7.</t>
  </si>
  <si>
    <t>ValentÃ­ AzcÃ¡rate A</t>
  </si>
  <si>
    <t>Injury</t>
  </si>
  <si>
    <t>10.1016/S0020-1383(14)70008-7</t>
  </si>
  <si>
    <t>Anterior cruciate ligament reconstruction and return to sport activity: postural control as the key to success</t>
  </si>
  <si>
    <t>Papalia R, Franceschi F, Tecame A, D'Adamio S, Maffulli N, Denaro V.</t>
  </si>
  <si>
    <t>Int Orthop. 2015 Mar;39(3):527-34. doi: 10.1007/s00264-014-2513-9. Epub 2014 Sep 6.</t>
  </si>
  <si>
    <t>Papalia R</t>
  </si>
  <si>
    <t>Int Orthop</t>
  </si>
  <si>
    <t>10.1007/s00264-014-2513-9</t>
  </si>
  <si>
    <t>A comparison of ACL reconstruction using patellar tendon versus hamstring autograft in female patients: a prospective randomised study</t>
  </si>
  <si>
    <t>Kautzner J, Kos P, Hanus M, Trc T, Havlas V.</t>
  </si>
  <si>
    <t>Int Orthop. 2015 Jan;39(1):125-30. doi: 10.1007/s00264-014-2495-7. Epub 2014 Aug 17.</t>
  </si>
  <si>
    <t>Kautzner J</t>
  </si>
  <si>
    <t>10.1007/s00264-014-2495-7</t>
  </si>
  <si>
    <t>Primary anterior cruciate ligament reconstruction in athletes: a 5-year follow up comparing patellar tendon versus hamstring tendon autograft</t>
  </si>
  <si>
    <t>Leitgeb J, KÃ¶ttstorfer J, Schuster R, Kovar FM, Platzer P, Aldrian S.</t>
  </si>
  <si>
    <t>Wien Klin Wochenschr. 2014 Jul;126(13-14):397-402. doi: 10.1007/s00508-014-0550-4. Epub 2014 May 14.</t>
  </si>
  <si>
    <t>Leitgeb J</t>
  </si>
  <si>
    <t>Wien Klin Wochenschr</t>
  </si>
  <si>
    <t>10.1007/s00508-014-0550-4</t>
  </si>
  <si>
    <t>ACL reconstruction using bone-patella tendon-bone autograft: press-fit technique vs. interference screw fixation</t>
  </si>
  <si>
    <t>Sarzaeem MM, Najafi F, Razi M, Najafi MA.</t>
  </si>
  <si>
    <t>Arch Orthop Trauma Surg. 2014 Jul;134(7):955-62. doi: 10.1007/s00402-014-1999-3. Epub 2014 Apr 23.</t>
  </si>
  <si>
    <t>Sarzaeem MM</t>
  </si>
  <si>
    <t>10.1007/s00402-014-1999-3</t>
  </si>
  <si>
    <t>Increased risk of osteoarthritis after anterior cruciate ligament reconstruction: a 14-year follow-up study of a randomized controlled trial</t>
  </si>
  <si>
    <t>Barenius B, Ponzer S, Shalabi A, Bujak R, NorlÃ©n L, Eriksson K.</t>
  </si>
  <si>
    <t>Am J Sports Med. 2014 May;42(5):1049-57. doi: 10.1177/0363546514526139. Epub 2014 Mar 18.</t>
  </si>
  <si>
    <t>Barenius B</t>
  </si>
  <si>
    <t>10.1177/0363546514526139</t>
  </si>
  <si>
    <t>Is quadriceps tendon a better graft choice than patellar tendon? a prospective randomized study</t>
  </si>
  <si>
    <t>Lund B, Nielsen T, FaunÃ¸ P, Christiansen SE, Lind M.</t>
  </si>
  <si>
    <t>Arthroscopy. 2014 May;30(5):593-8. doi: 10.1016/j.arthro.2014.01.012. Epub 2014 Mar 14.</t>
  </si>
  <si>
    <t>Lund B</t>
  </si>
  <si>
    <t>10.1016/j.arthro.2014.01.012</t>
  </si>
  <si>
    <t>Ipsilateral versus contralateral hamstring grafts in anterior cruciate ligament reconstruction: a prospective randomized trial</t>
  </si>
  <si>
    <t>McRae S, Leiter J, McCormack R, Old J, MacDonald P.</t>
  </si>
  <si>
    <t>Am J Sports Med. 2013 Nov;41(11):2492-9. doi: 10.1177/0363546513499140. Epub 2013 Sep 3.</t>
  </si>
  <si>
    <t>McRae S</t>
  </si>
  <si>
    <t>10.1177/0363546513499140</t>
  </si>
  <si>
    <t>Long-term results of a randomized study on anterior cruciate ligament reconstruction with or without a synthetic degradable augmentation device to support the autograft</t>
  </si>
  <si>
    <t>Peterson L, Eklund U, EngstrÃ¶m B, Forssblad M, Saartok T, Valentin A.</t>
  </si>
  <si>
    <t>Knee Surg Sports Traumatol Arthrosc. 2014 Sep;22(9):2109-20. doi: 10.1007/s00167-013-2636-3. Epub 2013 Aug 31.</t>
  </si>
  <si>
    <t>Peterson L</t>
  </si>
  <si>
    <t>10.1007/s00167-013-2636-3</t>
  </si>
  <si>
    <t>Iliotibial band autograft versus bone-patella-tendon-bone autograft, a possible alternative for ACL reconstruction: a 15-year prospective randomized controlled trial</t>
  </si>
  <si>
    <t>Stensbirk F, Thorborg K, Konradsen L, JÃ¸rgensen U, HÃ¶lmich P.</t>
  </si>
  <si>
    <t>Knee Surg Sports Traumatol Arthrosc. 2014 Sep;22(9):2094-101. doi: 10.1007/s00167-013-2630-9. Epub 2013 Aug 24.</t>
  </si>
  <si>
    <t>Stensbirk F</t>
  </si>
  <si>
    <t>10.1007/s00167-013-2630-9</t>
  </si>
  <si>
    <t>Brace or no-brace after ACL graft? Four-year results of a prospective clinical trial</t>
  </si>
  <si>
    <t>Mayr HO, StÃ¼eken P, MÃ¼nch EO, Wolter M, Bernstein A, Suedkamp NP, Stoehr A.</t>
  </si>
  <si>
    <t>Knee Surg Sports Traumatol Arthrosc. 2014 May;22(5):1156-62. doi: 10.1007/s00167-013-2564-2. Epub 2013 Jun 27.</t>
  </si>
  <si>
    <t>Mayr HO</t>
  </si>
  <si>
    <t>10.1007/s00167-013-2564-2</t>
  </si>
  <si>
    <t>Poly L-lactide co-glycolide/Î²-tricalcium phosphate interference screw fixation for bone-patellar tendon bone anterior cruciate ligament reconstruction</t>
  </si>
  <si>
    <t>Barber FA, Hrnack SA.</t>
  </si>
  <si>
    <t>J Knee Surg. 2013 Dec;26(6):423-8. doi: 10.1055/s-0033-1343614. Epub 2013 Apr 10.</t>
  </si>
  <si>
    <t>Barber FA</t>
  </si>
  <si>
    <t>J Knee Surg</t>
  </si>
  <si>
    <t>10.1055/s-0033-1343614</t>
  </si>
  <si>
    <t>Aseptically processed and chemically sterilized BTB allografts for anterior cruciate ligament reconstruction: a prospective randomized study</t>
  </si>
  <si>
    <t>Indelicato PA, Ciccotti MG, Boyd J, Higgins LD, Shaffer BS, Vangsness CT Jr.</t>
  </si>
  <si>
    <t>Knee Surg Sports Traumatol Arthrosc. 2013 Sep;21(9):2107-12. doi: 10.1007/s00167-012-2309-7. Epub 2012 Dec 1.</t>
  </si>
  <si>
    <t>Indelicato PA</t>
  </si>
  <si>
    <t>PMC3751503</t>
  </si>
  <si>
    <t>10.1007/s00167-012-2309-7</t>
  </si>
  <si>
    <t>A randomized controlled trial comparing bone mineral density changes of three different ACL reconstruction techniques</t>
  </si>
  <si>
    <t>Lui PP, Cheng YY, Yung SH, Hung AS, Chan KM.</t>
  </si>
  <si>
    <t>Knee. 2012 Dec;19(6):779-85. doi: 10.1016/j.knee.2012.02.005. Epub 2012 Mar 16.</t>
  </si>
  <si>
    <t>Lui PP</t>
  </si>
  <si>
    <t>10.1016/j.knee.2012.02.005</t>
  </si>
  <si>
    <t>Long-term follow-up of patellar tendon grafts or hamstring tendon grafts in endoscopic ACL reconstructions</t>
  </si>
  <si>
    <t>Gifstad T, Sole A, Strand T, Uppheim G, GrÃ¸ntvedt T, Drogset JO.</t>
  </si>
  <si>
    <t>Knee Surg Sports Traumatol Arthrosc. 2013 Mar;21(3):576-83. doi: 10.1007/s00167-012-1947-0. Epub 2012 Mar 10.</t>
  </si>
  <si>
    <t>Gifstad T</t>
  </si>
  <si>
    <t>10.1007/s00167-012-1947-0</t>
  </si>
  <si>
    <t>Clinical results and risk factors for reinjury 15 years after anterior cruciate ligament reconstruction: a prospective study of hamstring and patellar tendon grafts</t>
  </si>
  <si>
    <t>Leys T, Salmon L, Waller A, Linklater J, Pinczewski L.</t>
  </si>
  <si>
    <t>Am J Sports Med. 2012 Mar;40(3):595-605. doi: 10.1177/0363546511430375. Epub 2011 Dec 19.</t>
  </si>
  <si>
    <t>Leys T</t>
  </si>
  <si>
    <t>10.1177/0363546511430375</t>
  </si>
  <si>
    <t>Quality of life and clinical outcome comparison of semitendinosus and gracilis tendon versus patellar tendon autografts for anterior cruciate ligament reconstruction: an 11-year follow-up of a randomized controlled trial</t>
  </si>
  <si>
    <t>Sajovic M, Strahovnik A, Dernovsek MZ, Skaza K.</t>
  </si>
  <si>
    <t>Am J Sports Med. 2011 Oct;39(10):2161-9. doi: 10.1177/0363546511411702. Epub 2011 Jun 28.</t>
  </si>
  <si>
    <t>10.1177/0363546511411702</t>
  </si>
  <si>
    <t>Isokinetic muscle strength and knee function associated with double femoral pin fixation and fixation with interference screw in anterior cruciate ligament reconstruction</t>
  </si>
  <si>
    <t>Fernandes TL, Protta TR, Fregni F, Neto RB, Pedrinelli A, Camanho GL, Hernandez AJ.</t>
  </si>
  <si>
    <t>Knee Surg Sports Traumatol Arthrosc. 2012 Feb;20(2):275-80. doi: 10.1007/s00167-011-1585-y. Epub 2011 Jun 28.</t>
  </si>
  <si>
    <t>Fernandes TL</t>
  </si>
  <si>
    <t>10.1007/s00167-011-1585-y</t>
  </si>
  <si>
    <t>Anterior cruciate ligament reconstruction: a multicenter prospective cohort study evaluating 3 different grafts using same bone drilling method</t>
  </si>
  <si>
    <t>Leal-Blanquet J, Alentorn-Geli E, Tuneu J, ValentÃ­ JR, Maestro A.</t>
  </si>
  <si>
    <t>Clin J Sport Med. 2011 Jul;21(4):294-300. doi: 10.1097/JSM.0b013e31822153cb.</t>
  </si>
  <si>
    <t>Leal-Blanquet J</t>
  </si>
  <si>
    <t>10.1097/JSM.0b013e31822153cb</t>
  </si>
  <si>
    <t>Anterior cruciate ligament reconstruction using patellar tendon versus hamstring tendon: a prospective comparative study with 9-year follow-up</t>
  </si>
  <si>
    <t>Wipfler B, Donner S, Zechmann CM, Springer J, Siebold R, Paessler HH.</t>
  </si>
  <si>
    <t>Arthroscopy. 2011 May;27(5):653-65. doi: 10.1016/j.arthro.2011.01.015.</t>
  </si>
  <si>
    <t>Wipfler B</t>
  </si>
  <si>
    <t>10.1016/j.arthro.2011.01.015</t>
  </si>
  <si>
    <t>Long-term degradation of a poly-lactide co-glycolide/Î²-tricalcium phosphate biocomposite interference screw</t>
  </si>
  <si>
    <t>Barber FA, Dockery WD, Hrnack SA.</t>
  </si>
  <si>
    <t>Arthroscopy. 2011 May;27(5):637-43. doi: 10.1016/j.arthro.2010.11.056. Epub 2011 Mar 23.</t>
  </si>
  <si>
    <t>10.1016/j.arthro.2010.11.056</t>
  </si>
  <si>
    <t>Long-term results of anterior cruciate ligament reconstruction: a comparison with non-operative treatment with a follow-up of 17-20 years</t>
  </si>
  <si>
    <t>Mihelic R, Jurdana H, Jotanovic Z, Madjarevic T, Tudor A.</t>
  </si>
  <si>
    <t>Int Orthop. 2011 Jul;35(7):1093-7. doi: 10.1007/s00264-011-1206-x. Epub 2011 Feb 2.</t>
  </si>
  <si>
    <t>Mihelic R</t>
  </si>
  <si>
    <t>PMC3167409</t>
  </si>
  <si>
    <t>10.1007/s00264-011-1206-x</t>
  </si>
  <si>
    <t>A prospective randomized study of ACL-reconstructions using bone-patellar tendon-bone grafts fixed with bioabsorbable or metal interference screws</t>
  </si>
  <si>
    <t>Drogset JO, Straume LG, BjÃ¸rkmo I, Myhr G.</t>
  </si>
  <si>
    <t>Knee Surg Sports Traumatol Arthrosc. 2011 May;19(5):753-9. doi: 10.1007/s00167-010-1353-4. Epub 2011 Jan 14.</t>
  </si>
  <si>
    <t>Drogset JO</t>
  </si>
  <si>
    <t>PMC3076560</t>
  </si>
  <si>
    <t>10.1007/s00167-010-1353-4</t>
  </si>
  <si>
    <t>ACL reconstruction in sports active people: transtibial DB technique with ST/G vs. transtibial SB technique with BPTB: preliminary results</t>
  </si>
  <si>
    <t>Volpi P, Cervellin M, Denti M, Bait C, Melegati G, Quaglia A, de Girolamo L.</t>
  </si>
  <si>
    <t>Injury. 2010 Nov;41(11):1168-71. doi: 10.1016/j.injury.2010.09.029. Epub 2010 Oct 8.</t>
  </si>
  <si>
    <t>Volpi P</t>
  </si>
  <si>
    <t>10.1016/j.injury.2010.09.029</t>
  </si>
  <si>
    <t>Single-bundle patellar tendon versus non-anatomical double-bundle hamstrings ACL reconstruction: a prospective randomized study at 8-year minimum follow-up</t>
  </si>
  <si>
    <t>Zaffagnini S, Bruni D, Marcheggiani Muccioli GM, Bonanzinga T, Lopomo N, Bignozzi S, Marcacci M.</t>
  </si>
  <si>
    <t>Knee Surg Sports Traumatol Arthrosc. 2011 Mar;19(3):390-7. doi: 10.1007/s00167-010-1225-y. Epub 2010 Jul 29.</t>
  </si>
  <si>
    <t>Zaffagnini S</t>
  </si>
  <si>
    <t>10.1007/s00167-010-1225-y</t>
  </si>
  <si>
    <t>Quality of life and clinical outcome after anterior cruciate ligament reconstruction using patellar tendon graft or quadrupled semitendinosus graft: an 8-year follow-up of a randomized controlled trial</t>
  </si>
  <si>
    <t>Barenius B, Nordlander M, Ponzer S, Tidermark J, Eriksson K.</t>
  </si>
  <si>
    <t>Am J Sports Med. 2010 Aug;38(8):1533-41. doi: 10.1177/0363546510369549. Epub 2010 Jun 21.</t>
  </si>
  <si>
    <t>10.1177/0363546510369549</t>
  </si>
  <si>
    <t>Anteromedial portal versus transtibial drilling techniques in ACL reconstruction: a blinded cross-sectional study at two- to five-year follow-up</t>
  </si>
  <si>
    <t>Alentorn-Geli E, Samitier G, Alvarez P, Steinbacher G, Cugat R.</t>
  </si>
  <si>
    <t>Int Orthop. 2010 Jun;34(5):747-54. doi: 10.1007/s00264-010-1000-1. Epub 2010 Apr 20.</t>
  </si>
  <si>
    <t>PMC2903180</t>
  </si>
  <si>
    <t>10.1007/s00264-010-1000-1</t>
  </si>
  <si>
    <t>Early versus late start of isokinetic hamstring-strengthening exercise after anterior cruciate ligament reconstruction with patellar tendon graft</t>
  </si>
  <si>
    <t>Sekir U, Gur H, Akova B.</t>
  </si>
  <si>
    <t>Am J Sports Med. 2010 Mar;38(3):492-500. doi: 10.1177/0363546509349490.</t>
  </si>
  <si>
    <t>Sekir U</t>
  </si>
  <si>
    <t>10.1177/0363546509349490</t>
  </si>
  <si>
    <t>No difference in knee function or prevalence of osteoarthritis after reconstruction of the anterior cruciate ligament with 4-strand hamstring autograft versus patellar tendon-bone autograft: a randomized study with 10-year follow-up</t>
  </si>
  <si>
    <t>Holm I, Oiestad BE, Risberg MA, Aune AK.</t>
  </si>
  <si>
    <t>Am J Sports Med. 2010 Mar;38(3):448-54. doi: 10.1177/0363546509350301. Epub 2010 Jan 23.</t>
  </si>
  <si>
    <t>Holm I</t>
  </si>
  <si>
    <t>10.1177/0363546509350301</t>
  </si>
  <si>
    <t>Autologous patellar tendon and quadrupled hamstring grafts in anterior cruciate ligament reconstruction: a prospective randomized multicenter review of different fixation methods</t>
  </si>
  <si>
    <t>Drogset JO, Strand T, Uppheim G, OdegÃ¥rd B, BÃ¸e A, GrÃ¸ntvedt T.</t>
  </si>
  <si>
    <t>Knee Surg Sports Traumatol Arthrosc. 2010 Aug;18(8):1085-93. doi: 10.1007/s00167-009-0996-5. Epub 2009 Dec 3.</t>
  </si>
  <si>
    <t>10.1007/s00167-009-0996-5</t>
  </si>
  <si>
    <t>Arthroscopic anterior cruciate ligament surgery: results of autogenous patellar tendon graft versus the Leeds-Keio synthetic graft five year follow-up of a prospective randomised controlled trial</t>
  </si>
  <si>
    <t>Ghalayini SR, Helm AT, Bonshahi AY, Lavender A, Johnson DS, Smith RB.</t>
  </si>
  <si>
    <t>Knee. 2010 Oct;17(5):334-9. doi: 10.1016/j.knee.2009.09.008. Epub 2009 Oct 25.</t>
  </si>
  <si>
    <t>Ghalayini SR</t>
  </si>
  <si>
    <t>10.1016/j.knee.2009.09.008</t>
  </si>
  <si>
    <t>Anterior cruciate ligament reconstruction with and without computer navigation: a clinical and magnetic resonance imaging evaluation 2 years after surgery</t>
  </si>
  <si>
    <t>Endele D, Jung C, Becker U, Bauer G, Mauch F.</t>
  </si>
  <si>
    <t>Arthroscopy. 2009 Oct;25(10):1067-74. doi: 10.1016/j.arthro.2009.05.016.</t>
  </si>
  <si>
    <t>Endele D</t>
  </si>
  <si>
    <t>10.1016/j.arthro.2009.05.016</t>
  </si>
  <si>
    <t>Patellar tendon versus hamstring tendon autografts for anterior cruciate ligament reconstruction: a randomized controlled trial using similar femoral and tibial fixation methods</t>
  </si>
  <si>
    <t>Taylor DC, DeBerardino TM, Nelson BJ, Duffey M, Tenuta J, Stoneman PD, Sturdivant RX, Mountcastle S.</t>
  </si>
  <si>
    <t>Am J Sports Med. 2009 Oct;37(10):1946-57. doi: 10.1177/0363546509339577. Epub 2009 Aug 14.</t>
  </si>
  <si>
    <t>Taylor DC</t>
  </si>
  <si>
    <t>10.1177/0363546509339577</t>
  </si>
  <si>
    <t>Knee laxity measurements after anterior cruciate ligament reconstruction, using either bone-patellar-tendon-bone or hamstring tendon autografts, with special emphasis on comparison over time</t>
  </si>
  <si>
    <t>AhldÃ©n M, Kartus J, Ejerhed L, Karlsson J, Sernert N.</t>
  </si>
  <si>
    <t>Knee Surg Sports Traumatol Arthrosc. 2009 Sep;17(9):1117-24. doi: 10.1007/s00167-009-0846-5. Epub 2009 Jul 3.</t>
  </si>
  <si>
    <t>AhldÃ©n M</t>
  </si>
  <si>
    <t>10.1007/s00167-009-0846-5</t>
  </si>
  <si>
    <t>Clinical comparison between six-strand hamstring tendon and patellar tendon autograft in arthroscopic anterior cruciate ligament reconstruction: a prospective, randomized clinical trial</t>
  </si>
  <si>
    <t>Laoruengthana A, Pattayakorn S, Chotanaputhi T, Kosiyatrakul A.</t>
  </si>
  <si>
    <t>J Med Assoc Thai. 2009 Apr;92(4):491-7.</t>
  </si>
  <si>
    <t>Laoruengthana A</t>
  </si>
  <si>
    <t>J Med Assoc Thai</t>
  </si>
  <si>
    <t>Comparable results between lateralized single- and double-bundle ACL reconstructions</t>
  </si>
  <si>
    <t>Tsuda E, Ishibashi Y, Fukuda A, Tsukada H, Toh S.</t>
  </si>
  <si>
    <t>Clin Orthop Relat Res. 2009 Apr;467(4):1042-55. doi: 10.1007/s11999-008-0604-x. Epub 2008 Nov 7.</t>
  </si>
  <si>
    <t>Tsuda E</t>
  </si>
  <si>
    <t>Clin Orthop Relat Res</t>
  </si>
  <si>
    <t>PMC2650066</t>
  </si>
  <si>
    <t>10.1007/s11999-008-0604-x</t>
  </si>
  <si>
    <t>[Interest of an iterative specialized rehabilitation after an anterior cruciate ligament reconstruction in high level sport athletes]</t>
  </si>
  <si>
    <t>Laboute E, Savalli L, Lefesvre T, Puig P, Trouve P.</t>
  </si>
  <si>
    <t>Rev Chir Orthop Reparatrice Appar Mot. 2008 Oct;94(6):533-40. doi: 10.1016/j.rco.2008.01.008. Epub 2008 Mar 26.</t>
  </si>
  <si>
    <t>Laboute E</t>
  </si>
  <si>
    <t>Rev Chir Orthop Reparatrice Appar Mot</t>
  </si>
  <si>
    <t>10.1016/j.rco.2008.01.008</t>
  </si>
  <si>
    <t>Anterior cruciate ligament reconstruction : quadriceps versus patellar autograft</t>
  </si>
  <si>
    <t>Han HS, Seong SC, Lee S, Lee MC.</t>
  </si>
  <si>
    <t>Clin Orthop Relat Res. 2008 Jan;466(1):198-204. doi: 10.1007/s11999-007-0015-4. Epub 2008 Jan 3.</t>
  </si>
  <si>
    <t>Han HS</t>
  </si>
  <si>
    <t>PMC2505304</t>
  </si>
  <si>
    <t>10.1007/s11999-007-0015-4</t>
  </si>
  <si>
    <t>Preliminary effects of hyaluronic acid on early rehabilitation of patients with isolated anterior cruciate ligament reconstruction</t>
  </si>
  <si>
    <t>Huang MH, Yang RC, Chou PH.</t>
  </si>
  <si>
    <t>Clin J Sport Med. 2007 Jul;17(4):242-50. doi: 10.1097/JSM.0b013e31812570fa.</t>
  </si>
  <si>
    <t>Huang MH</t>
  </si>
  <si>
    <t>10.1097/JSM.0b013e31812570fa</t>
  </si>
  <si>
    <t>Bilok interference screws for anterior cruciate ligament reconstruction: clinical and radiographic outcomes</t>
  </si>
  <si>
    <t>Barber FA, Boothby MH.</t>
  </si>
  <si>
    <t>Arthroscopy. 2007 May;23(5):476-81. doi: 10.1016/j.arthro.2006.12.026.</t>
  </si>
  <si>
    <t>10.1016/j.arthro.2006.12.026</t>
  </si>
  <si>
    <t>The effect of graft choice on functional outcome in anterior cruciate ligament reconstruction</t>
  </si>
  <si>
    <t>Sajovic M, Strahovnik A, Komadina R, Dernovsek MZ.</t>
  </si>
  <si>
    <t>Int Orthop. 2008 Aug;32(4):473-8. doi: 10.1007/s00264-007-0341-x. Epub 2007 Mar 13.</t>
  </si>
  <si>
    <t>PMC2532271</t>
  </si>
  <si>
    <t>10.1007/s00264-007-0341-x</t>
  </si>
  <si>
    <t>Patellar tendon or semitendinosus tendon autografts for anterior cruciate ligament reconstruction: a prospective, randomized study with a 7-Year follow-up</t>
  </si>
  <si>
    <t>LidÃ©n M, Ejerhed L, Sernert N, Laxdal G, Kartus J.</t>
  </si>
  <si>
    <t>Am J Sports Med. 2007 May;35(5):740-8. doi: 10.1177/0363546506298275. Epub 2007 Feb 9.</t>
  </si>
  <si>
    <t>LidÃ©n M</t>
  </si>
  <si>
    <t>10.1177/0363546506298275</t>
  </si>
  <si>
    <t>A 10-year comparison of anterior cruciate ligament reconstructions with hamstring tendon and patellar tendon autograft: a controlled, prospective trial</t>
  </si>
  <si>
    <t>Pinczewski LA, Lyman J, Salmon LJ, Russell VJ, Roe J, Linklater J.</t>
  </si>
  <si>
    <t>Am J Sports Med. 2007 Apr;35(4):564-74. doi: 10.1177/0363546506296042. Epub 2007 Jan 29.</t>
  </si>
  <si>
    <t>Pinczewski LA</t>
  </si>
  <si>
    <t>10.1177/0363546506296042</t>
  </si>
  <si>
    <t>Effectiveness of reconstruction of the anterior cruciate ligament with quadrupled hamstrings and bone-patellar tendon-bone autografts: an in vivo study comparing tibial internal-external rotation</t>
  </si>
  <si>
    <t>Chouliaras V, Ristanis S, Moraiti C, Stergiou N, Georgoulis AD.</t>
  </si>
  <si>
    <t>Am J Sports Med. 2007 Feb;35(2):189-96. doi: 10.1177/0363546506296040. Epub 2007 Jan 23.</t>
  </si>
  <si>
    <t>Chouliaras V</t>
  </si>
  <si>
    <t>10.1177/0363546506296040</t>
  </si>
  <si>
    <t>[Intra-articular reconstruction of the anterior cruciate ligament with and without extra-articular supplementation by quadricipital tendon plasty: seven-year follow-up]</t>
  </si>
  <si>
    <t>Giraud B, Besse JL, CladiÃ¨re F, Ecochard R, Moyen B, Lerat JL.</t>
  </si>
  <si>
    <t>Rev Chir Orthop Reparatrice Appar Mot. 2006 Dec;92(8):788-97. doi: 10.1016/s0035-1040(06)75947-5.</t>
  </si>
  <si>
    <t>Giraud B</t>
  </si>
  <si>
    <t>10.1016/s0035-1040(06)75947-5</t>
  </si>
  <si>
    <t>Early versus late start of open kinetic chain quadriceps exercises after ACL reconstruction with patellar tendon or hamstring grafts: a prospective randomized outcome study</t>
  </si>
  <si>
    <t>Heijne A, Werner S.</t>
  </si>
  <si>
    <t>Knee Surg Sports Traumatol Arthrosc. 2007 Apr;15(4):402-14. doi: 10.1007/s00167-006-0246-z. Epub 2007 Jan 12.</t>
  </si>
  <si>
    <t>Heijne A</t>
  </si>
  <si>
    <t>10.1007/s00167-006-0246-z</t>
  </si>
  <si>
    <t>A prospective randomized study of anterior cruciate ligament reconstruction: a comparison of patellar tendon and quadruple-strand semitendinosus/gracilis tendons fixed with bioabsorbable interference screws</t>
  </si>
  <si>
    <t>Maletis GB, Cameron SL, Tengan JJ, Burchette RJ.</t>
  </si>
  <si>
    <t>Am J Sports Med. 2007 Mar;35(3):384-94. doi: 10.1177/0363546506294361. Epub 2007 Jan 11.</t>
  </si>
  <si>
    <t>Maletis GB</t>
  </si>
  <si>
    <t>10.1177/0363546506294361</t>
  </si>
  <si>
    <t>A prospective study of 3-day versus 2-week immobilization period after anterior cruciate ligament reconstruction</t>
  </si>
  <si>
    <t>Ito Y, Deie M, Adachi N, Kobayashi K, Kanaya A, Miyamoto A, Nakasa T, Ochi M.</t>
  </si>
  <si>
    <t>Knee. 2007 Jan;14(1):34-8. doi: 10.1016/j.knee.2006.10.004. Epub 2006 Nov 28.</t>
  </si>
  <si>
    <t>Ito Y</t>
  </si>
  <si>
    <t>10.1016/j.knee.2006.10.004</t>
  </si>
  <si>
    <t>Early active extension after anterior cruciate ligament reconstruction does not result in increased laxity of the knee</t>
  </si>
  <si>
    <t>Isberg J, FaxÃ©n E, Brandsson S, Eriksson BI, KÃ¤rrholm J, Karlsson J.</t>
  </si>
  <si>
    <t>Knee Surg Sports Traumatol Arthrosc. 2006 Nov;14(11):1108-15. doi: 10.1007/s00167-006-0138-2. Epub 2006 Sep 6.</t>
  </si>
  <si>
    <t>Isberg J</t>
  </si>
  <si>
    <t>10.1007/s00167-006-0138-2</t>
  </si>
  <si>
    <t>A prospective, randomized comparison of semitendinosus and gracilis tendon versus patellar tendon autografts for anterior cruciate ligament reconstruction: five-year follow-up</t>
  </si>
  <si>
    <t>Sajovic M, Vengust V, Komadina R, Tavcar R, Skaza K.</t>
  </si>
  <si>
    <t>Am J Sports Med. 2006 Dec;34(12):1933-40. doi: 10.1177/0363546506290726. Epub 2006 Aug 21.</t>
  </si>
  <si>
    <t>10.1177/0363546506290726</t>
  </si>
  <si>
    <t>Randomized prospective study of ACL reconstruction with interference screw fixation in patellar tendon autografts versus femoral metal plate suspension and tibial post fixation in hamstring tendon autografts: 5-year clinical and radiological follow-up results</t>
  </si>
  <si>
    <t>Harilainen A, Linko E, Sandelin J.</t>
  </si>
  <si>
    <t>Knee Surg Sports Traumatol Arthrosc. 2006 Jun;14(6):517-28. doi: 10.1007/s00167-006-0059-0. Epub 2006 Mar 22.</t>
  </si>
  <si>
    <t>Harilainen A</t>
  </si>
  <si>
    <t>10.1007/s00167-006-0059-0</t>
  </si>
  <si>
    <t>Factors affecting return to sports after anterior cruciate ligament reconstruction with patellar tendon and hamstring graft: a prospective clinical investigation</t>
  </si>
  <si>
    <t>Gobbi A, Francisco R.</t>
  </si>
  <si>
    <t>Knee Surg Sports Traumatol Arthrosc. 2006 Oct;14(10):1021-8. doi: 10.1007/s00167-006-0050-9. Epub 2006 Feb 22.</t>
  </si>
  <si>
    <t>Gobbi A</t>
  </si>
  <si>
    <t>10.1007/s00167-006-0050-9</t>
  </si>
  <si>
    <t>Operative and nonoperative treatments of medial collateral ligament rupture with early anterior cruciate ligament reconstruction: a prospective randomized study</t>
  </si>
  <si>
    <t>Halinen J, Lindahl J, Hirvensalo E, Santavirta S.</t>
  </si>
  <si>
    <t>Am J Sports Med. 2006 Jul;34(7):1134-40. doi: 10.1177/0363546505284889. Epub 2006 Feb 1.</t>
  </si>
  <si>
    <t>Halinen J</t>
  </si>
  <si>
    <t>10.1177/0363546505284889</t>
  </si>
  <si>
    <t>Post-operative use of knee brace in bone-tendon-bone patellar tendon anterior cruciate ligament reconstruction: 5-year follow-up results of a randomized prospective study</t>
  </si>
  <si>
    <t>Harilainen A, Sandelin J.</t>
  </si>
  <si>
    <t>Scand J Med Sci Sports. 2006 Feb;16(1):14-8. doi: 10.1111/j.1600-0838.2004.00435.x.</t>
  </si>
  <si>
    <t>Scand J Med Sci Sports</t>
  </si>
  <si>
    <t>10.1111/j.1600-0838.2004.00435.x</t>
  </si>
  <si>
    <t>A prospective comparison of bone-patellar tendon-bone and hamstring grafts for anterior cruciate ligament reconstruction in female patients</t>
  </si>
  <si>
    <t>Svensson M, Sernert N, Ejerhed L, Karlsson J, Kartus JT.</t>
  </si>
  <si>
    <t>Knee Surg Sports Traumatol Arthrosc. 2006 Mar;14(3):278-86. doi: 10.1007/s00167-005-0708-8. Epub 2005 Nov 16.</t>
  </si>
  <si>
    <t>Svensson M</t>
  </si>
  <si>
    <t>10.1007/s00167-005-0708-8</t>
  </si>
  <si>
    <t>A comparison of bone-patellar tendon-bone and bone-hamstring tendon-bone autografts for anterior cruciate ligament reconstruction</t>
  </si>
  <si>
    <t>Matsumoto A, Yoshiya S, Muratsu H, Yagi M, Iwasaki Y, Kurosaka M, Kuroda R.</t>
  </si>
  <si>
    <t>Am J Sports Med. 2006 Feb;34(2):213-9. doi: 10.1177/0363546505279919. Epub 2005 Nov 10.</t>
  </si>
  <si>
    <t>Matsumoto A</t>
  </si>
  <si>
    <t>10.1177/0363546505279919</t>
  </si>
  <si>
    <t>Endoscopic reconstruction of the anterior cruciate ligament using bone-patellar tendon-bone grafts fixed with bioabsorbable or metal interference screws: a prospective randomized study of the clinical outcome</t>
  </si>
  <si>
    <t>Drogset JO, GrÃ¸ntvedt T, Tegnander A.</t>
  </si>
  <si>
    <t>Am J Sports Med. 2005 Aug;33(8):1160-5. doi: 10.1177/0363546504272264. Epub 2005 Jul 6.</t>
  </si>
  <si>
    <t>10.1177/0363546504272264</t>
  </si>
  <si>
    <t>[ACL reconstruction with bone-patellar tendon-bone graft and proximal fixation with the EndoButton: a 2- to 5-year follow-up]</t>
  </si>
  <si>
    <t>Tecklenburg K, Hoser C, Sailer R, OberladstÃ¤tter J, Fink C.</t>
  </si>
  <si>
    <t>Unfallchirurg. 2005 Sep;108(9):721-7. doi: 10.1007/s00113-005-0948-6.</t>
  </si>
  <si>
    <t>Tecklenburg K</t>
  </si>
  <si>
    <t>Unfallchirurg</t>
  </si>
  <si>
    <t>10.1007/s00113-005-0948-6</t>
  </si>
  <si>
    <t>Clinical evaluation of arthroscopically assisted anterior cruciate ligament reconstruction: patellar tendon versus gracilis and semitendinosus autograft</t>
  </si>
  <si>
    <t>Ibrahim SA, Al-Kussary IM, Al-Misfer AR, Al-Mutairi HQ, Ghafar SA, El Noor TA.</t>
  </si>
  <si>
    <t>Arthroscopy. 2005 Apr;21(4):412-7. doi: 10.1016/j.arthro.2004.12.002.</t>
  </si>
  <si>
    <t>Ibrahim SA</t>
  </si>
  <si>
    <t>10.1016/j.arthro.2004.12.002</t>
  </si>
  <si>
    <t>Rehabilitation after anterior cruciate ligament reconstruction: a prospective, randomized, double-blind comparison of programs administered over 2 different time intervals</t>
  </si>
  <si>
    <t>Beynnon BD, Uh BS, Johnson RJ, Abate JA, Nichols CE, Fleming BC, Poole AR, Roos H.</t>
  </si>
  <si>
    <t>Am J Sports Med. 2005 Mar;33(3):347-59. doi: 10.1177/0363546504268406.</t>
  </si>
  <si>
    <t>Beynnon BD</t>
  </si>
  <si>
    <t>10.1177/0363546504268406</t>
  </si>
  <si>
    <t>[Reliability of the KT-1000 arthrometer (Medmetric) for measuring anterior knee laxity: comparison with Telos in 147 knees]</t>
  </si>
  <si>
    <t>Boyer P, Djian P, Christel P, Paoletti X, Degeorges R.</t>
  </si>
  <si>
    <t>Rev Chir Orthop Reparatrice Appar Mot. 2004 Dec;90(8):757-64. doi: 10.1016/s0035-1040(04)70756-4.</t>
  </si>
  <si>
    <t>Boyer P</t>
  </si>
  <si>
    <t>10.1016/s0035-1040(04)70756-4</t>
  </si>
  <si>
    <t>A prospective randomized comparison of bioabsorbable and titanium anterior cruciate ligament interference screws</t>
  </si>
  <si>
    <t>Kaeding C, Farr J, Kavanaugh T, Pedroza A.</t>
  </si>
  <si>
    <t>Arthroscopy. 2005 Feb;21(2):147-51. doi: 10.1016/j.arthro.2004.09.012.</t>
  </si>
  <si>
    <t>Kaeding C</t>
  </si>
  <si>
    <t>10.1016/j.arthro.2004.09.012</t>
  </si>
  <si>
    <t>A prospective randomized comparison of bone-patellar tendon-bone and hamstring grafts for anterior cruciate ligament reconstruction</t>
  </si>
  <si>
    <t>Laxdal G, Kartus J, Hansson L, Heidvall M, Ejerhed L, Karlsson J.</t>
  </si>
  <si>
    <t>Arthroscopy. 2005 Jan;21(1):34-42. doi: 10.1016/j.arthro.2004.09.014.</t>
  </si>
  <si>
    <t>Laxdal G</t>
  </si>
  <si>
    <t>10.1016/j.arthro.2004.09.014</t>
  </si>
  <si>
    <t>The influence of supplementary tibial fixation on laxity measurements after anterior cruciate ligament reconstruction with hamstring tendons in female patients</t>
  </si>
  <si>
    <t>Hill PF, Russell VJ, Salmon LJ, Pinczewski LA.</t>
  </si>
  <si>
    <t>Am J Sports Med. 2005 Jan;33(1):94-101. doi: 10.1177/0363546504268036.</t>
  </si>
  <si>
    <t>Hill PF</t>
  </si>
  <si>
    <t>10.1177/0363546504268036</t>
  </si>
  <si>
    <t>A prospectively randomized double-blind study on the effect of initial graft tension on knee stability after anterior cruciate ligament reconstruction</t>
  </si>
  <si>
    <t>Nicholas SJ, D'Amato MJ, Mullaney MJ, Tyler TF, Kolstad K, McHugh MP.</t>
  </si>
  <si>
    <t>Am J Sports Med. 2004 Dec;32(8):1881-6. doi: 10.1177/0363546504265924.</t>
  </si>
  <si>
    <t>Nicholas SJ</t>
  </si>
  <si>
    <t>10.1177/0363546504265924</t>
  </si>
  <si>
    <t>Arthroscopically assisted anterior cruciate ligament reconstruction: comparison of bone-patellar tendon-bone versus hamstring tendon autograft</t>
  </si>
  <si>
    <t>Boonriong T, Kietsiriroje N.</t>
  </si>
  <si>
    <t>J Med Assoc Thai. 2004 Sep;87(9):1100-7.</t>
  </si>
  <si>
    <t>Boonriong T</t>
  </si>
  <si>
    <t>Anterior cruciate ligament reconstruction: bone-patellar tendon-bone compared with double semitendinosus and gracilis tendon grafts. A prospective, randomized clinical trial</t>
  </si>
  <si>
    <t>Aglietti P, Giron F, Buzzi R, Biddau F, Sasso F.</t>
  </si>
  <si>
    <t>J Bone Joint Surg Am. 2004 Oct;86(10):2143-55.</t>
  </si>
  <si>
    <t>Aglietti P</t>
  </si>
  <si>
    <t>[Patellar tendon-bone autograft reconstruction of the anterior cruciate ligament for advanced-stage chronic anterior laxity: is an extra-articular plasty necessary? A prospective randomized study of 100 patients with five year follow-up]</t>
  </si>
  <si>
    <t>Acquitter Y, Hulet C, Locker B, Delbarre JC, Jambou S, Vielpeau C.</t>
  </si>
  <si>
    <t>Rev Chir Orthop Reparatrice Appar Mot. 2003 Sep;89(5):413-22.</t>
  </si>
  <si>
    <t>Acquitter Y</t>
  </si>
  <si>
    <t>Can a post-operative brace in slight hyperextension prevent extension deficit after anterior cruciate ligament reconstruction? A prospective randomised study</t>
  </si>
  <si>
    <t>Mikkelsen C, Cerulli G, Lorenzini M, Bergstrand G, Werner S.</t>
  </si>
  <si>
    <t>Knee Surg Sports Traumatol Arthrosc. 2003 Sep;11(5):318-21. doi: 10.1007/s00167-003-0406-3. Epub 2003 Jul 26.</t>
  </si>
  <si>
    <t>Mikkelsen C</t>
  </si>
  <si>
    <t>10.1007/s00167-003-0406-3</t>
  </si>
  <si>
    <t>The role of the rehabilitation brace in restoring knee extension after anterior cruciate ligament reconstruction: a prospective controlled study</t>
  </si>
  <si>
    <t>Melegati G, Tornese D, Bandi M, Volpi P, Schonhuber H, Denti M.</t>
  </si>
  <si>
    <t>Knee Surg Sports Traumatol Arthrosc. 2003 Sep;11(5):322-6. doi: 10.1007/s00167-003-0386-3. Epub 2003 Jul 16.</t>
  </si>
  <si>
    <t>Melegati G</t>
  </si>
  <si>
    <t>10.1007/s00167-003-0386-3</t>
  </si>
  <si>
    <t>A randomized comparison of patellar tendon and hamstring tendon anterior cruciate ligament reconstruction</t>
  </si>
  <si>
    <t>Feller JA, Webster KE.</t>
  </si>
  <si>
    <t>Am J Sports Med. 2003 Jul-Aug;31(4):564-73. doi: 10.1177/03635465030310041501.</t>
  </si>
  <si>
    <t>Feller JA</t>
  </si>
  <si>
    <t>10.1177/03635465030310041501</t>
  </si>
  <si>
    <t>Reconstruction of acute anterior cruciate ligament injuries: a prospective, randomised study of 40 patients with 7-year follow-up. No advantage of synthetic augmentation compared to a traditional patellar tendon graft</t>
  </si>
  <si>
    <t>Muren O, Dahlstedt L, DalÃ©n N.</t>
  </si>
  <si>
    <t>Arch Orthop Trauma Surg. 2003 May;123(4):144-7. doi: 10.1007/s00402-002-0457-9. Epub 2003 Jan 11.</t>
  </si>
  <si>
    <t>Muren O</t>
  </si>
  <si>
    <t>10.1007/s00402-002-0457-9</t>
  </si>
  <si>
    <t>Comparison of three techniques of anterior cruciate ligament reconstruction with bone-patellar tendon-bone graft. Differences in anterior tibial translation and tunnel enlargement with each technique</t>
  </si>
  <si>
    <t>Otsuka H, Ishibashi Y, Tsuda E, Sasaki K, Toh S.</t>
  </si>
  <si>
    <t>Am J Sports Med. 2003 Mar-Apr;31(2):282-8. doi: 10.1177/03635465030310022101.</t>
  </si>
  <si>
    <t>Otsuka H</t>
  </si>
  <si>
    <t>10.1177/03635465030310022101</t>
  </si>
  <si>
    <t>Patellar tendon or semitendinosus tendon autografts for anterior cruciate ligament reconstruction? A prospective randomized study with a two-year follow-up</t>
  </si>
  <si>
    <t>Ejerhed L, Kartus J, Sernert N, KÃ¶hler K, Karlsson J.</t>
  </si>
  <si>
    <t>Am J Sports Med. 2003 Jan-Feb;31(1):19-25. doi: 10.1177/03635465030310011401.</t>
  </si>
  <si>
    <t>Ejerhed L</t>
  </si>
  <si>
    <t>10.1177/03635465030310011401</t>
  </si>
  <si>
    <t>A prospective randomized study of patellar versus hamstring tendon autografts for anterior cruciate ligament reconstruction</t>
  </si>
  <si>
    <t>Jansson KA, Linko E, Sandelin J, Harilainen A.</t>
  </si>
  <si>
    <t>Am J Sports Med. 2003 Jan-Feb;31(1):12-8. doi: 10.1177/03635465030310010501.</t>
  </si>
  <si>
    <t>Jansson KA</t>
  </si>
  <si>
    <t>10.1177/03635465030310010501</t>
  </si>
  <si>
    <t>Anterior cruciate ligament reconstruction with and without a ligament augmentation device : results at 8-Year follow-up</t>
  </si>
  <si>
    <t>Drogset JO, GrÃ¸ntvedt T.</t>
  </si>
  <si>
    <t>Am J Sports Med. 2002 Nov-Dec;30(6):851-6. doi: 10.1177/03635465020300061601.</t>
  </si>
  <si>
    <t>10.1177/03635465020300061601</t>
  </si>
  <si>
    <t>[Clinico-histologic comparison of allogenic and autologous bone-tendon-bone using one-third of the patellar tendon in reconstruction of the anterior cruciate ligament]</t>
  </si>
  <si>
    <t>Gorschewsky O, Browa A, Vogel U, Stauffer E.</t>
  </si>
  <si>
    <t>Unfallchirurg. 2002 Aug;105(8):703-14. doi: 10.1007/s00113-001-0405-0.</t>
  </si>
  <si>
    <t>Gorschewsky O</t>
  </si>
  <si>
    <t>10.1007/s00113-001-0405-0</t>
  </si>
  <si>
    <t>Anterior cruciate ligament replacement: comparison of bone-patellar tendon-bone grafts with two-strand hamstring grafts. A prospective, randomized study</t>
  </si>
  <si>
    <t>Beynnon BD, Johnson RJ, Fleming BC, Kannus P, Kaplan M, Samani J, RenstrÃ¶m P.</t>
  </si>
  <si>
    <t>J Bone Joint Surg Am. 2002 Sep;84(9):1503-13. doi: 10.2106/00004623-200209000-00001.</t>
  </si>
  <si>
    <t>10.2106/00004623-200209000-00001</t>
  </si>
  <si>
    <t>[Evaluation of the anterior cruciate ligament injury treatment results using patellar tendon grafts]</t>
  </si>
  <si>
    <t>Gaweda K, Godlewski P.</t>
  </si>
  <si>
    <t>Chir Narzadow Ruchu Ortop Pol. 2002;67(2):163-7.</t>
  </si>
  <si>
    <t>Gaweda K</t>
  </si>
  <si>
    <t>Chir Narzadow Ruchu Ortop Pol</t>
  </si>
  <si>
    <t>A five-year comparison of patellar tendon versus four-strand hamstring tendon autograft for arthroscopic reconstruction of the anterior cruciate ligament</t>
  </si>
  <si>
    <t>Pinczewski LA, Deehan DJ, Salmon LJ, Russell VJ, Clingeleffer A.</t>
  </si>
  <si>
    <t>Am J Sports Med. 2002 Jul-Aug;30(4):523-36. doi: 10.1177/03635465020300041201.</t>
  </si>
  <si>
    <t>10.1177/03635465020300041201</t>
  </si>
  <si>
    <t>Range of motion training in brace vs. plaster immobilization after anterior cruciate ligament reconstruction: a prospective randomized comparison with a 2-year follow-up</t>
  </si>
  <si>
    <t>Henriksson M, Rockborn P, Good L.</t>
  </si>
  <si>
    <t>Scand J Med Sci Sports. 2002 Apr;12(2):73-80. doi: 10.1034/j.1600-0838.2002.120203.x.</t>
  </si>
  <si>
    <t>Henriksson M</t>
  </si>
  <si>
    <t>10.1034/j.1600-0838.2002.120203.x</t>
  </si>
  <si>
    <t>A new generation of artificial ligaments in reconstruction of the anterior cruciate ligament. Two-year follow-up of a randomised trial</t>
  </si>
  <si>
    <t>Nau T, Lavoie P, Duval N.</t>
  </si>
  <si>
    <t>J Bone Joint Surg Br. 2002 Apr;84(3):356-60. doi: 10.1302/0301-620x.84b3.12400.</t>
  </si>
  <si>
    <t>Nau T</t>
  </si>
  <si>
    <t>J Bone Joint Surg Br</t>
  </si>
  <si>
    <t>10.1302/0301-620x.84b3.12400</t>
  </si>
  <si>
    <t>Comparison of functional outcome after anterior cruciate ligament reconstruction resulting in low, normal and increased laxity</t>
  </si>
  <si>
    <t>Sernert N, Kartus J, KÃ¶hler K, Ejerhed L, Brandsson S, Karlsson J.</t>
  </si>
  <si>
    <t>Scand J Med Sci Sports. 2002 Feb;12(1):47-53. doi: 10.1034/j.1600-0838.2002.120109.x.</t>
  </si>
  <si>
    <t>Sernert N</t>
  </si>
  <si>
    <t>10.1034/j.1600-0838.2002.120109.x</t>
  </si>
  <si>
    <t>[Anterior cruciate ligament reconstruction: patellar tendon autograft versus four-strand hamstring tendon autografts. A comparative study at one year follow-up]</t>
  </si>
  <si>
    <t>Katabi M, Djian P, Christel P.</t>
  </si>
  <si>
    <t>Rev Chir Orthop Reparatrice Appar Mot. 2002 Apr;88(2):139-48.</t>
  </si>
  <si>
    <t>Katabi M</t>
  </si>
  <si>
    <t>A prospective randomized comparison of patellar tendon versus semitendinosus and gracilis tendon autografts for anterior cruciate ligament reconstruction</t>
  </si>
  <si>
    <t>Shaieb MD, Kan DM, Chang SK, Marumoto JM, Richardson AB.</t>
  </si>
  <si>
    <t>Am J Sports Med. 2002 Mar-Apr;30(2):214-20. doi: 10.1177/03635465020300021201.</t>
  </si>
  <si>
    <t>Shaieb MD</t>
  </si>
  <si>
    <t>10.1177/03635465020300021201</t>
  </si>
  <si>
    <t>Single-versus two-incision technique in anterior cruciate ligament replacement: influence on postoperative muscle function</t>
  </si>
  <si>
    <t>Hess T, Duchow J, Roland S, Kohn D.</t>
  </si>
  <si>
    <t>Am J Sports Med. 2002 Jan-Feb;30(1):27-31. doi: 10.1177/03635465020300011801.</t>
  </si>
  <si>
    <t>Hess T</t>
  </si>
  <si>
    <t>10.1177/03635465020300011801</t>
  </si>
  <si>
    <t>Blood loss in anterior cruciate ligament (ACL) reconstruction with and without intercondylar notchplasty: does it affect the clinical outcome?</t>
  </si>
  <si>
    <t>Pape D, Seil R, Adam F, GÃ¶dde S, Georg T, Rupp S, Kohn D.</t>
  </si>
  <si>
    <t>Arch Orthop Trauma Surg. 2001 Nov;121(10):574-7. doi: 10.1007/s004020100290.</t>
  </si>
  <si>
    <t>Pape D</t>
  </si>
  <si>
    <t>10.1007/s004020100290</t>
  </si>
  <si>
    <t>Four-strand hamstring tendon autograft compared with patellar tendon-bone autograft for anterior cruciate ligament reconstruction. A randomized study with two-year follow-up</t>
  </si>
  <si>
    <t>Aune AK, Holm I, Risberg MA, Jensen HK, Steen H.</t>
  </si>
  <si>
    <t>Am J Sports Med. 2001 Nov-Dec;29(6):722-8. doi: 10.1177/03635465010290060901.</t>
  </si>
  <si>
    <t>Aune AK</t>
  </si>
  <si>
    <t>10.1177/03635465010290060901</t>
  </si>
  <si>
    <t>Early post-operative morbidity following anterior cruciate ligament reconstruction: patellar tendon versus hamstring graft</t>
  </si>
  <si>
    <t>Feller JA, Webster KE, Gavin B.</t>
  </si>
  <si>
    <t>Knee Surg Sports Traumatol Arthrosc. 2001 Sep;9(5):260-6. doi: 10.1007/s001670100216.</t>
  </si>
  <si>
    <t>10.1007/s001670100216</t>
  </si>
  <si>
    <t>Transcondylar screw fixation in anterior cruciate ligament reconstruction</t>
  </si>
  <si>
    <t>Mariani PP, Camillieri G, Margheritini F.</t>
  </si>
  <si>
    <t>Arthroscopy. 2001 Sep;17(7):717-23. doi: 10.1053/jars.2001.25277.</t>
  </si>
  <si>
    <t>Mariani PP</t>
  </si>
  <si>
    <t>10.1053/jars.2001.25277</t>
  </si>
  <si>
    <t>Anterior cruciate ligament function after tibial eminence fracture in skeletally mature patients</t>
  </si>
  <si>
    <t>Ahmad CS, Shubin Stein BE, Jeshuran W, Nercessian OA, Henry JH.</t>
  </si>
  <si>
    <t>Am J Sports Med. 2001 May-Jun;29(3):339-45. doi: 10.1177/03635465010290031501.</t>
  </si>
  <si>
    <t>Ahmad CS</t>
  </si>
  <si>
    <t>10.1177/03635465010290031501</t>
  </si>
  <si>
    <t>Anterior cruciate ligament reconstruction. A prospective randomized study of three surgical methods</t>
  </si>
  <si>
    <t>Anderson AF, Snyder RB, Lipscomb AB Jr.</t>
  </si>
  <si>
    <t>Am J Sports Med. 2001 May-Jun;29(3):272-9. doi: 10.1177/03635465010290030201.</t>
  </si>
  <si>
    <t>Anderson AF</t>
  </si>
  <si>
    <t>10.1177/03635465010290030201</t>
  </si>
  <si>
    <t>There are differences in early morbidity after ACL reconstruction when comparing patellar tendon and semitendinosus tendon graft. A prospective randomized study of 107 patients</t>
  </si>
  <si>
    <t>Eriksson K, Anderberg P, Hamberg P, Olerud P, Wredmark T.</t>
  </si>
  <si>
    <t>Scand J Med Sci Sports. 2001 Jun;11(3):170-7.</t>
  </si>
  <si>
    <t>Eriksson K</t>
  </si>
  <si>
    <t>A comparison of quadruple semitendinosus and patellar tendon grafts in reconstruction of the anterior cruciate ligament</t>
  </si>
  <si>
    <t>Eriksson K, Anderberg P, Hamberg P, LÃ¶fgren AC, Bredenberg M, Westman I, Wredmark T.</t>
  </si>
  <si>
    <t>J Bone Joint Surg Br. 2001 Apr;83(3):348-54. doi: 10.1302/0301-620x.83b3.11685.</t>
  </si>
  <si>
    <t>10.1302/0301-620x.83b3.11685</t>
  </si>
  <si>
    <t>Preconditioning patellar tendon autografts in arthroscopic anterior cruciate ligament reconstruction: a prospective randomized study</t>
  </si>
  <si>
    <t>Ejerhed L, Kartus J, KÃ¶hler K, Sernert N, Brandsson S, Karlsson J.</t>
  </si>
  <si>
    <t>Knee Surg Sports Traumatol Arthrosc. 2001;9(1):6-11. doi: 10.1007/s001670000179.</t>
  </si>
  <si>
    <t>10.1007/s001670000179</t>
  </si>
  <si>
    <t>Is a knee brace advantageous after anterior cruciate ligament surgery? A prospective, randomised study with a two-year follow-up</t>
  </si>
  <si>
    <t>Brandsson S, FaxÃ©n E, Kartus J, Eriksson BI, Karlsson J.</t>
  </si>
  <si>
    <t>Scand J Med Sci Sports. 2001 Apr;11(2):110-4. doi: 10.1034/j.1600-0838.2001.011002110.x.</t>
  </si>
  <si>
    <t>Brandsson S</t>
  </si>
  <si>
    <t>10.1034/j.1600-0838.2001.011002110.x</t>
  </si>
  <si>
    <t>[Proprioception after reconstruction of the anterior cruciate ligament. Endoscopic vs. 2 tunnel technique]</t>
  </si>
  <si>
    <t>Fremerey R, Lobenhoffer P, Skutek M, Zeichen J, Gerich T, Bosch U.</t>
  </si>
  <si>
    <t>Unfallchirurg. 2000 Oct;103(10):864-70. doi: 10.1007/s001130050634.</t>
  </si>
  <si>
    <t>Fremerey R</t>
  </si>
  <si>
    <t>10.1007/s001130050634</t>
  </si>
  <si>
    <t>Primary anterior cruciate ligament reconstruction using the contralateral autogenous patellar tendon</t>
  </si>
  <si>
    <t>Shelbourne KD, Urch SE.</t>
  </si>
  <si>
    <t>Am J Sports Med. 2000 Sep-Oct;28(5):651-8. doi: 10.1177/03635465000280050501.</t>
  </si>
  <si>
    <t>Shelbourne KD</t>
  </si>
  <si>
    <t>10.1177/03635465000280050501</t>
  </si>
  <si>
    <t>[Transplant fixation by anterior cruciate ligament reconstruction. Metal vs. bioabsorbable polyglyconate interference screw. A prospective randomized study of 40 patients]</t>
  </si>
  <si>
    <t>Hackl W, Fink C, Benedetto KP, Hoser C.</t>
  </si>
  <si>
    <t>Unfallchirurg. 2000 Jun;103(6):468-74. doi: 10.1007/s001130050567.</t>
  </si>
  <si>
    <t>Hackl W</t>
  </si>
  <si>
    <t>10.1007/s001130050567</t>
  </si>
  <si>
    <t>Bioabsorbable polyglyconate interference screw fixation in anterior cruciate ligament reconstruction: a prospective computed tomography-controlled study</t>
  </si>
  <si>
    <t>Fink C, Benedetto KP, Hackl W, Hoser C, Freund MC, Rieger M.</t>
  </si>
  <si>
    <t>Arthroscopy. 2000 Jul-Aug;16(5):491-8. doi: 10.1053/jars.2000.4633.</t>
  </si>
  <si>
    <t>Fink C</t>
  </si>
  <si>
    <t>10.1053/jars.2000.4633</t>
  </si>
  <si>
    <t>Bone-patellar tendon-bone reconstruction of the anterior cruciate ligament. A long-term comparison of early and late repair</t>
  </si>
  <si>
    <t>JÃ¤rvelÃ¤ T, NyyssÃ¶nen M, Kannus P, Paakkala T, JÃ¤rvinen M.</t>
  </si>
  <si>
    <t>Int Orthop. 1999;23(4):227-31. doi: 10.1007/s002640050357.</t>
  </si>
  <si>
    <t>JÃ¤rvelÃ¤ T</t>
  </si>
  <si>
    <t>PMC3619742</t>
  </si>
  <si>
    <t>10.1007/s002640050357</t>
  </si>
  <si>
    <t>Arthroscopic reconstruction of the anterior cruciate ligament with patellar-tendon autograft and interference screw fixation. The results at seven years</t>
  </si>
  <si>
    <t>Jomha NM, Pinczewski LA, Clingeleffer A, Otto DD.</t>
  </si>
  <si>
    <t>J Bone Joint Surg Br. 1999 Sep;81(5):775-9. doi: 10.1302/0301-620x.81b5.8644.</t>
  </si>
  <si>
    <t>Jomha NM</t>
  </si>
  <si>
    <t>10.1302/0301-620x.81b5.8644</t>
  </si>
  <si>
    <t>Bone tunnel enlargement after anterior cruciate ligament reconstruction with the hamstring autograft and endobutton fixation technique. A clinical, radiographic and magnetic resonance imaging study with 2 years follow-up</t>
  </si>
  <si>
    <t>Jansson KA, Harilainen A, Sandelin J, Karjalainen PT, Aronen HJ, Tallroth K.</t>
  </si>
  <si>
    <t>Knee Surg Sports Traumatol Arthrosc. 1999;7(5):290-5. doi: 10.1007/s001670050166.</t>
  </si>
  <si>
    <t>10.1007/s001670050166</t>
  </si>
  <si>
    <t>Bioabsorbable interference screws for graft fixation in anterior cruciate ligament reconstruction</t>
  </si>
  <si>
    <t>McGuire DA, Barber FA, Elrod BF, Paulos LE.</t>
  </si>
  <si>
    <t>Arthroscopy. 1999 Jul-Aug;15(5):463-73. doi: 10.1053/ar.1999.v15.015046001.</t>
  </si>
  <si>
    <t>McGuire DA</t>
  </si>
  <si>
    <t>10.1053/ar.1999.v15.015046001</t>
  </si>
  <si>
    <t>Ultrasound evaluation of gravity induced anterior drawer following anterior cruciate ligament lesion</t>
  </si>
  <si>
    <t>Gebhard F, Authenrieth M, Strecker W, Kinzl L, Hehl G.</t>
  </si>
  <si>
    <t>Knee Surg Sports Traumatol Arthrosc. 1999;7(3):166-72. doi: 10.1007/s001670050142.</t>
  </si>
  <si>
    <t>Gebhard F</t>
  </si>
  <si>
    <t>10.1007/s001670050142</t>
  </si>
  <si>
    <t>Analysis of subjective, objective and functional examination tests after anterior cruciate ligament reconstruction. A follow-up of 527 patients</t>
  </si>
  <si>
    <t>Sernert N, Kartus J, KÃ¶hler K, Stener S, Larsson J, Eriksson BI, Karlsson J.</t>
  </si>
  <si>
    <t>Knee Surg Sports Traumatol Arthrosc. 1999;7(3):160-5. doi: 10.1007/s001670050141.</t>
  </si>
  <si>
    <t>10.1007/s001670050141</t>
  </si>
  <si>
    <t>The effect of different graft tensioning in anterior cruciate ligament reconstruction: a prospective randomized study</t>
  </si>
  <si>
    <t>van Kampen A, Wymenga AB, van der Heide HJ, Bakens HJ.</t>
  </si>
  <si>
    <t>Arthroscopy. 1998 Nov-Dec;14(8):845-50. doi: 10.1016/s0749-8063(98)70022-2.</t>
  </si>
  <si>
    <t>van Kampen A</t>
  </si>
  <si>
    <t>10.1016/s0749-8063(98)70022-2</t>
  </si>
  <si>
    <t>[Endoscopic versus limited open technique for replacement of the anterior cruciate ligament. 4 years outcome of a prospective study]</t>
  </si>
  <si>
    <t>Gerich TG, Lattermann C, Bosch U, Lobenhoffer HP, Tscherne H.</t>
  </si>
  <si>
    <t>Unfallchirurg. 1998 Jul;101(7):551-6. doi: 10.1007/s001130050308.</t>
  </si>
  <si>
    <t>Gerich TG</t>
  </si>
  <si>
    <t>10.1007/s001130050308</t>
  </si>
  <si>
    <t>No benefit of bracing on the early outcome after anterior cruciate ligament reconstruction</t>
  </si>
  <si>
    <t>Muellner T, Alacamlioglu Y, Nikolic A, Schabus R.</t>
  </si>
  <si>
    <t>Knee Surg Sports Traumatol Arthrosc. 1998;6(2):88-92. doi: 10.1007/s001670050078.</t>
  </si>
  <si>
    <t>Muellner T</t>
  </si>
  <si>
    <t>10.1007/s001670050078</t>
  </si>
  <si>
    <t>Closing patellar tendon defects after anterior cruciate ligament reconstruction: absence of any benefit</t>
  </si>
  <si>
    <t>Brandsson S, FaxÃ©n E, Eriksson BI, KÃ¤lebo P, SwÃ¤rd L, Lundin O, Karlsson J.</t>
  </si>
  <si>
    <t>Knee Surg Sports Traumatol Arthrosc. 1998;6(2):82-7. doi: 10.1007/s001670050077.</t>
  </si>
  <si>
    <t>10.1007/s001670050077</t>
  </si>
  <si>
    <t>Arthroscopic intra- and extra-articular anterior cruciate ligament reconstruction with gracilis and semitendinosus tendons</t>
  </si>
  <si>
    <t>Marcacci M, Zaffagnini S, Iacono F, Neri MP, Loreti I, Petitto A.</t>
  </si>
  <si>
    <t>Knee Surg Sports Traumatol Arthrosc. 1998;6(2):68-75. doi: 10.1007/s001670050075.</t>
  </si>
  <si>
    <t>Marcacci M</t>
  </si>
  <si>
    <t>10.1007/s001670050075</t>
  </si>
  <si>
    <t>The effect of pretwisting the ACL autograft on knee laxity</t>
  </si>
  <si>
    <t>Diduch DR, Mann J, Geary SP, Scott WN, Huie G.</t>
  </si>
  <si>
    <t>Am J Knee Surg. 1998 Winter;11(1):15-9.</t>
  </si>
  <si>
    <t>Diduch DR</t>
  </si>
  <si>
    <t>Am J Knee Surg</t>
  </si>
  <si>
    <t>Home based rehabilitation for anterior cruciate ligament reconstruction</t>
  </si>
  <si>
    <t>Fischer DA, Tewes DP, Boyd JL, Smith JP, Quick DC.</t>
  </si>
  <si>
    <t>Clin Orthop Relat Res. 1998 Feb;(347):194-9.</t>
  </si>
  <si>
    <t>Fischer DA</t>
  </si>
  <si>
    <t>One- versus two-incision technique for anterior cruciate ligament reconstruction with patellar tendon graft. Results on early rehabilitation and stability</t>
  </si>
  <si>
    <t>Gerich TG, Lattermann C, Fremerey RW, Zeichen J, Lobenhoffer HP.</t>
  </si>
  <si>
    <t>Knee Surg Sports Traumatol Arthrosc. 1997;5(4):213-6. doi: 10.1007/s001670050052.</t>
  </si>
  <si>
    <t>10.1007/s001670050052</t>
  </si>
  <si>
    <t>[Arthroscopy or arthrotomy in anterior cruciate ligament reconstruction with autogenous bone-tendon-bone-graft]</t>
  </si>
  <si>
    <t>WitoÅ„ski D, KozÅ‚owski P.</t>
  </si>
  <si>
    <t>Chir Narzadow Ruchu Ortop Pol. 1997;62(3):233-8.</t>
  </si>
  <si>
    <t>WitoÅ„ski D</t>
  </si>
  <si>
    <t>Anterior cruciate ligament reconstruction by mini-arthrotomy</t>
  </si>
  <si>
    <t>al-Zarahini S, Franceschi JP, Coste J, Zerroug B, al-Sebai W.</t>
  </si>
  <si>
    <t>Int Orthop. 1997;21(3):161-3. doi: 10.1007/s002640050141.</t>
  </si>
  <si>
    <t>al-Zarahini S</t>
  </si>
  <si>
    <t>PMC3617678</t>
  </si>
  <si>
    <t>10.1007/s002640050141</t>
  </si>
  <si>
    <t>Use of an extension-assisting brace following anterior cruciate ligament reconstruction</t>
  </si>
  <si>
    <t>Feller J, Bartlett J, Chapman S, Delahunt M.</t>
  </si>
  <si>
    <t>Knee Surg Sports Traumatol Arthrosc. 1997;5(1):6-9. doi: 10.1007/s001670050016.</t>
  </si>
  <si>
    <t>Feller J</t>
  </si>
  <si>
    <t>10.1007/s001670050016</t>
  </si>
  <si>
    <t>Proprioception in anterior cruciate ligament-deficient and reconstructed knees</t>
  </si>
  <si>
    <t>MacDonald PB, Hedden D, Pacin O, Sutherland K.</t>
  </si>
  <si>
    <t>Am J Sports Med. 1996 Nov-Dec;24(6):774-8. doi: 10.1177/036354659602400612.</t>
  </si>
  <si>
    <t>MacDonald PB</t>
  </si>
  <si>
    <t>10.1177/036354659602400612</t>
  </si>
  <si>
    <t>Anterior cruciate ligament reconstruction with the patellar tendon--augmentation or not? A 2-year follow-up of 82 patients</t>
  </si>
  <si>
    <t>Thuresson P, Sandberg R, Johansson O, Balkfors B, Westlin N.</t>
  </si>
  <si>
    <t>Scand J Med Sci Sports. 1996 Aug;6(4):247-54. doi: 10.1111/j.1600-0838.1996.tb00099.x.</t>
  </si>
  <si>
    <t>Thuresson P</t>
  </si>
  <si>
    <t>10.1111/j.1600-0838.1996.tb00099.x</t>
  </si>
  <si>
    <t>Comparison between two techniques for surgical repair of the acutely torn anterior cruciate ligament. A prospective, randomized follow-up study of 48 patients</t>
  </si>
  <si>
    <t>GrÃ¸ntvedt T, Engebretsen L.</t>
  </si>
  <si>
    <t>Scand J Med Sci Sports. 1995 Dec;5(6):358-63. doi: 10.1111/j.1600-0838.1995.tb00059.x.</t>
  </si>
  <si>
    <t>GrÃ¸ntvedt T</t>
  </si>
  <si>
    <t>10.1111/j.1600-0838.1995.tb00059.x</t>
  </si>
  <si>
    <t>Preliminary results of an absorbable interference screw</t>
  </si>
  <si>
    <t>Barber FA, Elrod BF, McGuire DA, Paulos LE.</t>
  </si>
  <si>
    <t>Arthroscopy. 1995 Oct;11(5):537-48. doi: 10.1016/0749-8063(95)90129-9.</t>
  </si>
  <si>
    <t>10.1016/0749-8063(95)90129-9</t>
  </si>
  <si>
    <t>A prospective, randomized comparison of open vs arthroscopically assisted ACL reconstruction</t>
  </si>
  <si>
    <t>Cameron SE, Wilson W, St Pierre P.</t>
  </si>
  <si>
    <t>Orthopedics. 1995 Mar;18(3):249-52. doi: 10.3928/0147-7447-19950301-06.</t>
  </si>
  <si>
    <t>Cameron SE</t>
  </si>
  <si>
    <t>Orthopedics</t>
  </si>
  <si>
    <t>10.3928/0147-7447-19950301-06</t>
  </si>
  <si>
    <t>[The new "Marburg rehabilitation concept". "On the status of exercise equipment within the scope of rehabilitation of patients after surgery of the anterior cruciate ligament"]</t>
  </si>
  <si>
    <t>Knaepler H, Schenk C.</t>
  </si>
  <si>
    <t>Aktuelle Traumatol. 1994 Feb;24(1):17-23.</t>
  </si>
  <si>
    <t>Knaepler H</t>
  </si>
  <si>
    <t>Aktuelle Traumatol</t>
  </si>
  <si>
    <t>Patellar tendon or Leeds-Keio graft in the surgical treatment of anterior cruciate ligament ruptures. Intermediate results</t>
  </si>
  <si>
    <t>EngstrÃ¶m B, Wredmark T, Westblad P.</t>
  </si>
  <si>
    <t>Clin Orthop Relat Res. 1993 Oct;(295):190-7.</t>
  </si>
  <si>
    <t>EngstrÃ¶m B</t>
  </si>
  <si>
    <t>The efficacy of continuous passive motion in the rehabilitation of anterior cruciate ligament reconstructions</t>
  </si>
  <si>
    <t>Rosen MA, Jackson DW, Atwell EA.</t>
  </si>
  <si>
    <t>Am J Sports Med. 1992 Mar-Apr;20(2):122-7. doi: 10.1177/036354659202000205.</t>
  </si>
  <si>
    <t>Rosen MA</t>
  </si>
  <si>
    <t>10.1177/036354659202000205</t>
  </si>
  <si>
    <t>Continuous passive motion after arthroscopically assisted anterior cruciate ligament reconstruction: comparison of short- versus long-term use</t>
  </si>
  <si>
    <t>Richmond JC, Gladstone J, MacGillivray J.</t>
  </si>
  <si>
    <t>Arthroscopy. 1991;7(1):39-44. doi: 10.1016/0749-8063(91)90076-a.</t>
  </si>
  <si>
    <t>Richmond JC</t>
  </si>
  <si>
    <t>10.1016/0749-8063(91)90076-a</t>
  </si>
  <si>
    <t>A prospective, randomized study of three surgical techniques for treatment of acute ruptures of the anterior cruciate ligament</t>
  </si>
  <si>
    <t>Engebretsen L, Benum P, Fasting O, MÃ¸lster A, Strand T.</t>
  </si>
  <si>
    <t>Am J Sports Med. 1990 Nov-Dec;18(6):585-90. doi: 10.1177/036354659001800605.</t>
  </si>
  <si>
    <t>Engebretsen L</t>
  </si>
  <si>
    <t>10.1177/036354659001800605</t>
  </si>
  <si>
    <t>Arthroscopic evaluation of anterior cruciate ligament reconstruction using a free patellar tendon autograft. A prospective, randomized study</t>
  </si>
  <si>
    <t>Kohn D.</t>
  </si>
  <si>
    <t>Clin Orthop Relat Res. 1990 May;(254):220-4.</t>
  </si>
  <si>
    <t>Kohn D</t>
  </si>
  <si>
    <t>Prospective, randomized study comparing clinical outcomes when reconstructing ACL with either semitendinosus autograft or the Jewel synthetic standalone device in two separate patient cohorts</t>
  </si>
  <si>
    <t>Kentel M, Krupa S, Reichert P, Korolczuk K, Kentel M, Kentel K, Daszkiewicz M.</t>
  </si>
  <si>
    <t>Knee. 2025 Dec;57:84-99. doi: 10.1016/j.knee.2025.07.024. Epub 2025 Aug 19.</t>
  </si>
  <si>
    <t>Kentel M</t>
  </si>
  <si>
    <t>10.1016/j.knee.2025.07.024</t>
  </si>
  <si>
    <t>Comparable Mid- to Long-term Outcomes of Semitendinosus and Semitendinosus/Gracilis Grafts in ACL Reconstruction: Median 8-Year (Range, 5-10 Years) Results From a Randomized Controlled Study</t>
  </si>
  <si>
    <t>Mo IF, Harlem T, Faleide AGH, Strand T, Vindfeld S, Solheim E, Randsborg PH, Inderhaug E.</t>
  </si>
  <si>
    <t>Am J Sports Med. 2025 Jul;53(9):2145-2153. doi: 10.1177/03635465251344106. Epub 2025 Jun 6.</t>
  </si>
  <si>
    <t>Mo IF</t>
  </si>
  <si>
    <t>10.1177/03635465251344106</t>
  </si>
  <si>
    <t>A semitendinosus with adjustable button graft construct in patients undergoing hamstring ACL reconstruction results in improved knee flexor strength symmetry and less donor site pain and morbidity: Outcomes from the DOSTAR randomized controlled trial</t>
  </si>
  <si>
    <t>Lawless AM, Ebert JR, Edwards PK, Malik SS, Davies PSE, D'Alessandro PA.</t>
  </si>
  <si>
    <t>Knee Surg Sports Traumatol Arthrosc. 2026 Feb;34(2):484-493. doi: 10.1002/ksa.12698. Epub 2025 May 12.</t>
  </si>
  <si>
    <t>Lawless AM</t>
  </si>
  <si>
    <t>PMC12850584</t>
  </si>
  <si>
    <t>10.1002/ksa.12698</t>
  </si>
  <si>
    <t>Evaluation of the Application of BOth Sides Up Ball Training Combined With Resistance Training in Joint Stability Improvement Following Anterior Cruciate Ligament Reconstruction Surgery in Teenage Athletes</t>
  </si>
  <si>
    <t>Cao X, Liu J, Zhao J, Feng S, Zhao Z.</t>
  </si>
  <si>
    <t>J Sport Rehabil. 2025 Feb 13;34(7):733-739. doi: 10.1123/jsr.2024-0160. Print 2025 Sep 1.</t>
  </si>
  <si>
    <t>Cao X</t>
  </si>
  <si>
    <t>J Sport Rehabil</t>
  </si>
  <si>
    <t>10.1123/jsr.2024-0160</t>
  </si>
  <si>
    <t>[Autologous hamstring versus quadriceps graft in anterior cruciate ligament plasty. Comparative study with focus on Return-To-Sport]</t>
  </si>
  <si>
    <t>GarcÃ­a-Linage R, Lassard-Rosenthal J, Noval-GarcÃ­a R, MuÃ±iz-Madrazo A, Fraind-Maya G, Palmero-Picazo J, German-CÃ³rdoba I, ZimbrÃ³n-LÃ³pez D.</t>
  </si>
  <si>
    <t>Acta Ortop Mex. 2025 Jan-Feb;39(1):19-26.</t>
  </si>
  <si>
    <t>GarcÃ­a-Linage R</t>
  </si>
  <si>
    <t>Acta Ortop Mex</t>
  </si>
  <si>
    <t>Kneeling tolerance when using quadriceps tendon autograft for anterior cruciate ligament reconstruction is superior to hamstring tendon autograft</t>
  </si>
  <si>
    <t>Calvert ND, Ebert JR, Radic R.</t>
  </si>
  <si>
    <t>Knee Surg Sports Traumatol Arthrosc. 2025 Jul;33(7):2390-2396. doi: 10.1002/ksa.12583. Epub 2025 Jan 15.</t>
  </si>
  <si>
    <t>Calvert ND</t>
  </si>
  <si>
    <t>10.1002/ksa.12583</t>
  </si>
  <si>
    <t>5-years outcomes following arthroscopic anterior cruciate ligament reconstruction comparing quadruple hamstring and peroneus longus tendon autografts: a randomized control trial</t>
  </si>
  <si>
    <t>Butt U, Vuletic F, Shaikh MAA, Amanullah, Rehman GU, Shah IA, StÃ¥lman A, Khan ZA.</t>
  </si>
  <si>
    <t>Arch Orthop Trauma Surg. 2024 Dec 23;145(1):85. doi: 10.1007/s00402-024-05639-1.</t>
  </si>
  <si>
    <t>Butt U</t>
  </si>
  <si>
    <t>PMC11666688</t>
  </si>
  <si>
    <t>10.1007/s00402-024-05639-1</t>
  </si>
  <si>
    <t>Early versus delayed start of weight-bearing after arthroscopic anterior cruciate ligament reconstruction with hamstring tendons</t>
  </si>
  <si>
    <t>Yang X, Li Y, He C, Jin T, Huang Y.</t>
  </si>
  <si>
    <t>J Sports Med Phys Fitness. 2025 Feb;65(2):230-237. doi: 10.23736/S0022-4707.24.16134-8. Epub 2024 Nov 11.</t>
  </si>
  <si>
    <t>Yang X</t>
  </si>
  <si>
    <t>J Sports Med Phys Fitness</t>
  </si>
  <si>
    <t>10.23736/S0022-4707.24.16134-8</t>
  </si>
  <si>
    <t>Medial Collateral Ligament Repair, Isolated Suture-Tape-Bracing and No Repair for Grade III Medial Collateral Ligament Tears During Anterior Cruciate Ligament Reconstruction Have Similar Outcome for Combined Anterior Cruciate Ligament With Medial Collateral Ligament Injury: A 3-Arm Randomized Controlled Trial</t>
  </si>
  <si>
    <t>Ramakanth R, Sundararajan SR, Sujith BSG, D'Souza T, Arumugam P, Rajasekaran S.</t>
  </si>
  <si>
    <t>Arthroscopy. 2025 Jun;41(6):2021-2032. doi: 10.1016/j.arthro.2024.09.023. Epub 2024 Sep 28.</t>
  </si>
  <si>
    <t>Ramakanth R</t>
  </si>
  <si>
    <t>10.1016/j.arthro.2024.09.023</t>
  </si>
  <si>
    <t>ACL Reconstruction Using Quadrupled Semitendinosus Versus Double-Stranded Semitendinosus and Gracilis Autograft: 2-Year Results From a Prospective Randomized Controlled Study</t>
  </si>
  <si>
    <t>Mo IF, Harlem T, Faleide AGH, Strand T, Vindfeld S, Solheim E, Inderhaug E.</t>
  </si>
  <si>
    <t>Am J Sports Med. 2024 Jul;52(8):1927-1936. doi: 10.1177/03635465241254048. Epub 2024 Jun 7.</t>
  </si>
  <si>
    <t>10.1177/03635465241254048</t>
  </si>
  <si>
    <t>Avoiding Graft Failure: Lessons Learned from the Stability Trial</t>
  </si>
  <si>
    <t>Getgood AMJ.</t>
  </si>
  <si>
    <t>Clin Sports Med. 2024 Jul;43(3):367-381. doi: 10.1016/j.csm.2023.08.005. Epub 2023 Dec 13.</t>
  </si>
  <si>
    <t>Getgood AMJ</t>
  </si>
  <si>
    <t>Clin Sports Med</t>
  </si>
  <si>
    <t>10.1016/j.csm.2023.08.005</t>
  </si>
  <si>
    <t>[Early effectiveness of local injection of multimodal drug cocktail during anterior cruciate ligament reconstruction and its influence on cartilage]</t>
  </si>
  <si>
    <t>Yu H, Dong Z, Shi Z, Li L, Dong K, Liu H, Li Y.</t>
  </si>
  <si>
    <t>Zhongguo Xiu Fu Chong Jian Wai Ke Za Zhi. 2024 May 15;38(5):562-569. doi: 10.7507/1002-1892.202402054.</t>
  </si>
  <si>
    <t>Yu H</t>
  </si>
  <si>
    <t>Zhongguo Xiu Fu Chong Jian Wai Ke Za Zhi</t>
  </si>
  <si>
    <t>PMC11096880</t>
  </si>
  <si>
    <t>10.7507/1002-1892.202402054</t>
  </si>
  <si>
    <t>A Prospective Randomized Controlled Trial Investigating Quadriceps Versus Hamstring Tendon Autograft in Anterior Cruciate Ligament Reconstruction</t>
  </si>
  <si>
    <t>Ebert JR, Calvert ND, Radic R.</t>
  </si>
  <si>
    <t>Am J Sports Med. 2024 Mar;52(3):660-669. doi: 10.1177/03635465231222279. Epub 2024 Jan 29.</t>
  </si>
  <si>
    <t>Ebert JR</t>
  </si>
  <si>
    <t>PMC10905979</t>
  </si>
  <si>
    <t>10.1177/03635465231222279</t>
  </si>
  <si>
    <t>Two-stage ligament reconstruction with remnant preservation as treatment of knee dislocation</t>
  </si>
  <si>
    <t>Ma W, Yang Y, Ha X.</t>
  </si>
  <si>
    <t>BMC Surg. 2023 Dec 8;23(1):371. doi: 10.1186/s12893-023-02271-5.</t>
  </si>
  <si>
    <t>Ma W</t>
  </si>
  <si>
    <t>BMC Surg</t>
  </si>
  <si>
    <t>PMC10704695</t>
  </si>
  <si>
    <t>10.1186/s12893-023-02271-5</t>
  </si>
  <si>
    <t>Nordic hamstring exercises in functional knee rehabilitation after anterior cruciate ligament reconstruction: a prospective, randomised, controlled study</t>
  </si>
  <si>
    <t>Chen J, Wu T, Guo Y.</t>
  </si>
  <si>
    <t>Sci Rep. 2023 Nov 3;13(1):19039. doi: 10.1038/s41598-023-45817-6.</t>
  </si>
  <si>
    <t>Chen J</t>
  </si>
  <si>
    <t>Sci Rep</t>
  </si>
  <si>
    <t>PMC10624851</t>
  </si>
  <si>
    <t>10.1038/s41598-023-45817-6</t>
  </si>
  <si>
    <t>Increased posterior tibial slope is an independent risk factor of anterior cruciate ligament reconstruction graft rupture irrespective of graft choice</t>
  </si>
  <si>
    <t>Cruz CA, Mannino BJ, Pike A, Thoma D, Lindell K, Kerbel YE, McCadden A, Lopez AJ, Bottoni CR.</t>
  </si>
  <si>
    <t>J ISAKOS. 2022 Oct;7(5):100-104. doi: 10.1016/j.jisako.2022.04.002. Epub 2022 Apr 13.</t>
  </si>
  <si>
    <t>Cruz CA</t>
  </si>
  <si>
    <t>J ISAKOS</t>
  </si>
  <si>
    <t>10.1016/j.jisako.2022.04.002</t>
  </si>
  <si>
    <t>Application of 3D-Printed Personalized Guide for Lateral Femoral Positioning in Anterior Cruciate Ligament Reconstruction of the Knee</t>
  </si>
  <si>
    <t>Lan X, Huang J, Tian F, Wang S, Liu C, Wang J.</t>
  </si>
  <si>
    <t>Altern Ther Health Med. 2023 Oct;29(7):360-364.</t>
  </si>
  <si>
    <t>Lan X</t>
  </si>
  <si>
    <t>Altern Ther Health Med</t>
  </si>
  <si>
    <t>A prospective randomized controlled study of hamstring and bone-free quadriceps tendons autografts in arthroscopic ACL reconstruction</t>
  </si>
  <si>
    <t>Tang N, Eren M, Gurpinar T, Ozturkmen Y.</t>
  </si>
  <si>
    <t>Eur J Orthop Surg Traumatol. 2024 Jan;34(1):293-301. doi: 10.1007/s00590-023-03636-5. Epub 2023 Jul 19.</t>
  </si>
  <si>
    <t>Tang N</t>
  </si>
  <si>
    <t>10.1007/s00590-023-03636-5</t>
  </si>
  <si>
    <t>Anterior Cruciate Ligament Reconstruction Plus Lateral Extra-articular Tenodesis Has a Similar Return-to-Sport Rate to Anterior Cruciate Ligament Reconstruction Alone but a Lower Failure Rate</t>
  </si>
  <si>
    <t>Rezansoff A, Firth AD, Bryant DM, Litchfield R, McCormack RG, Heard M, MacDonald PB, Spalding T, Verdonk PCM, Peterson D, Bardana D; STABILITY Study Group; Getgood AMJ.</t>
  </si>
  <si>
    <t>Arthroscopy. 2024 Feb;40(2):384-396.e1. doi: 10.1016/j.arthro.2023.05.019. Epub 2023 Jun 1.</t>
  </si>
  <si>
    <t>Rezansoff A</t>
  </si>
  <si>
    <t>10.1016/j.arthro.2023.05.019</t>
  </si>
  <si>
    <t>Evaluation the results of anterior cruciate ligament reconstruction with or without using antibiotic solution during graft preparation</t>
  </si>
  <si>
    <t>Mousavi SH, Radi M, Kazemi D, Izadpanah F, Shahrouzian A.</t>
  </si>
  <si>
    <t>Eur J Orthop Surg Traumatol. 2023 Oct;33(7):3033-3036. doi: 10.1007/s00590-023-03522-0. Epub 2023 Mar 29.</t>
  </si>
  <si>
    <t>Mousavi SH</t>
  </si>
  <si>
    <t>10.1007/s00590-023-03522-0</t>
  </si>
  <si>
    <t>Female Athletes With Better Psychological Readiness Are at Higher Risk for Second ACL Injury After Primary ACL Reconstruction</t>
  </si>
  <si>
    <t>Zarzycki R, Cummer K, Arhos E, Failla M, Capin JJ, Smith AH, Snyder-Mackler L.</t>
  </si>
  <si>
    <t>Sports Health. 2024 Jan-Feb;16(1):149-154. doi: 10.1177/19417381231155120. Epub 2023 Mar 19.</t>
  </si>
  <si>
    <t>Zarzycki R</t>
  </si>
  <si>
    <t>Sports Health</t>
  </si>
  <si>
    <t>PMC10732117</t>
  </si>
  <si>
    <t>10.1177/19417381231155120</t>
  </si>
  <si>
    <t>Anterior Cruciate Ligament Reconstruction Using a 4-Strand Semitendinosus Tendon Graft or a Doubled Semitendinosus and Gracilis Tendon Graft: A 4.5-Year Prospective, Randomized, Double-Blind, Parallel-Group Study</t>
  </si>
  <si>
    <t>KuliÅ„ski K, WaÅ›ko MK, TramÅ› E, Malesa K, Pomianowski S, KamiÅ„ski R.</t>
  </si>
  <si>
    <t>Am J Sports Med. 2023 Mar;51(3):615-626. doi: 10.1177/03635465221149738.</t>
  </si>
  <si>
    <t>KuliÅ„ski K</t>
  </si>
  <si>
    <t>10.1177/03635465221149738</t>
  </si>
  <si>
    <t>Small Hamstring Tendon Graft for Anterior Cruciate Ligament Reconstruction Combined With Anterolateral Ligament Reconstruction Results in the Same Failure Rate as Larger Hamstring Tendon Graft Reconstruction Alone</t>
  </si>
  <si>
    <t>Helito CP, da Silva AGM, Sobrado MF, GuimarÃ£es TM, Gobbi RG, PÃ©cora JR.</t>
  </si>
  <si>
    <t>Arthroscopy. 2023 Jul;39(7):1671-1679. doi: 10.1016/j.arthro.2023.01.101. Epub 2023 Feb 10.</t>
  </si>
  <si>
    <t>Helito CP</t>
  </si>
  <si>
    <t>10.1016/j.arthro.2023.01.101</t>
  </si>
  <si>
    <t>A comparison of the outcomes of anterior curciate ligament reconstruction with large-size graft versus reconstruction with average-size graft combined with extraarticular tenodesis</t>
  </si>
  <si>
    <t>El-Azab H, Moursy M, Mohamed MA, Elsayed M.</t>
  </si>
  <si>
    <t>Injury. 2023 Mar;54(3):976-982. doi: 10.1016/j.injury.2023.01.033. Epub 2023 Jan 20.</t>
  </si>
  <si>
    <t>El-Azab H</t>
  </si>
  <si>
    <t>10.1016/j.injury.2023.01.033</t>
  </si>
  <si>
    <t>No increase in adverse events with lateral extra-articular tenodesis augmentation of anterior cruciate ligament reconstruction - Results from the stability randomized trial</t>
  </si>
  <si>
    <t>Heard M, Marmura H, Bryant D, Litchfield R, McCormack R, MacDonald P, Spalding T, Verdonk P, Peterson D, Bardana D, Rezansoff A; STABILITY Study Group; Getgood A.</t>
  </si>
  <si>
    <t>J ISAKOS. 2023 Aug;8(4):246-254. doi: 10.1016/j.jisako.2022.12.001. Epub 2023 Jan 14.</t>
  </si>
  <si>
    <t>Heard M</t>
  </si>
  <si>
    <t>10.1016/j.jisako.2022.12.001</t>
  </si>
  <si>
    <t>Performance of 5-Strand Hamstring Autograft Anterior Cruciate Ligament Reconstruction in the STABILITY Study: A Subgroup Analysis</t>
  </si>
  <si>
    <t>Lodhia P, Nazari G, Bryant D, Getgood A, McCormack R; STABILITY Group; Getgood AMJ, Bryant DM, Litchfield R, Willits K, Birmingham T, Hewison C, Firth AD, Wanlin S, Pinto R, Martindale A, O'Neill L, Jennings M, Daniluk M, McCormack RG, Boyer D, Zomar M, Moon K, Moon R, Fan B, Mohan B, Payne K, Heard M, Buchko GM, Hiemstra LA, Kerslake S, Tynedal J, MacDonald PB, Stranges G, Mcrae S, Gullett L, Brown H, Legary A, Longo A, Christian M, Ferguson C, Rezansoff A, Mohtadi N, Barber R, Chan D, Campbell C, Garven A, Pulsifer K, Mayer M, Peterson D, Simunovic N, Duong A, Robinson D, Levy D, Skelly M, Shanmugaraj A, Bardana D, Howells F, Tough M, Spalding T, Thompson P, Metcalfe A, Asplin L, Dube A, Clarkson L, Brown J, Bolsover A, Bradshaw C, Belgrove L, Milan F, Turner S, Verdugo S, Lowe J, Dunne D, McGowan K, Suddens CM, Verdonk PCM, Declerq G, Vuylsteke K, Van Haver M.</t>
  </si>
  <si>
    <t>Am J Sports Med. 2022 Nov;50(13):3502-3509. doi: 10.1177/03635465221128581. Epub 2022 Oct 19.</t>
  </si>
  <si>
    <t>Lodhia P</t>
  </si>
  <si>
    <t>PMC9630854</t>
  </si>
  <si>
    <t>10.1177/03635465221128581</t>
  </si>
  <si>
    <t>Comparison of Quadriceps and Hamstring Muscle Strength after Exercises with and without Blood Flow Restriction following Anterior Cruciate Ligament Surgery: A Randomized Controlled Trial</t>
  </si>
  <si>
    <t>Vieira de Melo RF, Komatsu WR, Freitas MS, Vieira de Melo ME, Cohen M.</t>
  </si>
  <si>
    <t>J Rehabil Med. 2022 Nov 1;54:jrm00337. doi: 10.2340/jrm.v54.2550.</t>
  </si>
  <si>
    <t>Vieira de Melo RF</t>
  </si>
  <si>
    <t>J Rehabil Med</t>
  </si>
  <si>
    <t>PMC9639477</t>
  </si>
  <si>
    <t>10.2340/jrm.v54.2550</t>
  </si>
  <si>
    <t>Objective laxity and subjective outcomes are more influenced by meniscal treatment than anterior cruciate ligament reconstruction technique at minimum2 years of follow-up</t>
  </si>
  <si>
    <t>Grassi A, Di Paolo S, Dal Fabbro G, Eroglu ON, Macchiarola L, Lucidi GA, Zaffagnini S.</t>
  </si>
  <si>
    <t>J ISAKOS. 2022 Aug;7(4):54-59. doi: 10.1016/j.jisako.2022.04.006. Epub 2022 May 5.</t>
  </si>
  <si>
    <t>Grassi A</t>
  </si>
  <si>
    <t>10.1016/j.jisako.2022.04.006</t>
  </si>
  <si>
    <t>[Clinical Outcomes of the Application of Platelet-Rich Fibrin during Anatomic Anterior Cruciate Ligament Reconstruction: Results of Prospective Randomised Study]</t>
  </si>
  <si>
    <t>Kasl J, Zeman P, Pavelka T, CibulkovÃ¡ J, PilnÃ½ J, MatÄ›jka J.</t>
  </si>
  <si>
    <t>Acta Chir Orthop Traumatol Cech. 2022;89(4):279-285.</t>
  </si>
  <si>
    <t>Kasl J</t>
  </si>
  <si>
    <t>Acta Chir Orthop Traumatol Cech</t>
  </si>
  <si>
    <t>Comparable Instrumented Knee Joint Laxity and Patient-Reported Outcomes After ACL Repair With Dynamic Intraligamentary Stabilization or ACL Reconstruction: 5-Year Results of a Randomized Controlled Trial</t>
  </si>
  <si>
    <t>Glasbrenner J, Raschke MJ, Kittl C, Herbst E, Peez C, Briese T, Michel PA, Herbort M, KÃ¶sters C, Schliemann B.</t>
  </si>
  <si>
    <t>Am J Sports Med. 2022 Oct;50(12):3256-3264. doi: 10.1177/03635465221117777. Epub 2022 Aug 25.</t>
  </si>
  <si>
    <t>Glasbrenner J</t>
  </si>
  <si>
    <t>PMC9527444</t>
  </si>
  <si>
    <t>10.1177/03635465221117777</t>
  </si>
  <si>
    <t>Comparison of Rapid Rehabilitation after Anterior Cruciate Ligament Reconstruction with Tensioning Technique and Traditional Rehabilitation</t>
  </si>
  <si>
    <t>Jin T, Li Y, Yang G, Liao X, Wang G, Wang F.</t>
  </si>
  <si>
    <t>Dis Markers. 2022 Jul 1;2022:6779207. doi: 10.1155/2022/6779207. eCollection 2022.</t>
  </si>
  <si>
    <t>Jin T</t>
  </si>
  <si>
    <t>Dis Markers</t>
  </si>
  <si>
    <t>PMC9270112</t>
  </si>
  <si>
    <t>10.1155/2022/6779207</t>
  </si>
  <si>
    <t>No differences found in long-term outcomes of a randomized controlled trial comparing ipsilateral versus contralateral hamstring graft in ACL reconstruction</t>
  </si>
  <si>
    <t>Beaudoin A, Ogborn D, McRae S, Larose G, Brown H, McCormack R, MacDonald P.</t>
  </si>
  <si>
    <t>Knee Surg Sports Traumatol Arthrosc. 2022 Nov;30(11):3718-3725. doi: 10.1007/s00167-022-06980-x. Epub 2022 May 4.</t>
  </si>
  <si>
    <t>Beaudoin A</t>
  </si>
  <si>
    <t>10.1007/s00167-022-06980-x</t>
  </si>
  <si>
    <t>The effectiveness of Kinesio Taping in improving pain and edema during early rehabilitation after Anterior Cruciate Ligament Reconstruction: A Prospective, Randomized, Control Study</t>
  </si>
  <si>
    <t>Labianca L, Andreozzi V, Princi G, Princi AA, Calderaro C, Guzzini M, Ferretti A.</t>
  </si>
  <si>
    <t>Acta Biomed. 2022 Jan 19;92(6):e2021336. doi: 10.23750/abm.v92i6.10875.</t>
  </si>
  <si>
    <t>Labianca L</t>
  </si>
  <si>
    <t>Acta Biomed</t>
  </si>
  <si>
    <t>PMC8823551</t>
  </si>
  <si>
    <t>10.23750/abm.v92i6.10875</t>
  </si>
  <si>
    <t>Predictors of Graft Failure in Young Active Patients Undergoing Hamstring Autograft Anterior Cruciate Ligament Reconstruction With or Without a Lateral Extra-articular Tenodesis: The Stability Experience</t>
  </si>
  <si>
    <t>Firth AD, Bryant DM, Litchfield R, McCormack RG, Heard M, MacDonald PB, Spalding T, Verdonk PCM, Peterson D, Bardana D, Rezansoff A; STABILITY Study Group; Getgood AMJ, Willits K, Birmingham T, Hewison C, Wanlin S, Pinto R, Martindale A, O'Neill L, Jennings M, Daniluk M, Boyer D, Zomar M, Moon K, Moon R,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Milan F, Turner S, Verdugo S, Lowe J, Dunne D, McGowan K, Suddens CM, Declerq G, Vuylsteke K, Van Haver M.</t>
  </si>
  <si>
    <t>Am J Sports Med. 2022 Feb;50(2):384-395. doi: 10.1177/03635465211061150. Epub 2022 Jan 20.</t>
  </si>
  <si>
    <t>Firth AD</t>
  </si>
  <si>
    <t>PMC8829733</t>
  </si>
  <si>
    <t>10.1177/03635465211061150</t>
  </si>
  <si>
    <t>Immediate and 6-week effects of wearing a knee sleeve following anterior cruciate ligament reconstruction: a cross-over laboratory and randomised clinical trial</t>
  </si>
  <si>
    <t>Sole G, Lamb P, Pataky T, Klima S, Navarre P, Hammer N.</t>
  </si>
  <si>
    <t>BMC Musculoskelet Disord. 2021 Aug 4;22(1):655. doi: 10.1186/s12891-021-04540-x.</t>
  </si>
  <si>
    <t>Sole G</t>
  </si>
  <si>
    <t>BMC Musculoskelet Disord</t>
  </si>
  <si>
    <t>PMC8336666</t>
  </si>
  <si>
    <t>10.1186/s12891-021-04540-x</t>
  </si>
  <si>
    <t>Quadriceps and hamstring tendon autografts in ACL reconstruction yield comparably good results in a prospective, randomized controlled trial</t>
  </si>
  <si>
    <t>Horstmann H, Petri M, Tegtbur U, Felmet G, Krettek C, Jagodzinski M.</t>
  </si>
  <si>
    <t>Arch Orthop Trauma Surg. 2022 Feb;142(2):281-289. doi: 10.1007/s00402-021-03862-8. Epub 2021 Mar 19.</t>
  </si>
  <si>
    <t>Horstmann H</t>
  </si>
  <si>
    <t>PMC8783919</t>
  </si>
  <si>
    <t>10.1007/s00402-021-03862-8</t>
  </si>
  <si>
    <t>Original study: early patient-reported functional outcome of all-inside ACL reconstruction as compared to anteromedial portal technique</t>
  </si>
  <si>
    <t>Kulshrestha V, Sood M, Kumar S, Kawale A.</t>
  </si>
  <si>
    <t>Eur J Orthop Surg Traumatol. 2021 Oct;31(7):1477-1483. doi: 10.1007/s00590-021-02912-6. Epub 2021 Feb 25.</t>
  </si>
  <si>
    <t>Kulshrestha V</t>
  </si>
  <si>
    <t>10.1007/s00590-021-02912-6</t>
  </si>
  <si>
    <t>Comparison of the outcomes of isolated anterior cruciate ligament reconstruction and combined anterolateral ligament suture tape augmentation and anterior cruciate ligament reconstruction</t>
  </si>
  <si>
    <t>Erden T, Toker B, Toprak A, TaÅŸer Ã–.</t>
  </si>
  <si>
    <t>Jt Dis Relat Surg. 2021;32(1):129-136. doi: 10.5606/ehc.2020.78201. Epub 2021 Jan 6.</t>
  </si>
  <si>
    <t>Erden T</t>
  </si>
  <si>
    <t>Jt Dis Relat Surg</t>
  </si>
  <si>
    <t>PMC8073455</t>
  </si>
  <si>
    <t>10.5606/ehc.2020.78201</t>
  </si>
  <si>
    <t>Maturity Progression of the Entire Anterior Cruciate Ligament Graft of Insertion-Preserved Hamstring Tendons by 5 Years: A Prospective Randomized Controlled Study Based on Magnetic Resonance Imaging Evaluation</t>
  </si>
  <si>
    <t>Zhang Y, Liu S, Chen Q, Hu Y, Sun Y, Chen J.</t>
  </si>
  <si>
    <t>Am J Sports Med. 2020 Oct;48(12):2970-2977. doi: 10.1177/0363546520951507. Epub 2020 Sep 10.</t>
  </si>
  <si>
    <t>Zhang Y</t>
  </si>
  <si>
    <t>10.1177/0363546520951507</t>
  </si>
  <si>
    <t>Five-Strand Versus Four-Strand Hamstring Autografts in Anterior Cruciate Ligament Reconstruction-A Prospective Randomized Controlled Study</t>
  </si>
  <si>
    <t>Krishna L, Chan CX, Lokaiah L, Chinnasamy D, Goyal S, Wang M, Singh A.</t>
  </si>
  <si>
    <t>Arthroscopy. 2021 Feb;37(2):579-585. doi: 10.1016/j.arthro.2020.08.012. Epub 2020 Aug 21.</t>
  </si>
  <si>
    <t>Krishna L</t>
  </si>
  <si>
    <t>10.1016/j.arthro.2020.08.012</t>
  </si>
  <si>
    <t>ACL reconstruction using a quadruple semitendinosus graft with cortical fixations gives suitable isokinetic and clinical outcomes after 2Â years</t>
  </si>
  <si>
    <t>Roger J, Bertani A, Vigouroux F, Mottier F, Gaillard R, Have L, RongiÃ¨ras F.</t>
  </si>
  <si>
    <t>Knee Surg Sports Traumatol Arthrosc. 2020 Aug;28(8):2468-2477. doi: 10.1007/s00167-020-06121-2. Epub 2020 Jul 22.</t>
  </si>
  <si>
    <t>Roger J</t>
  </si>
  <si>
    <t>10.1007/s00167-020-06121-2</t>
  </si>
  <si>
    <t>Females Have Earlier Muscle Strength and Functional Recovery After Bridge-Enhanced Anterior Cruciate Ligament Repair</t>
  </si>
  <si>
    <t>Barnett S, Badger GJ, Kiapour A, Yen YM, Henderson R, Freiberger C, Proffen B, Sant N, Trainor B, Fleming BC, Micheli LJ, Murray MM, Kramer DE.</t>
  </si>
  <si>
    <t>Tissue Eng Part A. 2020 Jul;26(13-14):702-711. doi: 10.1089/ten.tea.2020.0057. Epub 2020 Jun 25.</t>
  </si>
  <si>
    <t>Barnett S</t>
  </si>
  <si>
    <t>Tissue Eng Part A</t>
  </si>
  <si>
    <t>PMC7398430</t>
  </si>
  <si>
    <t>10.1089/ten.tea.2020.0057</t>
  </si>
  <si>
    <t>Bioabsorbable Versus Titanium Screws in Anterior Cruciate Ligament Reconstruction Using Hamstring Autograft: A Prospective, Randomized Controlled Trial With 13-Year Follow-up</t>
  </si>
  <si>
    <t>Sundaraj K, Salmon LJ, Heath EL, Winalski CS, Colak C, Vasanji A, Roe JP, Pinczewski LA.</t>
  </si>
  <si>
    <t>Am J Sports Med. 2020 May;48(6):1316-1326. doi: 10.1177/0363546520911024. Epub 2020 Apr 17.</t>
  </si>
  <si>
    <t>Sundaraj K</t>
  </si>
  <si>
    <t>10.1177/0363546520911024</t>
  </si>
  <si>
    <t>Modified Iliotibial Band Tenodesis Is Indicated to Correct Intraoperative Residual Pivot Shift After Anterior Cruciate Ligament Reconstruction Using an Autologous Hamstring Tendon Graft: A Prospective Randomized Controlled Trial</t>
  </si>
  <si>
    <t>Porter M, Shadbolt B.</t>
  </si>
  <si>
    <t>Am J Sports Med. 2020 Apr;48(5):1069-1077. doi: 10.1177/0363546520910148. Epub 2020 Mar 17.</t>
  </si>
  <si>
    <t>Porter M</t>
  </si>
  <si>
    <t>10.1177/0363546520910148</t>
  </si>
  <si>
    <t>Effects of Autograft Types on Muscle Strength and Functional Capacity in Patients Having Anterior Cruciate Ligament Reconstruction: A Randomized Controlled Trial</t>
  </si>
  <si>
    <t>Sinding KS, Nielsen TG, Hvid LG, Lind M, Dalgas U.</t>
  </si>
  <si>
    <t>Sports Med. 2020 Jul;50(7):1393-1403. doi: 10.1007/s40279-020-01276-x.</t>
  </si>
  <si>
    <t>Sinding KS</t>
  </si>
  <si>
    <t>Sports Med</t>
  </si>
  <si>
    <t>10.1007/s40279-020-01276-x</t>
  </si>
  <si>
    <t>Anterior cruciate ligament injuries treated with quadriceps tendon autograft versus hamstring autograft: A randomized controlled trial</t>
  </si>
  <si>
    <t>Vilchez-Cavazos F, DÃ¡vila-MartÃ­nez A, Garza-Castro S, Simental-MendÃ­a M, Garay-Mendoza D, Tamez-Mata Y, PeÃ±a-MartÃ­nez V, Acosta-Olivo C.</t>
  </si>
  <si>
    <t>Cir Cir. 2020;88(1):76-81. doi: 10.24875/CIRU.19001001.</t>
  </si>
  <si>
    <t>Vilchez-Cavazos F</t>
  </si>
  <si>
    <t>Cir Cir</t>
  </si>
  <si>
    <t>10.24875/CIRU.19001001</t>
  </si>
  <si>
    <t>Lateral Extra-articular Tenodesis Reduces Failure of Hamstring Tendon Autograft Anterior Cruciate Ligament Reconstruction: 2-Year Outcomes From the STABILITY Study Randomized Clinical Trial</t>
  </si>
  <si>
    <t>Getgood AMJ, Bryant DM, Litchfield R, Heard M, McCormack RG, Rezansoff A, Peterson D, Bardana D, MacDonald PB, Verdonk PCM, Spalding T; STABILITY Study Group;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Spalding T, Thompson P, Metcalfe A, Asplin L, Dube A, Clarkson L, Brown J, Bolsover A, Bradshaw C, Belgrove L, Millan F, Turner S, Verdugo S, Lowe J, Dunne D, McGowan K, Suddens CM, Declercq G, Vuylsteke K, Van Haver M.</t>
  </si>
  <si>
    <t>Am J Sports Med. 2020 Feb;48(2):285-297. doi: 10.1177/0363546519896333. Epub 2020 Jan 15.</t>
  </si>
  <si>
    <t>10.1177/0363546519896333</t>
  </si>
  <si>
    <t>Quadriceps tendon grafts does not cause patients to have inferior subjective outcome after anterior cruciate ligament (ACL) reconstruction than do hamstring grafts: a 2-year prospective randomised controlled trial</t>
  </si>
  <si>
    <t>Lind M, Nielsen TG, Soerensen OG, Mygind-Klavsen B, FaunÃ¸ P.</t>
  </si>
  <si>
    <t>Br J Sports Med. 2020 Feb;54(3):183-187. doi: 10.1136/bjsports-2019-101000. Epub 2019 Nov 8.</t>
  </si>
  <si>
    <t>Lind M</t>
  </si>
  <si>
    <t>Br J Sports Med</t>
  </si>
  <si>
    <t>10.1136/bjsports-2019-101000</t>
  </si>
  <si>
    <t>[Effect of isokinetic training of thigh muscle group on graft remodeling after anterior cruciate ligament reconstruction]</t>
  </si>
  <si>
    <t>Liu H, Lu W, Liang D, Geng H, Zhu W, Ouyang K, Li H, Peng L, Feng W, Zhong M, Chen K, Li Y, Deng Z, Wang D.</t>
  </si>
  <si>
    <t>Zhongguo Xiu Fu Chong Jian Wai Ke Za Zhi. 2019 Sep 15;33(9):1088-1094. doi: 10.7507/1002-1892.201902059.</t>
  </si>
  <si>
    <t>Liu H</t>
  </si>
  <si>
    <t>PMC8355844</t>
  </si>
  <si>
    <t>10.7507/1002-1892.201902059</t>
  </si>
  <si>
    <t>A Randomized Controlled Trial of PEEK Versus Titanium Interference Screws for Anterior Cruciate Ligament Reconstruction With 2-Year Follow-up</t>
  </si>
  <si>
    <t>Shumborski S, Heath E, Salmon LJ, Roe JP, Linklater JP, Facek M, Pinczewski LA.</t>
  </si>
  <si>
    <t>Am J Sports Med. 2019 Aug;47(10):2386-2393. doi: 10.1177/0363546519861530. Epub 2019 Jul 15.</t>
  </si>
  <si>
    <t>Shumborski S</t>
  </si>
  <si>
    <t>10.1177/0363546519861530</t>
  </si>
  <si>
    <t>Early weight-bearing after anterior cruciate ligament reconstruction with hamstring grafts induce femoral bone tunnel enlargement: a prospective clinical and radiographic study</t>
  </si>
  <si>
    <t>Tajima T, Yamaguchi N, Nagasawa M, Morita Y, Nakamura Y, Chosa E.</t>
  </si>
  <si>
    <t>BMC Musculoskelet Disord. 2019 Jun 4;20(1):274. doi: 10.1186/s12891-019-2653-6.</t>
  </si>
  <si>
    <t>Tajima T</t>
  </si>
  <si>
    <t>PMC6547478</t>
  </si>
  <si>
    <t>10.1186/s12891-019-2653-6</t>
  </si>
  <si>
    <t>Superior knee flexor strength at 2Â years with all-inside short-graft anterior cruciate ligament reconstruction vs a conventional hamstring technique</t>
  </si>
  <si>
    <t>Kouloumentas P, Kavroudakis E, Charalampidis E, Kavroudakis D, Triantafyllopoulos GK.</t>
  </si>
  <si>
    <t>Knee Surg Sports Traumatol Arthrosc. 2019 Nov;27(11):3592-3598. doi: 10.1007/s00167-019-05456-9. Epub 2019 Mar 19.</t>
  </si>
  <si>
    <t>Kouloumentas P</t>
  </si>
  <si>
    <t>10.1007/s00167-019-05456-9</t>
  </si>
  <si>
    <t>Single-tunnel anatomic double-bundle anterior cruciate ligament reconstruction has the same effectiveness as double femoral, double tibial tunnel: A prospective randomized study</t>
  </si>
  <si>
    <t>Xiang X, Qu Z, Sun H, Ma X, Wang W, Huang L.</t>
  </si>
  <si>
    <t>Medicine (Baltimore). 2019 Mar;98(11):e14851. doi: 10.1097/MD.0000000000014851.</t>
  </si>
  <si>
    <t>Xiang X</t>
  </si>
  <si>
    <t>Medicine (Baltimore)</t>
  </si>
  <si>
    <t>PMC6426548</t>
  </si>
  <si>
    <t>10.1097/MD.0000000000014851</t>
  </si>
  <si>
    <t>Acute Anterior Cruciate Ligament Rupture: Repair or Reconstruction? Two-Year Results of a Randomized Controlled Clinical Trial</t>
  </si>
  <si>
    <t>Hoogeslag RAG, Brouwer RW, Boer BC, de Vries AJ, Huis In 't Veld R.</t>
  </si>
  <si>
    <t>Am J Sports Med. 2019 Mar;47(3):567-577. doi: 10.1177/0363546519825878.</t>
  </si>
  <si>
    <t>Hoogeslag RAG</t>
  </si>
  <si>
    <t>10.1177/0363546519825878</t>
  </si>
  <si>
    <t>Cross-education improves quadriceps strength recovery after ACL reconstruction: a randomized controlled trial</t>
  </si>
  <si>
    <t>Harput G, Ulusoy B, Yildiz TI, Demirci S, Eraslan L, Turhan E, Tunay VB.</t>
  </si>
  <si>
    <t>Knee Surg Sports Traumatol Arthrosc. 2019 Jan;27(1):68-75. doi: 10.1007/s00167-018-5040-1. Epub 2018 Jun 29.</t>
  </si>
  <si>
    <t>Harput G</t>
  </si>
  <si>
    <t>10.1007/s00167-018-5040-1</t>
  </si>
  <si>
    <t>Single-Bundle Versus Double-Bundle Anterior Cruciate Ligament Reconstruction-5-Year Results</t>
  </si>
  <si>
    <t>Mayr HO, Bruder S, Hube R, Bernstein A, Suedkamp NP, Stoehr A.</t>
  </si>
  <si>
    <t>Arthroscopy. 2018 Sep;34(9):2647-2653. doi: 10.1016/j.arthro.2018.03.034. Epub 2018 Jun 21.</t>
  </si>
  <si>
    <t>10.1016/j.arthro.2018.03.034</t>
  </si>
  <si>
    <t>Strength recovery after anterior cruciate ligament reconstruction with quadriceps tendon versus hamstring tendon autografts in soccer players: A randomized controlled trial</t>
  </si>
  <si>
    <t>Martin-Alguacil JL, Arroyo-Morales M, MartÃ­n-Gomez JL, Monje-Cabrera IM, AbellÃ¡n-GuillÃ©n JF, Esparza-Ros F, Lozano ML, Cantarero-Villanueva I.</t>
  </si>
  <si>
    <t>Knee. 2018 Aug;25(4):704-714. doi: 10.1016/j.knee.2018.03.011.</t>
  </si>
  <si>
    <t>Martin-Alguacil JL</t>
  </si>
  <si>
    <t>10.1016/j.knee.2018.03.011</t>
  </si>
  <si>
    <t>The Effect of Cartilage Fragments on Femoral Tunnel Widening After Anterior Cruciate Ligament Reconstruction: A Prospective Randomized Controlled Study</t>
  </si>
  <si>
    <t>Zhang C, Pan J, Chen JD, Zhang YJ, Gu PC, Lin XJ, Cai YZ.</t>
  </si>
  <si>
    <t>Arthroscopy. 2018 Jul;34(7):2218-2227. doi: 10.1016/j.arthro.2018.03.011. Epub 2018 May 3.</t>
  </si>
  <si>
    <t>Zhang C</t>
  </si>
  <si>
    <t>10.1016/j.arthro.2018.03.011</t>
  </si>
  <si>
    <t>Self-reported functional recovery after reconstruction versus repair in acute anterior cruciate ligament rupture (ROTOR): a randomized controlled clinical trial</t>
  </si>
  <si>
    <t>Boer BC, Hoogeslag RAG, Brouwer RW, Demmer A, Huis In 't Veld RMHA.</t>
  </si>
  <si>
    <t>BMC Musculoskelet Disord. 2018 Apr 20;19(1):127. doi: 10.1186/s12891-018-2028-4.</t>
  </si>
  <si>
    <t>Boer BC</t>
  </si>
  <si>
    <t>PMC5910573</t>
  </si>
  <si>
    <t>10.1186/s12891-018-2028-4</t>
  </si>
  <si>
    <t>A Randomized Clinical Trial to Evaluate Attached Hamstring Anterior Cruciate Ligament Graft Maturity With Magnetic Resonance Imaging</t>
  </si>
  <si>
    <t>Liu S, Li H, Tao H, Sun Y, Chen S, Chen J.</t>
  </si>
  <si>
    <t>Am J Sports Med. 2018 Apr;46(5):1143-1149. doi: 10.1177/0363546517752918. Epub 2018 Feb 14.</t>
  </si>
  <si>
    <t>Liu S</t>
  </si>
  <si>
    <t>10.1177/0363546517752918</t>
  </si>
  <si>
    <t>All-Inside Single-Bundle Reconstruction of the Anterior Cruciate Ligament with the Anterior Half of the Peroneus Longus Tendon Compared to the Semitendinosus Tendon: A Two-Year Follow-Up Study</t>
  </si>
  <si>
    <t>Bi M, Zhao C, Zhang S, Yao B, Hong Z, Bi Q.</t>
  </si>
  <si>
    <t>J Knee Surg. 2018 Nov;31(10):1022-1030. doi: 10.1055/s-0038-1627466. Epub 2018 Feb 8.</t>
  </si>
  <si>
    <t>Bi M</t>
  </si>
  <si>
    <t>10.1055/s-0038-1627466</t>
  </si>
  <si>
    <t>Outcome of Hamstring Autograft With Preserved Insertions Compared With Free Hamstring Autograft in Anterior Cruciate Ligament Surgery at 2-Year Follow-up</t>
  </si>
  <si>
    <t>Gupta R, Bahadur R, Malhotra A, Masih GD, Sood M, Gupta P, Mathur VK.</t>
  </si>
  <si>
    <t>Arthroscopy. 2017 Dec;33(12):2208-2216. doi: 10.1016/j.arthro.2017.06.040. Epub 2017 Sep 29.</t>
  </si>
  <si>
    <t>Gupta R</t>
  </si>
  <si>
    <t>10.1016/j.arthro.2017.06.040</t>
  </si>
  <si>
    <t>Tunnel widening after single- versus double-bundle anterior cruciate ligament reconstruction: a randomized 8-year follow-up study</t>
  </si>
  <si>
    <t>Beyaz S, GÃ¼ler ÃœÃ–, Demir Åž, YÃ¼ksel S, Ã‡Ä±nar BM, Ã–zkoÃ§ G, AkpÄ±nar S.</t>
  </si>
  <si>
    <t>Arch Orthop Trauma Surg. 2017 Nov;137(11):1547-1555. doi: 10.1007/s00402-017-2774-z. Epub 2017 Aug 24.</t>
  </si>
  <si>
    <t>Beyaz S</t>
  </si>
  <si>
    <t>10.1007/s00402-017-2774-z</t>
  </si>
  <si>
    <t>No clinical differences between anteromedial portal and transtibial technique for femoral tunnel positioning in anterior cruciate ligament reconstruction: a prospective randomized, controlled trial</t>
  </si>
  <si>
    <t>MacDonald P, Kim C, McRae S, Leiter J, Khan R, Whelan D.</t>
  </si>
  <si>
    <t>Knee Surg Sports Traumatol Arthrosc. 2018 May;26(5):1335-1342. doi: 10.1007/s00167-017-4664-x. Epub 2017 Aug 11.</t>
  </si>
  <si>
    <t>MacDonald P</t>
  </si>
  <si>
    <t>10.1007/s00167-017-4664-x</t>
  </si>
  <si>
    <t>Changes in gait pattern and early functional results after ACL repair are comparable to those of ACL reconstruction</t>
  </si>
  <si>
    <t>Schliemann B, Glasbrenner J, Rosenbaum D, Lammers K, Herbort M, Domnick C, Raschke MJ, KÃ¶sters C.</t>
  </si>
  <si>
    <t>Knee Surg Sports Traumatol Arthrosc. 2018 Feb;26(2):374-380. doi: 10.1007/s00167-017-4618-3. Epub 2017 Jul 3.</t>
  </si>
  <si>
    <t>Schliemann B</t>
  </si>
  <si>
    <t>10.1007/s00167-017-4618-3</t>
  </si>
  <si>
    <t>[A prospective randomized control trial of arthroscopic surgery for stable ramp lesion of the medial meniscus]</t>
  </si>
  <si>
    <t>Liu X, Feng H, Hong L, Zhang H.</t>
  </si>
  <si>
    <t>Zhonghua Wai Ke Za Zhi. 2017 Mar 1;55(3):161-165. doi: 10.3760/cma.j.issn.0529-5815.2017.03.001.</t>
  </si>
  <si>
    <t>Liu X</t>
  </si>
  <si>
    <t>Zhonghua Wai Ke Za Zhi</t>
  </si>
  <si>
    <t>10.3760/cma.j.issn.0529-5815.2017.03.001</t>
  </si>
  <si>
    <t>A prospective randomized comparison of two distinct allogenic tissue constructs for anterior cruciate ligament reconstruction</t>
  </si>
  <si>
    <t>Rose MB, Domes C, Farooqi M, Crawford DC.</t>
  </si>
  <si>
    <t>Knee. 2016 Dec;23(6):1112-1120. doi: 10.1016/j.knee.2016.08.011. Epub 2016 Nov 18.</t>
  </si>
  <si>
    <t>Rose MB</t>
  </si>
  <si>
    <t>10.1016/j.knee.2016.08.011</t>
  </si>
  <si>
    <t>Kinesio taping as a treatment method in the acute phase of ACL reconstruction: A double-blind, placebo-controlled study</t>
  </si>
  <si>
    <t>Balki S, GÃ¶ktaÅŸ HE, Ã–ztemur Z.</t>
  </si>
  <si>
    <t>Acta Orthop Traumatol Turc. 2016 Dec;50(6):628-634. doi: 10.1016/j.aott.2016.03.005. Epub 2016 Oct 24.</t>
  </si>
  <si>
    <t>Balki S</t>
  </si>
  <si>
    <t>Acta Orthop Traumatol Turc</t>
  </si>
  <si>
    <t>PMC6197419</t>
  </si>
  <si>
    <t>10.1016/j.aott.2016.03.005</t>
  </si>
  <si>
    <t>Acute MCL and ACL injuries: first results of minimal-invasive MCL ligament bracing with combined ACL single-bundle reconstruction</t>
  </si>
  <si>
    <t>Ateschrang A, DÃ¶bele S, Freude T, StÃ¶ckle U, SchrÃ¶ter S, Kraus TM.</t>
  </si>
  <si>
    <t>Arch Orthop Trauma Surg. 2016 Sep;136(9):1265-1272. doi: 10.1007/s00402-016-2497-6. Epub 2016 Jul 19.</t>
  </si>
  <si>
    <t>Ateschrang A</t>
  </si>
  <si>
    <t>10.1007/s00402-016-2497-6</t>
  </si>
  <si>
    <t>Hamstring graft tibial insertion preservation versus detachment in anterior cruciate ligament reconstruction: a prospective randomized comparative study</t>
  </si>
  <si>
    <t>Ruffilli A, Pagliazzi G, Ferranti E, Busacca M, Capannelli D, Buda R.</t>
  </si>
  <si>
    <t>Eur J Orthop Surg Traumatol. 2016 Aug;26(6):657-64. doi: 10.1007/s00590-016-1812-9. Epub 2016 Jul 7.</t>
  </si>
  <si>
    <t>Ruffilli A</t>
  </si>
  <si>
    <t>10.1007/s00590-016-1812-9</t>
  </si>
  <si>
    <t>Comparison Between Single- and Double-Bundle Anterior Cruciate Ligament Reconstruction With 6- to 8-Stranded Hamstring Autograft: A Prospective, Randomized Clinical Trial</t>
  </si>
  <si>
    <t>Liu Y, Cui G, Yan H, Yang Y, Ao Y.</t>
  </si>
  <si>
    <t>Am J Sports Med. 2016 Sep;44(9):2314-22. doi: 10.1177/0363546516650876. Epub 2016 Jun 24.</t>
  </si>
  <si>
    <t>Liu Y</t>
  </si>
  <si>
    <t>10.1177/0363546516650876</t>
  </si>
  <si>
    <t>Resorbable screw and sheath versus resorbable interference screw and staples for ACL reconstruction: a comparison of two tibial fixation methods</t>
  </si>
  <si>
    <t>Carulli C, Matassi F, Soderi S, Sirleo L, Munz G, Innocenti M.</t>
  </si>
  <si>
    <t>Knee Surg Sports Traumatol Arthrosc. 2017 Apr;25(4):1264-1271. doi: 10.1007/s00167-016-4135-9. Epub 2016 Apr 27.</t>
  </si>
  <si>
    <t>Carulli C</t>
  </si>
  <si>
    <t>10.1007/s00167-016-4135-9</t>
  </si>
  <si>
    <t>A Randomized Clinical Trial to Assess the Clinical Effectiveness of a Measured Objective Tensioning Device in Hamstring Anterior Cruciate Ligament Reconstruction</t>
  </si>
  <si>
    <t>Grunau PD, Arneja S, Leith JM.</t>
  </si>
  <si>
    <t>Am J Sports Med. 2016 Jun;44(6):1482-6. doi: 10.1177/0363546516634021. Epub 2016 Mar 15.</t>
  </si>
  <si>
    <t>Grunau PD</t>
  </si>
  <si>
    <t>10.1177/0363546516634021</t>
  </si>
  <si>
    <t>Comparison of Anatomic Double- and Single-Bundle Techniques for Anterior Cruciate Ligament Reconstruction Using Hamstring Tendon Autografts: A Prospective Randomized Study With 5-Year Clinical and Radiographic Follow-up</t>
  </si>
  <si>
    <t>Karikis I, Desai N, Sernert N, Rostgard-Christensen L, Kartus J.</t>
  </si>
  <si>
    <t>Am J Sports Med. 2016 May;44(5):1225-36. doi: 10.1177/0363546515626543. Epub 2016 Mar 6.</t>
  </si>
  <si>
    <t>Karikis I</t>
  </si>
  <si>
    <t>10.1177/0363546515626543</t>
  </si>
  <si>
    <t>Infra Patellar Branch of Saphenous Nerve Injury during Hamstring GraftÂ Harvest: Vertical versus Oblique Incisions</t>
  </si>
  <si>
    <t>Joshi A, Kayasth N, Shrestha S, Kc BR.</t>
  </si>
  <si>
    <t>J Nepal Health Res Counc. 2016 Sep;14(34):180-185.</t>
  </si>
  <si>
    <t>Joshi A</t>
  </si>
  <si>
    <t>J Nepal Health Res Counc</t>
  </si>
  <si>
    <t>Single-Bundle Versus Double-Bundle Anterior Cruciate Ligament Reconstruction: A Comparative 2-Year Follow-up</t>
  </si>
  <si>
    <t>Mayr HO, Benecke P, Hoell A, Schmitt-Sody M, Bernstein A, Suedkamp NP, Stoehr A.</t>
  </si>
  <si>
    <t>Arthroscopy. 2016 Jan;32(1):34-42. doi: 10.1016/j.arthro.2015.06.029. Epub 2015 Aug 28.</t>
  </si>
  <si>
    <t>10.1016/j.arthro.2015.06.029</t>
  </si>
  <si>
    <t>The effectiveness of Pilates for partial anterior cruciate ligament injury</t>
  </si>
  <si>
    <t>Ã‡elik D, Turkel N.</t>
  </si>
  <si>
    <t>Knee Surg Sports Traumatol Arthrosc. 2017 Aug;25(8):2357-2364. doi: 10.1007/s00167-015-3718-1. Epub 2015 Aug 1.</t>
  </si>
  <si>
    <t>Ã‡elik D</t>
  </si>
  <si>
    <t>10.1007/s00167-015-3718-1</t>
  </si>
  <si>
    <t>Bioabsorbable Versus Titanium Screws in Anterior Cruciate Ligament Reconstruction Using Hamstring Autograft: A Prospective, Blinded, Randomized Controlled Trial With 5-Year Follow-up</t>
  </si>
  <si>
    <t>Arama Y, Salmon LJ, Sri-Ram K, Linklater J, Roe JP, Pinczewski LA.</t>
  </si>
  <si>
    <t>Am J Sports Med. 2015 Aug;43(8):1893-901. doi: 10.1177/0363546515588926. Epub 2015 Jun 24.</t>
  </si>
  <si>
    <t>Arama Y</t>
  </si>
  <si>
    <t>10.1177/0363546515588926</t>
  </si>
  <si>
    <t>Post-operative bracing after ACL reconstruction has no effect on knee joint effusion. A prospective, randomized study</t>
  </si>
  <si>
    <t>LindstrÃ¶m M, Wredmark T, Wretling ML, Henriksson M, FellÃ¤nder-Tsai L.</t>
  </si>
  <si>
    <t>Knee. 2015 Dec;22(6):559-64. doi: 10.1016/j.knee.2015.04.015. Epub 2015 Jun 6.</t>
  </si>
  <si>
    <t>LindstrÃ¶m M</t>
  </si>
  <si>
    <t>10.1016/j.knee.2015.04.015</t>
  </si>
  <si>
    <t>No difference in osteoarthritis after surgical and non-surgical treatment of ACL-injured knees after 10Â years</t>
  </si>
  <si>
    <t>Tsoukas D, Fotopoulos V, Basdekis G, Makridis KG.</t>
  </si>
  <si>
    <t>Knee Surg Sports Traumatol Arthrosc. 2016 Sep;24(9):2953-2959. doi: 10.1007/s00167-015-3593-9. Epub 2015 Apr 9.</t>
  </si>
  <si>
    <t>Tsoukas D</t>
  </si>
  <si>
    <t>10.1007/s00167-015-3593-9</t>
  </si>
  <si>
    <t>[Knee laxity in anterior cruciate ligament reconstruction : The influence of graft rotation using interference screw fixation]</t>
  </si>
  <si>
    <t>Offerhaus C, Balke M, Braas M, Pennig D, Gick S, HÃ¶her J.</t>
  </si>
  <si>
    <t>Orthopade. 2015 Mar;44(3):231-7. doi: 10.1007/s00132-015-3102-3.</t>
  </si>
  <si>
    <t>Offerhaus C</t>
  </si>
  <si>
    <t>Orthopade</t>
  </si>
  <si>
    <t>10.1007/s00132-015-3102-3</t>
  </si>
  <si>
    <t>Effect of posterolateral bundle graft fixation angles on clinical outcomes in double-bundle anterior cruciate ligament reconstruction: a randomized controlled trial</t>
  </si>
  <si>
    <t>Koga H, Muneta T, Yagishita K, Watanabe T, Mochizuki T, Horie M, Nakamura T, Otabe K, Sekiya I.</t>
  </si>
  <si>
    <t>Am J Sports Med. 2015 May;43(5):1157-64. doi: 10.1177/0363546514567069. Epub 2015 Feb 2.</t>
  </si>
  <si>
    <t>Koga H</t>
  </si>
  <si>
    <t>10.1177/0363546514567069</t>
  </si>
  <si>
    <t>A new technique in double-bundle anterior cruciate ligament reconstruction with implant-free tibial fixation</t>
  </si>
  <si>
    <t>Sacramento SN, MagalhÃ£es E, Christel P, Ingham S, Fukuda TY.</t>
  </si>
  <si>
    <t>Knee Surg Sports Traumatol Arthrosc. 2016 Sep;24(9):2831-2837. doi: 10.1007/s00167-014-3430-6. Epub 2015 Jan 29.</t>
  </si>
  <si>
    <t>Sacramento SN</t>
  </si>
  <si>
    <t>10.1007/s00167-014-3430-6</t>
  </si>
  <si>
    <t>A comparison of acute and chronic anterior cruciate ligament reconstruction using LARS artificial ligaments: a randomized prospective study with a 5-year follow-up</t>
  </si>
  <si>
    <t>Chen J, Gu A, Jiang H, Zhang W, Yu X.</t>
  </si>
  <si>
    <t>Arch Orthop Trauma Surg. 2015 Jan;135(1):95-102. doi: 10.1007/s00402-014-2108-3. Epub 2014 Nov 9.</t>
  </si>
  <si>
    <t>10.1007/s00402-014-2108-3</t>
  </si>
  <si>
    <t>Intratunnel versus extratunnel autologous hamstring double-bundle graft for anterior cruciate ligament reconstruction: a comparison of 2 femoral fixation procedures</t>
  </si>
  <si>
    <t>Ibrahim SA, Abdul Ghafar S, Marwan Y, Mahgoub AM, Al Misfer A, Farouk H, Wagdy M, Alherran H, Khirait S.</t>
  </si>
  <si>
    <t>Am J Sports Med. 2015 Jan;43(1):161-8. doi: 10.1177/0363546514554189. Epub 2014 Oct 27.</t>
  </si>
  <si>
    <t>10.1177/0363546514554189</t>
  </si>
  <si>
    <t>Mid- to long-term results of single-bundle versus double-bundle anterior cruciate ligament reconstruction: randomized controlled trial</t>
  </si>
  <si>
    <t>Arthroscopy. 2015 Jan;31(1):69-76. doi: 10.1016/j.arthro.2014.07.020. Epub 2014 Sep 18.</t>
  </si>
  <si>
    <t>10.1016/j.arthro.2014.07.020</t>
  </si>
  <si>
    <t>The effect of progressive eccentric and concentric training on functional performance after autogenous hamstring anterior cruciate ligament reconstruction: a randomized controlled study</t>
  </si>
  <si>
    <t>KÄ±nÄ±klÄ± GI, YÃ¼ksel I, BaltacÄ± G, Atay OA.</t>
  </si>
  <si>
    <t>Acta Orthop Traumatol Turc. 2014;48(3):283-9. doi: 10.3944/AOTT.2014.13.0111.</t>
  </si>
  <si>
    <t>KÄ±nÄ±klÄ± GI</t>
  </si>
  <si>
    <t>10.3944/AOTT.2014.13.0111</t>
  </si>
  <si>
    <t>[Anatomical ACL reconstruction by a double- versus a single-bundle technique. Prospective randomised study of short-term clinical results]</t>
  </si>
  <si>
    <t>Zeman P, Koudela K, Kasl J, NepraÅ¡ P, Zeman J, MatÄ›jka J.</t>
  </si>
  <si>
    <t>Acta Chir Orthop Traumatol Cech. 2014;81(1):40-50.</t>
  </si>
  <si>
    <t>Zeman P</t>
  </si>
  <si>
    <t>Reduction of tunnel enlargement with use of autologous ruptured tissue in anterior cruciate ligament reconstruction: a pilot clinical trial</t>
  </si>
  <si>
    <t>Matsumoto T, Kuroda R, Matsushita T, Araki D, Hoshino Y, Nagamune K, Kurosaka M.</t>
  </si>
  <si>
    <t>Arthroscopy. 2014 Apr;30(4):468-74. doi: 10.1016/j.arthro.2013.12.014. Epub 2014 Feb 25.</t>
  </si>
  <si>
    <t>Matsumoto T</t>
  </si>
  <si>
    <t>10.1016/j.arthro.2013.12.014</t>
  </si>
  <si>
    <t>Shockwave therapy improves anterior cruciate ligament reconstruction</t>
  </si>
  <si>
    <t>Wang CJ, Ko JY, Chou WY, Hsu SL, Ko SF, Huang CC, Chang HW.</t>
  </si>
  <si>
    <t>J Surg Res. 2014 May 1;188(1):110-8. doi: 10.1016/j.jss.2014.01.050. Epub 2014 Jan 31.</t>
  </si>
  <si>
    <t>Wang CJ</t>
  </si>
  <si>
    <t>J Surg Res</t>
  </si>
  <si>
    <t>10.1016/j.jss.2014.01.050</t>
  </si>
  <si>
    <t>Role of gracilis harvesting in four-strand hamstring tendon anterior cruciate ligament reconstruction: a double-blinded prospective randomized clinical trial</t>
  </si>
  <si>
    <t>Karimi-Mobarakeh M, Mardani-Kivi M, Mortazavi A, Saheb-Ekhtiari K, Hashemi-Motlagh K.</t>
  </si>
  <si>
    <t>Knee Surg Sports Traumatol Arthrosc. 2015 Apr;23(4):1086-91. doi: 10.1007/s00167-014-2890-z. Epub 2014 Feb 15.</t>
  </si>
  <si>
    <t>Karimi-Mobarakeh M</t>
  </si>
  <si>
    <t>10.1007/s00167-014-2890-z</t>
  </si>
  <si>
    <t>Femoral fixation of hamstring tendon grafts in ACL reconstructions: the 2-year follow-up results of a prospective randomized controlled study</t>
  </si>
  <si>
    <t>Gifstad T, Drogset JO, GrÃ¸ntvedt T, Hortemo GS.</t>
  </si>
  <si>
    <t>Knee Surg Sports Traumatol Arthrosc. 2014 Sep;22(9):2153-62. doi: 10.1007/s00167-013-2652-3. Epub 2013 Sep 5.</t>
  </si>
  <si>
    <t>10.1007/s00167-013-2652-3</t>
  </si>
  <si>
    <t>[Knee laxity in anterior cruciate ligament reconstruction. The influence of graft rotation using interference screw fixation]</t>
  </si>
  <si>
    <t>Unfallchirurg. 2014 Sep;117(9):822-8. doi: 10.1007/s00113-013-2420-3.</t>
  </si>
  <si>
    <t>10.1007/s00113-013-2420-3</t>
  </si>
  <si>
    <t>A prospective randomized study comparing double- and single-bundle techniques for anterior cruciate ligament reconstruction</t>
  </si>
  <si>
    <t>AhldÃ©n M, Sernert N, Karlsson J, Kartus J.</t>
  </si>
  <si>
    <t>Am J Sports Med. 2013 Nov;41(11):2484-91. doi: 10.1177/0363546513497926. Epub 2013 Aug 6.</t>
  </si>
  <si>
    <t>10.1177/0363546513497926</t>
  </si>
  <si>
    <t>Prospective clinical comparisons of semitendinosus versus semitendinosus and gracilis tendon autografts for anatomic double-bundle anterior cruciate ligament reconstruction</t>
  </si>
  <si>
    <t>Inagaki Y, Kondo E, Kitamura N, Onodera J, Yagi T, Tanaka Y, Yasuda K.</t>
  </si>
  <si>
    <t>J Orthop Sci. 2013 Sep;18(5):754-61. doi: 10.1007/s00776-013-0427-9. Epub 2013 Jun 21.</t>
  </si>
  <si>
    <t>Inagaki Y</t>
  </si>
  <si>
    <t>J Orthop Sci</t>
  </si>
  <si>
    <t>10.1007/s00776-013-0427-9</t>
  </si>
  <si>
    <t>Nanohydroxyapatite-based bone graft substitute in tunnel enlargement after ACL surgery: RMN study</t>
  </si>
  <si>
    <t>Iorio R, Di Sanzo V, VadalÃ  A, Mazza D, Valeo L, Messano GA, Redler A, Iorio C, Bolle G, Conteduca F, Ferretti A.</t>
  </si>
  <si>
    <t>Clin Ter. 2013;164(2):e101-6. doi: 10.7417/CT.2013.1540.</t>
  </si>
  <si>
    <t>Iorio R</t>
  </si>
  <si>
    <t>Clin Ter</t>
  </si>
  <si>
    <t>10.7417/CT.2013.1540</t>
  </si>
  <si>
    <t>The effects of early aggressive rehabilitation on outcomes after anterior cruciate ligament reconstruction using autologous hamstring tendon: a randomized clinical trial</t>
  </si>
  <si>
    <t>Christensen JC, Goldfine LR, West HS.</t>
  </si>
  <si>
    <t>J Sport Rehabil. 2013 Aug;22(3):191-201. doi: 10.1123/jsr.22.3.191. Epub 2013 Apr 9.</t>
  </si>
  <si>
    <t>Christensen JC</t>
  </si>
  <si>
    <t>10.1123/jsr.22.3.191</t>
  </si>
  <si>
    <t>The effect of early whole-body vibration therapy on neuromuscular control after anterior cruciate ligament reconstruction: a randomized controlled trial</t>
  </si>
  <si>
    <t>Fu CL, Yung SH, Law KY, Leung KH, Lui PY, Siu HK, Chan KM.</t>
  </si>
  <si>
    <t>Am J Sports Med. 2013 Apr;41(4):804-14. doi: 10.1177/0363546513476473. Epub 2013 Mar 4.</t>
  </si>
  <si>
    <t>Fu CL</t>
  </si>
  <si>
    <t>10.1177/0363546513476473</t>
  </si>
  <si>
    <t>Open kinetic chain exercises in a restricted range of motion after anterior cruciate ligament reconstruction: a randomized controlled clinical trial</t>
  </si>
  <si>
    <t>Fukuda TY, Fingerhut D, Moreira VC, Camarini PM, Scodeller NF, Duarte A Jr, Martinelli M, Bryk FF.</t>
  </si>
  <si>
    <t>Am J Sports Med. 2013 Apr;41(4):788-94. doi: 10.1177/0363546513476482. Epub 2013 Feb 19.</t>
  </si>
  <si>
    <t>Fukuda TY</t>
  </si>
  <si>
    <t>10.1177/0363546513476482</t>
  </si>
  <si>
    <t>The impact of platelet-rich plasma on the prevention of tunnel widening in anterior cruciate ligament reconstruction using quadrupled autologous hamstring tendon: a randomised clinical trial</t>
  </si>
  <si>
    <t>Mirzatolooei F, Alamdari MT, Khalkhali HR.</t>
  </si>
  <si>
    <t>Bone Joint J. 2013 Jan;95-B(1):65-9. doi: 10.1302/0301-620X.95B1.30487.</t>
  </si>
  <si>
    <t>Mirzatolooei F</t>
  </si>
  <si>
    <t>Bone Joint J</t>
  </si>
  <si>
    <t>10.1302/0301-620X.95B1.30487</t>
  </si>
  <si>
    <t>Does press-fit technique reduce tunnel volume enlargement after anterior cruciate ligament reconstruction with autologous hamstring tendons? A prospective randomized computed tomography study</t>
  </si>
  <si>
    <t>Hwang DH, Shetty GM, Kim JI, Kwon JH, Song JK, MuÃ±oz M, Lee JS, Nha KW.</t>
  </si>
  <si>
    <t>Arthroscopy. 2013 Jan;29(1):83-8. doi: 10.1016/j.arthro.2012.07.007.</t>
  </si>
  <si>
    <t>Hwang DH</t>
  </si>
  <si>
    <t>10.1016/j.arthro.2012.07.007</t>
  </si>
  <si>
    <t>Randomized controlled trial of osteoconductive fixation screws for anterior cruciate ligament reconstruction: a comparison of the Calaxo and Milagro screws</t>
  </si>
  <si>
    <t>Bourke HE, Salmon LJ, Waller A, Winalski CS, Williams HA, Linklater JM, Vasanji A, Roe JP, Pinczewski LA.</t>
  </si>
  <si>
    <t>Arthroscopy. 2013 Jan;29(1):74-82. doi: 10.1016/j.arthro.2012.10.021.</t>
  </si>
  <si>
    <t>Bourke HE</t>
  </si>
  <si>
    <t>10.1016/j.arthro.2012.10.021</t>
  </si>
  <si>
    <t>Comparison of short term clinical outcomes between transtibial and transportal TransFixÂ® femoral fixation in hamstring ACL reconstruction</t>
  </si>
  <si>
    <t>Mirzatolooei F.</t>
  </si>
  <si>
    <t>Acta Orthop Traumatol Turc. 2012;46(5):361-6. doi: 10.3944/aott.2012.2679.</t>
  </si>
  <si>
    <t>10.3944/aott.2012.2679</t>
  </si>
  <si>
    <t>The effect of remnant preservation on tibial tunnel enlargement in ACL reconstruction with hamstring autograft: a prospective randomized controlled trial</t>
  </si>
  <si>
    <t>Zhang Q, Zhang S, Cao X, Liu L, Liu Y, Li R.</t>
  </si>
  <si>
    <t>Knee Surg Sports Traumatol Arthrosc. 2014 Jan;22(1):166-73. doi: 10.1007/s00167-012-2341-7. Epub 2012 Dec 15.</t>
  </si>
  <si>
    <t>Zhang Q</t>
  </si>
  <si>
    <t>10.1007/s00167-012-2341-7</t>
  </si>
  <si>
    <t>Short-term functional and clinical outcomes after ACL reconstruction with hamstrings autograft: transtibial versus anteromedial portal technique</t>
  </si>
  <si>
    <t>Koutras G, Papadopoulos P, Terzidis IP, Gigis I, Pappas E.</t>
  </si>
  <si>
    <t>Knee Surg Sports Traumatol Arthrosc. 2013 Aug;21(8):1904-9. doi: 10.1007/s00167-012-2323-9. Epub 2012 Dec 1.</t>
  </si>
  <si>
    <t>Koutras G</t>
  </si>
  <si>
    <t>10.1007/s00167-012-2323-9</t>
  </si>
  <si>
    <t>A comparison of clinical outcome of augmentation and standard reconstruction techniques for partial anterior cruciate ligament tears</t>
  </si>
  <si>
    <t>DemiraÄŸ B, Ermutlu C, Aydemir F, Durak K.</t>
  </si>
  <si>
    <t>Eklem Hastalik Cerrahisi. 2012;23(3):140-4.</t>
  </si>
  <si>
    <t>DemiraÄŸ B</t>
  </si>
  <si>
    <t>Eklem Hastalik Cerrahisi</t>
  </si>
  <si>
    <t>Comparison of two methods of femoral tunnel preparation in single-bundle anterior cruciate ligament reconstruction: a prospective randomized study</t>
  </si>
  <si>
    <t>Zhang Q, Zhang S, Li R, Liu Y, Cao X.</t>
  </si>
  <si>
    <t>Acta Cir Bras. 2012 Aug;27(8):572-6. doi: 10.1590/s0102-86502012000800010.</t>
  </si>
  <si>
    <t>Acta Cir Bras</t>
  </si>
  <si>
    <t>10.1590/s0102-86502012000800010</t>
  </si>
  <si>
    <t>Results of the surgical reconstruction of the anterior cruciate ligament</t>
  </si>
  <si>
    <t>ZeliÄ‡ Z, JovanoviÄ‡ S, Wertheimer V, SariÄ‡ G, Biuk E, Gulan G.</t>
  </si>
  <si>
    <t>Coll Antropol. 2012 Mar;36(1):201-6.</t>
  </si>
  <si>
    <t>ZeliÄ‡ Z</t>
  </si>
  <si>
    <t>Coll Antropol</t>
  </si>
  <si>
    <t>Effect of calcium phosphate-hybridized tendon graft in anterior cruciate ligament reconstruction: a randomized controlled trial</t>
  </si>
  <si>
    <t>Mutsuzaki H, Kanamori A, Ikeda K, Hioki S, Kinugasa T, Sakane M.</t>
  </si>
  <si>
    <t>Am J Sports Med. 2012 Aug;40(8):1772-80. doi: 10.1177/0363546512449618. Epub 2012 Jun 19.</t>
  </si>
  <si>
    <t>Mutsuzaki H</t>
  </si>
  <si>
    <t>10.1177/0363546512449618</t>
  </si>
  <si>
    <t>Double-bundle versus single-bundle anterior cruciate ligament reconstruction: a prospective randomized study with 5-year results</t>
  </si>
  <si>
    <t>Suomalainen P, JÃ¤rvelÃ¤ T, Paakkala A, Kannus P, JÃ¤rvinen M.</t>
  </si>
  <si>
    <t>Am J Sports Med. 2012 Jul;40(7):1511-8. doi: 10.1177/0363546512448177. Epub 2012 Jun 11.</t>
  </si>
  <si>
    <t>Suomalainen P</t>
  </si>
  <si>
    <t>10.1177/0363546512448177</t>
  </si>
  <si>
    <t>[Outcome 4 years after isolated single-bundle posterior cruciate ligament reconstruction]</t>
  </si>
  <si>
    <t>Lahner M, Vogel T, Schulz MS, Strobel MJ.</t>
  </si>
  <si>
    <t>Orthopade. 2012 Mar;41(3):206-11. doi: 10.1007/s00132-012-1898-7.</t>
  </si>
  <si>
    <t>Lahner M</t>
  </si>
  <si>
    <t>10.1007/s00132-012-1898-7</t>
  </si>
  <si>
    <t>Comparison of anterior and rotatory laxity using navigation between single- and double-bundle ACL reconstruction: prospective randomized trial</t>
  </si>
  <si>
    <t>Lee S, Kim H, Jang J, Seong SC, Lee MC.</t>
  </si>
  <si>
    <t>Knee Surg Sports Traumatol Arthrosc. 2012 Apr;20(4):752-61. doi: 10.1007/s00167-012-1880-2. Epub 2012 Jan 25.</t>
  </si>
  <si>
    <t>Lee S</t>
  </si>
  <si>
    <t>10.1007/s00167-012-1880-2</t>
  </si>
  <si>
    <t>A pilot study of anatomic double-bundle anterior cruciate ligament reconstruction with ligament remnant tissue preservation</t>
  </si>
  <si>
    <t>Yasuda K, Kondo E, Kitamura N, Kawaguchi Y, Kai S, Tanabe Y.</t>
  </si>
  <si>
    <t>Arthroscopy. 2012 Mar;28(3):343-53. doi: 10.1016/j.arthro.2011.08.305. Epub 2011 Dec 7.</t>
  </si>
  <si>
    <t>Yasuda K</t>
  </si>
  <si>
    <t>10.1016/j.arthro.2011.08.305</t>
  </si>
  <si>
    <t>Prospective randomized clinical evaluation of conventional single-bundle, anatomic single-bundle, and anatomic double-bundle anterior cruciate ligament reconstruction: 281 cases with 3- to 5-year follow-up</t>
  </si>
  <si>
    <t>Hussein M, van Eck CF, Cretnik A, Dinevski D, Fu FH.</t>
  </si>
  <si>
    <t>Am J Sports Med. 2012 Mar;40(3):512-20. doi: 10.1177/0363546511426416. Epub 2011 Nov 15.</t>
  </si>
  <si>
    <t>Hussein M</t>
  </si>
  <si>
    <t>10.1177/0363546511426416</t>
  </si>
  <si>
    <t>Anterior cruciate ligament reconstruction using 4-strand hamstring autograft: conventional single-bundle technique versus oval-footprint technique</t>
  </si>
  <si>
    <t>Noh JH, Yang BG, Roh YH, Kim SW, Kim W.</t>
  </si>
  <si>
    <t>Arthroscopy. 2011 Nov;27(11):1502-10. doi: 10.1016/j.arthro.2011.06.027. Epub 2011 Sep 15.</t>
  </si>
  <si>
    <t>Noh JH</t>
  </si>
  <si>
    <t>10.1016/j.arthro.2011.06.027</t>
  </si>
  <si>
    <t>Single- versus double-bundle ACL reconstruction: is there any difference in stability and function at 3-year followup?</t>
  </si>
  <si>
    <t>Gobbi A, Mahajan V, Karnatzikos G, Nakamura N.</t>
  </si>
  <si>
    <t>Clin Orthop Relat Res. 2012 Mar;470(3):824-34. doi: 10.1007/s11999-011-1940-9.</t>
  </si>
  <si>
    <t>PMC3270186</t>
  </si>
  <si>
    <t>10.1007/s11999-011-1940-9</t>
  </si>
  <si>
    <t>Tunnel widening after anterior cruciate ligament reconstruction: a prospective randomized computed tomography--based study comparing 2 different femoral fixation methods for hamstring graft</t>
  </si>
  <si>
    <t>Sabat D, Kundu K, Arora S, Kumar V.</t>
  </si>
  <si>
    <t>Arthroscopy. 2011 Jun;27(6):776-83. doi: 10.1016/j.arthro.2011.02.009.</t>
  </si>
  <si>
    <t>Sabat D</t>
  </si>
  <si>
    <t>10.1016/j.arthro.2011.02.009</t>
  </si>
  <si>
    <t>Tibial fixation in anterior cruciate ligament reconstruction: a prospective randomized study comparing metal interference screw and staples with a centrally placed polyethylene screw and sheath</t>
  </si>
  <si>
    <t>De Wall M, Scholes CJ, Patel S, Coolican MR, Parker DA.</t>
  </si>
  <si>
    <t>Am J Sports Med. 2011 Sep;39(9):1858-64. doi: 10.1177/0363546511406234. Epub 2011 May 27.</t>
  </si>
  <si>
    <t>De Wall M</t>
  </si>
  <si>
    <t>10.1177/0363546511406234</t>
  </si>
  <si>
    <t>Double-bundle versus single-bundle anterior cruciate ligament reconstruction: randomized clinical and magnetic resonance imaging study with 2-year follow-up</t>
  </si>
  <si>
    <t>Suomalainen P, Moisala AS, Paakkala A, Kannus P, JÃ¤rvelÃ¤ T.</t>
  </si>
  <si>
    <t>Am J Sports Med. 2011 Aug;39(8):1615-22. doi: 10.1177/0363546511405024. Epub 2011 May 24.</t>
  </si>
  <si>
    <t>10.1177/0363546511405024</t>
  </si>
  <si>
    <t>Will early reconstruction prevent abnormal kinematics after ACL injury? Two-year follow-up using dynamic radiostereometry in 14 patients operated with hamstring autografts</t>
  </si>
  <si>
    <t>Isberg J, FaxÃ©n E, Laxdal G, Eriksson BI, KÃ¤rrholm J, Karlsson J.</t>
  </si>
  <si>
    <t>Knee Surg Sports Traumatol Arthrosc. 2011 Oct;19(10):1634-42. doi: 10.1007/s00167-011-1399-y. Epub 2011 May 18.</t>
  </si>
  <si>
    <t>10.1007/s00167-011-1399-y</t>
  </si>
  <si>
    <t>Comparison of rotatory stability after anterior cruciate ligament reconstruction between single-bundle and double-bundle techniques</t>
  </si>
  <si>
    <t>Izawa T, Okazaki K, Tashiro Y, Matsubara H, Miura H, Matsuda S, Hashizume M, Iwamoto Y.</t>
  </si>
  <si>
    <t>Am J Sports Med. 2011 Jul;39(7):1470-7. doi: 10.1177/0363546510397172. Epub 2011 Feb 24.</t>
  </si>
  <si>
    <t>Izawa T</t>
  </si>
  <si>
    <t>10.1177/0363546510397172</t>
  </si>
  <si>
    <t>Comparative outcome analysis of malpositioned and properly positioned fixation groups after hamstring autograft ACL reconstruction with femoral cross-pin fixation</t>
  </si>
  <si>
    <t>Lee YS, Ha JK, Kim YJ, Yang SJ, Lee MY, Kim JG.</t>
  </si>
  <si>
    <t>Knee. 2011 Jan;18(1):30-3. doi: 10.1016/j.knee.2010.09.004. Epub 2010 Oct 30.</t>
  </si>
  <si>
    <t>Lee YS</t>
  </si>
  <si>
    <t>10.1016/j.knee.2010.09.004</t>
  </si>
  <si>
    <t>Neurovascular safety and clinical outcome of outside-in repair of tears of the posterior horn of the medial meniscus</t>
  </si>
  <si>
    <t>Sobhy MH, AbouElsoud MM, Kamel EM, Desouki AM.</t>
  </si>
  <si>
    <t>Arthroscopy. 2010 Dec;26(12):1648-54. doi: 10.1016/j.arthro.2010.05.018. Epub 2010 Oct 8.</t>
  </si>
  <si>
    <t>Sobhy MH</t>
  </si>
  <si>
    <t>10.1016/j.arthro.2010.05.018</t>
  </si>
  <si>
    <t>Prospective randomized comparison of endobutton versus cross-pin femoral fixation in hamstring anterior cruciate ligament reconstruction with 2-year follow-up</t>
  </si>
  <si>
    <t>Price R, Stoney J, Brown G.</t>
  </si>
  <si>
    <t>ANZ J Surg. 2010 Mar;80(3):162-5. doi: 10.1111/j.1445-2197.2009.05128.x.</t>
  </si>
  <si>
    <t>Price R</t>
  </si>
  <si>
    <t>ANZ J Surg</t>
  </si>
  <si>
    <t>10.1111/j.1445-2197.2009.05128.x</t>
  </si>
  <si>
    <t>The effect of platelet-derived growth factors on knee stability after anterior cruciate ligament reconstruction: a prospective randomized clinical study</t>
  </si>
  <si>
    <t>Vogrin M, Rupreht M, Crnjac A, Dinevski D, Krajnc Z, Recnik G.</t>
  </si>
  <si>
    <t>Wien Klin Wochenschr. 2010 May;122 Suppl 2:91-5. doi: 10.1007/s00508-010-1340-2.</t>
  </si>
  <si>
    <t>Vogrin M</t>
  </si>
  <si>
    <t>10.1007/s00508-010-1340-2</t>
  </si>
  <si>
    <t>A long-term, prospective, randomized study comparing biodegradable and metal interference screws in anterior cruciate ligament reconstruction surgery: radiographic results and clinical outcome</t>
  </si>
  <si>
    <t>Stener S, Ejerhed L, Sernert N, Laxdal G, RostgÃ¥rd-Christensen L, Kartus J.</t>
  </si>
  <si>
    <t>Am J Sports Med. 2010 Aug;38(8):1598-605. doi: 10.1177/0363546510361952. Epub 2010 Apr 14.</t>
  </si>
  <si>
    <t>Stener S</t>
  </si>
  <si>
    <t>10.1177/0363546510361952</t>
  </si>
  <si>
    <t>A comparison of early and delayed arthroscopically-assisted reconstruction of the anterior cruciate ligament using hamstring autograft</t>
  </si>
  <si>
    <t>Raviraj A, Anand A, Kodikal G, Chandrashekar M, Pai S.</t>
  </si>
  <si>
    <t>J Bone Joint Surg Br. 2010 Apr;92(4):521-6. doi: 10.1302/0301-620X.92B4.22973.</t>
  </si>
  <si>
    <t>Raviraj A</t>
  </si>
  <si>
    <t>10.1302/0301-620X.92B4.22973</t>
  </si>
  <si>
    <t>[Comparative study after hamstring ACL plasty with RigidFix (pin fixation) and EndoButton (anchor fixation)]</t>
  </si>
  <si>
    <t>Basad E, Kipper A, WÃ¼sten OA, StÃ¼rz H, Ishaque BA.</t>
  </si>
  <si>
    <t>Z Orthop Unfall. 2010 May;148(3):276-81. doi: 10.1055/s-0029-1240737. Epub 2010 Feb 19.</t>
  </si>
  <si>
    <t>Basad E</t>
  </si>
  <si>
    <t>Z Orthop Unfall</t>
  </si>
  <si>
    <t>10.1055/s-0029-1240737</t>
  </si>
  <si>
    <t>Biodegradable screw versus a press-fit bone plug fixation for hamstring anterior cruciate ligament reconstruction: a prospective randomized study</t>
  </si>
  <si>
    <t>Jagodzinski M, Geiges B, von Falck C, Knobloch K, Haasper C, Brand J, Hankemeier S, Krettek C, Meller R.</t>
  </si>
  <si>
    <t>Am J Sports Med. 2010 Mar;38(3):501-8. doi: 10.1177/0363546509350325. Epub 2009 Dec 31.</t>
  </si>
  <si>
    <t>Jagodzinski M</t>
  </si>
  <si>
    <t>10.1177/0363546509350325</t>
  </si>
  <si>
    <t>Anterior cruciate ligament reconstruction using autologous hamstring double bundle graft compared with single bundle procedures</t>
  </si>
  <si>
    <t>Ibrahim SA, Hamido F, Al Misfer AK, Mahgoob A, Ghafar SA, Alhran H.</t>
  </si>
  <si>
    <t>J Bone Joint Surg Br. 2009 Oct;91(10):1310-5. doi: 10.1302/0301-620X.91B10.21886.</t>
  </si>
  <si>
    <t>10.1302/0301-620X.91B10.21886</t>
  </si>
  <si>
    <t>Comparison between single-and double-bundle anterior cruciate ligament reconstruction: a prospective, randomized, single-blinded clinical trial</t>
  </si>
  <si>
    <t>Aglietti P, Giron F, Losco M, Cuomo P, Ciardullo A, Mondanelli N.</t>
  </si>
  <si>
    <t>Am J Sports Med. 2010 Jan;38(1):25-34. doi: 10.1177/0363546509347096. Epub 2009 Sep 30.</t>
  </si>
  <si>
    <t>10.1177/0363546509347096</t>
  </si>
  <si>
    <t>Double-bundle versus single-bundle ACL reconstruction using the horizontal femoral position: a prospective, randomized study</t>
  </si>
  <si>
    <t>Sastre S, Popescu D, NÃºÃ±ez M, Pomes J, Tomas X, Peidro L.</t>
  </si>
  <si>
    <t>Knee Surg Sports Traumatol Arthrosc. 2010 Jan;18(1):32-6. doi: 10.1007/s00167-009-0844-7. Epub 2009 Jun 26.</t>
  </si>
  <si>
    <t>Sastre S</t>
  </si>
  <si>
    <t>10.1007/s00167-009-0844-7</t>
  </si>
  <si>
    <t>Tibial translation and muscle activation during rehabilitation exercises 5 weeks after anterior cruciate ligament reconstruction</t>
  </si>
  <si>
    <t>Tagesson S, Oberg B, Kvist J.</t>
  </si>
  <si>
    <t>Scand J Med Sci Sports. 2010 Feb;20(1):154-64. doi: 10.1111/j.1600-0838.2009.00903.x.</t>
  </si>
  <si>
    <t>Tagesson S</t>
  </si>
  <si>
    <t>10.1111/j.1600-0838.2009.00903.x</t>
  </si>
  <si>
    <t>Bioresorbable pins and interference screws for fixation of hamstring tendon grafts in anterior cruciate ligament reconstruction surgery: a randomized controlled trial</t>
  </si>
  <si>
    <t>Stengel D, Casper D, Bauwens K, Ekkernkamp A, Wich M.</t>
  </si>
  <si>
    <t>Am J Sports Med. 2009 Sep;37(9):1692-8. doi: 10.1177/0363546509333008. Epub 2009 May 29.</t>
  </si>
  <si>
    <t>Stengel D</t>
  </si>
  <si>
    <t>10.1177/0363546509333008</t>
  </si>
  <si>
    <t>A new knee arthrometer, the GNRB: experience in ACL complete and partial tears</t>
  </si>
  <si>
    <t>Robert H, Nouveau S, Gageot S, GagniÃ¨re B.</t>
  </si>
  <si>
    <t>Orthop Traumatol Surg Res. 2009 May;95(3):171-6. doi: 10.1016/j.otsr.2009.03.009. Epub 2009 May 7.</t>
  </si>
  <si>
    <t>Robert H</t>
  </si>
  <si>
    <t>10.1016/j.otsr.2009.03.009</t>
  </si>
  <si>
    <t>Clinical evaluation of double-bundle anterior cruciate ligament reconstruction procedure using hamstring tendon grafts: a prospective, randomized and controlled study</t>
  </si>
  <si>
    <t>Wang JQ, Ao YF, Yu CL, Liu P, Xu Y, Chen LX.</t>
  </si>
  <si>
    <t>Chin Med J (Engl). 2009 Mar 20;122(6):706-11.</t>
  </si>
  <si>
    <t>Wang JQ</t>
  </si>
  <si>
    <t>Chin Med J (Engl)</t>
  </si>
  <si>
    <t>Anterior cruciate ligament reconstruction associated with extra-articular tenodesis: A prospective clinical and radiographic evaluation with 10- to 13-year follow-up</t>
  </si>
  <si>
    <t>Marcacci M, Zaffagnini S, Giordano G, Iacono F, Presti ML.</t>
  </si>
  <si>
    <t>Am J Sports Med. 2009 Apr;37(4):707-14. doi: 10.1177/0363546508328114. Epub 2009 Feb 3.</t>
  </si>
  <si>
    <t>10.1177/0363546508328114</t>
  </si>
  <si>
    <t>[Anterior cruciate ligament reconstruction with semitendinosus tendon in children]</t>
  </si>
  <si>
    <t>Schneider FJ, Kraus T, Linhart WE.</t>
  </si>
  <si>
    <t>Oper Orthop Traumatol. 2008 Oct-Nov;20(4-5):409-22. doi: 10.1007/s00064-008-1412-x.</t>
  </si>
  <si>
    <t>Schneider FJ</t>
  </si>
  <si>
    <t>Oper Orthop Traumatol</t>
  </si>
  <si>
    <t>10.1007/s00064-008-1412-x</t>
  </si>
  <si>
    <t>[Comparative study on reconstruction of anterior cruciate ligaments with allografts and hamstring tendon under arthroscopy]</t>
  </si>
  <si>
    <t>Liu HG, Chen SX, Zhao CD, Ding LJ, Situ J.</t>
  </si>
  <si>
    <t>Zhongguo Gu Shang. 2008 Apr;21(4):267-9.</t>
  </si>
  <si>
    <t>Liu HG</t>
  </si>
  <si>
    <t>Zhongguo Gu Shang</t>
  </si>
  <si>
    <t>Comparison of the bioabsorbable and metal screw fixation after ACL reconstruction with a hamstring autograft in MRI and clinical outcome: a prospective randomized study</t>
  </si>
  <si>
    <t>Moisala AS, JÃ¤rvelÃ¤ T, Paakkala A, Paakkala T, Kannus P, JÃ¤rvinen M.</t>
  </si>
  <si>
    <t>Knee Surg Sports Traumatol Arthrosc. 2008 Dec;16(12):1080-6. doi: 10.1007/s00167-008-0593-z. Epub 2008 Sep 2.</t>
  </si>
  <si>
    <t>Moisala AS</t>
  </si>
  <si>
    <t>10.1007/s00167-008-0593-z</t>
  </si>
  <si>
    <t>[Comparison between four-strand semitendinosus tendon autograft and ligament advanced reinforcement system for anterior cruciate ligament reconstruction by arthroscopy]</t>
  </si>
  <si>
    <t>Fan Q, Fan J.</t>
  </si>
  <si>
    <t>Zhongguo Xiu Fu Chong Jian Wai Ke Za Zhi. 2008 Jun;22(6):676-9.</t>
  </si>
  <si>
    <t>Fan Q</t>
  </si>
  <si>
    <t>Bioabsorbable versus titanium interference screws with hamstring autograft in anterior cruciate ligament reconstruction: a prospective randomized trial with 2-year follow-up</t>
  </si>
  <si>
    <t>Myers P, Logan M, Stokes A, Boyd K, Watts M.</t>
  </si>
  <si>
    <t>Arthroscopy. 2008 Jul;24(7):817-23. doi: 10.1016/j.arthro.2008.02.011. Epub 2008 Apr 14.</t>
  </si>
  <si>
    <t>Myers P</t>
  </si>
  <si>
    <t>10.1016/j.arthro.2008.02.011</t>
  </si>
  <si>
    <t>Prospective clinical comparisons of anatomic double-bundle versus single-bundle anterior cruciate ligament reconstruction procedures in 328 consecutive patients</t>
  </si>
  <si>
    <t>Kondo E, Yasuda K, Azuma H, Tanabe Y, Yagi T.</t>
  </si>
  <si>
    <t>Am J Sports Med. 2008 Sep;36(9):1675-87. doi: 10.1177/0363546508317123. Epub 2008 May 19.</t>
  </si>
  <si>
    <t>Kondo E</t>
  </si>
  <si>
    <t>10.1177/0363546508317123</t>
  </si>
  <si>
    <t>Effects of biophysical stimulation in patients undergoing arthroscopic reconstruction of anterior cruciate ligament: prospective, randomized and double blind study</t>
  </si>
  <si>
    <t>Benazzo F, Zanon G, Pederzini L, Modonesi F, Cardile C, Falez F, Ciolli L, La Cava F, Giannini S, Buda R, Setti S, Caruso G, Massari L.</t>
  </si>
  <si>
    <t>Knee Surg Sports Traumatol Arthrosc. 2008 Jun;16(6):595-601. doi: 10.1007/s00167-008-0519-9. Epub 2008 Apr 2.</t>
  </si>
  <si>
    <t>Benazzo F</t>
  </si>
  <si>
    <t>PMC2413121</t>
  </si>
  <si>
    <t>10.1007/s00167-008-0519-9</t>
  </si>
  <si>
    <t>No difference in clinical results between femoral transfixation and bio-interference screw fixation in hamstring tendon ACL reconstruction. A preliminary study</t>
  </si>
  <si>
    <t>Capuano L, Hardy P, Longo UG, Denaro V, Maffulli N.</t>
  </si>
  <si>
    <t>Knee. 2008 Jun;15(3):174-9. doi: 10.1016/j.knee.2008.02.003. Epub 2008 Mar 25.</t>
  </si>
  <si>
    <t>Capuano L</t>
  </si>
  <si>
    <t>10.1016/j.knee.2008.02.003</t>
  </si>
  <si>
    <t>Prospective randomized comparison of double-bundle versus single-bundle anterior cruciate ligament reconstruction</t>
  </si>
  <si>
    <t>Siebold R, Dehler C, Ellert T.</t>
  </si>
  <si>
    <t>Arthroscopy. 2008 Feb;24(2):137-45. doi: 10.1016/j.arthro.2007.11.013.</t>
  </si>
  <si>
    <t>Siebold R</t>
  </si>
  <si>
    <t>10.1016/j.arthro.2007.11.013</t>
  </si>
  <si>
    <t>Postoperative range of motion following anterior cruciate ligament reconstruction using autograft hamstrings: a prospective, randomized clinical trial of early versus delayed reconstructions</t>
  </si>
  <si>
    <t>Bottoni CR, Liddell TR, Trainor TJ, Freccero DM, Lindell KK.</t>
  </si>
  <si>
    <t>Am J Sports Med. 2008 Apr;36(4):656-62. doi: 10.1177/0363546507312164. Epub 2008 Jan 22.</t>
  </si>
  <si>
    <t>Bottoni CR</t>
  </si>
  <si>
    <t>10.1177/0363546507312164</t>
  </si>
  <si>
    <t>ST/G ACL reconstruction: double strand plus extra-articular sling vs double bundle, randomized study at 3-year follow-up</t>
  </si>
  <si>
    <t>Zaffagnini S, Bruni D, Russo A, Takazawa Y, Lo Presti M, Giordano G, Marcacci M.</t>
  </si>
  <si>
    <t>Scand J Med Sci Sports. 2008 Oct;18(5):573-81. doi: 10.1111/j.1600-0838.2007.00697.x. Epub 2008 Jan 14.</t>
  </si>
  <si>
    <t>10.1111/j.1600-0838.2007.00697.x</t>
  </si>
  <si>
    <t>Reconstruction of the ACL with a semitendinosus tendon graft: a prospective randomized single blinded comparison of double-bundle versus single-bundle technique in male athletes</t>
  </si>
  <si>
    <t>Streich NA, Friedrich K, Gotterbarm T, Schmitt H.</t>
  </si>
  <si>
    <t>Knee Surg Sports Traumatol Arthrosc. 2008 Mar;16(3):232-8. doi: 10.1007/s00167-007-0480-z. Epub 2008 Jan 12.</t>
  </si>
  <si>
    <t>Streich NA</t>
  </si>
  <si>
    <t>10.1007/s00167-007-0480-z</t>
  </si>
  <si>
    <t>A randomized controlled trial comparing the effectiveness of functional knee brace and neoprene sleeve use after anterior cruciate ligament reconstruction</t>
  </si>
  <si>
    <t>Birmingham TB, Bryant DM, Giffin JR, Litchfield RB, Kramer JF, Donner A, Fowler PJ.</t>
  </si>
  <si>
    <t>Am J Sports Med. 2008 Apr;36(4):648-55. doi: 10.1177/0363546507311601. Epub 2008 Jan 11.</t>
  </si>
  <si>
    <t>Birmingham TB</t>
  </si>
  <si>
    <t>10.1177/0363546507311601</t>
  </si>
  <si>
    <t>Does the position of the femoral tunnel affect the laxity or clinical outcome of the anterior cruciate ligament-reconstructed knee? A clinical, prospective, randomized, double-blind study</t>
  </si>
  <si>
    <t>Jepsen CF, Lundberg-Jensen AK, Faunoe P.</t>
  </si>
  <si>
    <t>Arthroscopy. 2007 Dec;23(12):1326-33. doi: 10.1016/j.arthro.2007.09.010.</t>
  </si>
  <si>
    <t>Jepsen CF</t>
  </si>
  <si>
    <t>10.1016/j.arthro.2007.09.010</t>
  </si>
  <si>
    <t>A comprehensive rehabilitation program with quadriceps strengthening in closed versus open kinetic chain exercise in patients with anterior cruciate ligament deficiency: a randomized clinical trial evaluating dynamic tibial translation and muscle function</t>
  </si>
  <si>
    <t>Tagesson S, Oberg B, Good L, Kvist J.</t>
  </si>
  <si>
    <t>Am J Sports Med. 2008 Feb;36(2):298-307. doi: 10.1177/0363546507307867. Epub 2007 Oct 16.</t>
  </si>
  <si>
    <t>10.1177/0363546507307867</t>
  </si>
  <si>
    <t>Double-bundle anterior cruciate ligament reconstruction using hamstring autografts and bioabsorbable interference screw fixation: prospective, randomized, clinical study with 2-year results</t>
  </si>
  <si>
    <t>JÃ¤rvelÃ¤ T, Moisala AS, Sihvonen R, JÃ¤rvelÃ¤ S, Kannus P, JÃ¤rvinen M.</t>
  </si>
  <si>
    <t>Am J Sports Med. 2008 Feb;36(2):290-7. doi: 10.1177/0363546507308360. Epub 2007 Oct 16.</t>
  </si>
  <si>
    <t>10.1177/0363546507308360</t>
  </si>
  <si>
    <t>Arthroscopic ACL reconstruction with Delta plasty: an innovative approach with hamstrings' transfer and double tibial tunnel</t>
  </si>
  <si>
    <t>Papachristou G, Sourlas J, Plessas S, Papachristou K.</t>
  </si>
  <si>
    <t>Knee Surg Sports Traumatol Arthrosc. 2008 Apr;16(4):420-6. doi: 10.1007/s00167-007-0426-5. Epub 2007 Oct 13.</t>
  </si>
  <si>
    <t>Papachristou G</t>
  </si>
  <si>
    <t>10.1007/s00167-007-0426-5</t>
  </si>
  <si>
    <t>Anterior cruciate ligament reconstruction using autologous double hamstrings: a comparison of standard versus minimal debridement techniques using MRI to assess revascularisation. A randomised prospective study with a one-year follow-up</t>
  </si>
  <si>
    <t>Gohil S, Annear PO, Breidahl W.</t>
  </si>
  <si>
    <t>J Bone Joint Surg Br. 2007 Sep;89(9):1165-71. doi: 10.1302/0301-620X.89B9.19339.</t>
  </si>
  <si>
    <t>Gohil S</t>
  </si>
  <si>
    <t>10.1302/0301-620X.89B9.19339</t>
  </si>
  <si>
    <t>Double-bundle anterior cruciate ligament reconstruction: four versus eight strands of hamstring tendon graft</t>
  </si>
  <si>
    <t>Zhao J, He Y, Wang J.</t>
  </si>
  <si>
    <t>Arthroscopy. 2007 Jul;23(7):766-70. doi: 10.1016/j.arthro.2007.01.022.</t>
  </si>
  <si>
    <t>Zhao J</t>
  </si>
  <si>
    <t>10.1016/j.arthro.2007.01.022</t>
  </si>
  <si>
    <t>A prospective randomized study of 4-strand semitendinosus tendon anterior cruciate ligament reconstruction comparing single-bundle and double-bundle techniques</t>
  </si>
  <si>
    <t>Muneta T, Koga H, Mochizuki T, Ju YJ, Hara K, Nimura A, Yagishita K, Sekiya I.</t>
  </si>
  <si>
    <t>Arthroscopy. 2007 Jun;23(6):618-28. doi: 10.1016/j.arthro.2007.04.010.</t>
  </si>
  <si>
    <t>Muneta T</t>
  </si>
  <si>
    <t>10.1016/j.arthro.2007.04.010</t>
  </si>
  <si>
    <t>Double-bundle versus single-bundle anterior cruciate ligament reconstruction: a prospective, randomize clinical study</t>
  </si>
  <si>
    <t>JÃ¤rvelÃ¤ T.</t>
  </si>
  <si>
    <t>Knee Surg Sports Traumatol Arthrosc. 2007 May;15(5):500-7. doi: 10.1007/s00167-006-0254-z. Epub 2007 Jan 10.</t>
  </si>
  <si>
    <t>10.1007/s00167-006-0254-z</t>
  </si>
  <si>
    <t>Double-bundle ACL reconstruction can improve rotational stability</t>
  </si>
  <si>
    <t>Yagi M, Kuroda R, Nagamune K, Yoshiya S, Kurosaka M.</t>
  </si>
  <si>
    <t>Clin Orthop Relat Res. 2007 Jan;454:100-7. doi: 10.1097/BLO.0b013e31802ba45c.</t>
  </si>
  <si>
    <t>Yagi M</t>
  </si>
  <si>
    <t>10.1097/BLO.0b013e31802ba45c</t>
  </si>
  <si>
    <t>Biodegradable and metallic interference screws in anterior cruciate ligament reconstruction surgery using hamstring tendon grafts: prospective randomized study of radiographic results and clinical outcome</t>
  </si>
  <si>
    <t>Laxdal G, Kartus J, Eriksson BI, FaxÃ©n E, Sernert N, Karlsson J.</t>
  </si>
  <si>
    <t>Am J Sports Med. 2006 Oct;34(10):1574-80. doi: 10.1177/0363546506288014. Epub 2006 May 9.</t>
  </si>
  <si>
    <t>10.1177/0363546506288014</t>
  </si>
  <si>
    <t>Clinical evaluation of anatomic double-bundle anterior cruciate ligament reconstruction procedure using hamstring tendon grafts: comparisons among 3 different procedures</t>
  </si>
  <si>
    <t>Yasuda K, Kondo E, Ichiyama H, Tanabe Y, Tohyama H.</t>
  </si>
  <si>
    <t>Arthroscopy. 2006 Mar;22(3):240-51. doi: 10.1016/j.arthro.2005.12.017.</t>
  </si>
  <si>
    <t>10.1016/j.arthro.2005.12.017</t>
  </si>
  <si>
    <t>Prospective randomized clinical comparison of femoral transfixation versus bioscrew fixation in hamstring tendon ACL reconstruction--a preliminary report</t>
  </si>
  <si>
    <t>Rose T, Hepp P, Venus J, Stockmar C, Josten C, Lill H.</t>
  </si>
  <si>
    <t>Knee Surg Sports Traumatol Arthrosc. 2006 Aug;14(8):730-8. doi: 10.1007/s00167-006-0034-9. Epub 2006 Feb 8.</t>
  </si>
  <si>
    <t>Rose T</t>
  </si>
  <si>
    <t>10.1007/s00167-006-0034-9</t>
  </si>
  <si>
    <t>Tunnel widening after hamstring anterior cruciate ligament reconstruction is influenced by the type of graft fixation used: a prospective randomized study</t>
  </si>
  <si>
    <t>Fauno P, Kaalund S.</t>
  </si>
  <si>
    <t>Arthroscopy. 2005 Nov;21(11):1337-41. doi: 10.1016/j.arthro.2005.08.023.</t>
  </si>
  <si>
    <t>Fauno P</t>
  </si>
  <si>
    <t>10.1016/j.arthro.2005.08.023</t>
  </si>
  <si>
    <t>[Subsequent treatment of surgically managed, fresh, anterior cruciate ligament ruptures--a randomized, prospective study]</t>
  </si>
  <si>
    <t>PfÃ¶rringer W, Kremer C.</t>
  </si>
  <si>
    <t>Sportverletz Sportschaden. 2005 Sep;19(3):134-9. doi: 10.1055/s-2005-858472.</t>
  </si>
  <si>
    <t>PfÃ¶rringer W</t>
  </si>
  <si>
    <t>Sportverletz Sportschaden</t>
  </si>
  <si>
    <t>10.1055/s-2005-858472</t>
  </si>
  <si>
    <t>Comparing 2-year outcomes of anterior cruciate ligament reconstruction using either patella-tendon or semitendinosus-tendon autografts: a non-randomised prospective study</t>
  </si>
  <si>
    <t>Tow BP, Chang PC, Mitra AK, Tay BK, Wong MC.</t>
  </si>
  <si>
    <t>J Orthop Surg (Hong Kong). 2005 Aug;13(2):139-46. doi: 10.1177/230949900501300206.</t>
  </si>
  <si>
    <t>Tow BP</t>
  </si>
  <si>
    <t>10.1177/230949900501300206</t>
  </si>
  <si>
    <t>Two-bundle anterior cruciate ligament reconstruction with eight-stranded hamstring tendons: four-tunnel technique</t>
  </si>
  <si>
    <t>Zhao J, Peng X, He Y, Wang J.</t>
  </si>
  <si>
    <t>Knee. 2006 Jan;13(1):36-41. doi: 10.1016/j.knee.2005.05.001. Epub 2005 Jul 15.</t>
  </si>
  <si>
    <t>10.1016/j.knee.2005.05.001</t>
  </si>
  <si>
    <t>Anterior cruciate ligament reconstruction with double-looped semitendinosus and gracilis tendon graft directly fixed to cortical bone: 5-year results</t>
  </si>
  <si>
    <t>Giron F, Aglietti P, Cuomo P, Mondanelli N, Ciardullo A.</t>
  </si>
  <si>
    <t>Knee Surg Sports Traumatol Arthrosc. 2005 Mar;13(2):81-91. doi: 10.1007/s00167-004-0553-1. Epub 2004 Oct 16.</t>
  </si>
  <si>
    <t>Giron F</t>
  </si>
  <si>
    <t>10.1007/s00167-004-0553-1</t>
  </si>
  <si>
    <t>Hamstring anterior cruciate ligament reconstruction: is it necessary to sacrifice the gracilis?</t>
  </si>
  <si>
    <t>Gobbi A, Domzalski M, Pascual J, Zanazzo M.</t>
  </si>
  <si>
    <t>Arthroscopy. 2005 Mar;21(3):275-80. doi: 10.1016/j.arthro.2004.10.016.</t>
  </si>
  <si>
    <t>10.1016/j.arthro.2004.10.016</t>
  </si>
  <si>
    <t>Resorbable screws versus pins for optimal transplant fixation (SPOT) in anterior cruciate ligament replacement with autologous hamstring grafts: rationale and design of a randomized, controlled, patient and investigator blinded trial [ISRCTN17384369]</t>
  </si>
  <si>
    <t>Stengel D, Matthes G, Seifert J, Tober V, Mutze S, Rademacher G, Ekkernkamp A, Bauwens K, Wich M, Casper D; SPOT Group.</t>
  </si>
  <si>
    <t>BMC Surg. 2005 Feb 21;5:1. doi: 10.1186/1471-2482-5-1.</t>
  </si>
  <si>
    <t>PMC552311</t>
  </si>
  <si>
    <t>10.1186/1471-2482-5-1</t>
  </si>
  <si>
    <t>Cross-pin femoral fixation versus metal interference screw fixation in anterior cruciate ligament reconstruction with hamstring tendons: results of a controlled prospective randomized study with 2-year follow-up</t>
  </si>
  <si>
    <t>Harilainen A, Sandelin J, Jansson KA.</t>
  </si>
  <si>
    <t>Arthroscopy. 2005 Jan;21(1):25-33. doi: 10.1016/j.arthro.2004.09.013.</t>
  </si>
  <si>
    <t>10.1016/j.arthro.2004.09.013</t>
  </si>
  <si>
    <t>[Anterior cruciate ligament reconstruction with hamstring tendons in the young]</t>
  </si>
  <si>
    <t>Sobau C, Ellermann A.</t>
  </si>
  <si>
    <t>Unfallchirurg. 2004 Aug;107(8):676-9. doi: 10.1007/s00113-004-0809-8.</t>
  </si>
  <si>
    <t>Sobau C</t>
  </si>
  <si>
    <t>10.1007/s00113-004-0809-8</t>
  </si>
  <si>
    <t>Reconstruction of the anterior cruciate ligament. Single- versus double-bundle multistranded hamstring tendons</t>
  </si>
  <si>
    <t>Adachi N, Ochi M, Uchio Y, Iwasa J, Kuriwaka M, Ito Y.</t>
  </si>
  <si>
    <t>J Bone Joint Surg Br. 2004 May;86(4):515-20.</t>
  </si>
  <si>
    <t>Adachi N</t>
  </si>
  <si>
    <t>Arthroscopic anterior cruciate ligament reconstruction with periosteum-enveloping hamstring tendon graft</t>
  </si>
  <si>
    <t>Chen CH, Chen WJ, Shih CH, Chou SW.</t>
  </si>
  <si>
    <t>Knee Surg Sports Traumatol Arthrosc. 2004 Sep;12(5):398-405. doi: 10.1007/s00167-004-0498-4. Epub 2004 Apr 2.</t>
  </si>
  <si>
    <t>Chen CH</t>
  </si>
  <si>
    <t>10.1007/s00167-004-0498-4</t>
  </si>
  <si>
    <t>Augmentation of femoral fixation in hamstring anterior cruciate ligament reconstruction with a bioabsorbable bead: a prospective single-blind randomized clinical trial</t>
  </si>
  <si>
    <t>Arneja S, Froese W, MacDonald P.</t>
  </si>
  <si>
    <t>Am J Sports Med. 2004 Jan-Feb;32(1):159-63. doi: 10.1177/0095399703258675.</t>
  </si>
  <si>
    <t>Arneja S</t>
  </si>
  <si>
    <t>10.1177/0095399703258675</t>
  </si>
  <si>
    <t>The role of periosteal flap in the prevention of femoral widening in anterior cruciate ligament reconstruction using hamstring tendons</t>
  </si>
  <si>
    <t>Robert H, Es-Sayeh J.</t>
  </si>
  <si>
    <t>Knee Surg Sports Traumatol Arthrosc. 2004 Jan;12(1):30-5. doi: 10.1007/s00167-003-0380-9. Epub 2003 Sep 9.</t>
  </si>
  <si>
    <t>10.1007/s00167-003-0380-9</t>
  </si>
  <si>
    <t>Clinical outcome of anterior cruciate ligament reconstruction with quadrupled hamstring tendon graft and bioabsorbable interference screw fixation</t>
  </si>
  <si>
    <t>Charlton WP, Randolph DA Jr, Lemos S, Shields CL Jr.</t>
  </si>
  <si>
    <t>Am J Sports Med. 2003 Jul-Aug;31(4):518-21. doi: 10.1177/03635465030310040701.</t>
  </si>
  <si>
    <t>Charlton WP</t>
  </si>
  <si>
    <t>10.1177/03635465030310040701</t>
  </si>
  <si>
    <t>Outcome after reconstruction of the anterior cruciate ligament in athletic patients. A comparison of early versus delayed surgery</t>
  </si>
  <si>
    <t>Meighan AA, Keating JF, Will E.</t>
  </si>
  <si>
    <t>J Bone Joint Surg Br. 2003 May;85(4):521-4. doi: 10.1302/0301-620x.85b4.13743.</t>
  </si>
  <si>
    <t>Meighan AA</t>
  </si>
  <si>
    <t>10.1302/0301-620x.85b4.13743</t>
  </si>
  <si>
    <t>Anterior cruciate ligament reconstruction using four-strand semitendinosus and gracilis tendon grafts and metal interference screw fixation</t>
  </si>
  <si>
    <t>Colombet P, Allard M, Bousquet V, de Lavigne C, Flurin PH, Lachaud C.</t>
  </si>
  <si>
    <t>Arthroscopy. 2002 Mar;18(3):232-7. doi: 10.1053/jars.2002.30637.</t>
  </si>
  <si>
    <t>Colombet P</t>
  </si>
  <si>
    <t>10.1053/jars.2002.30637</t>
  </si>
  <si>
    <t>Single- versus bi-socket anterior cruciate ligament reconstruction using autogenous multiple-stranded hamstring tendons with endoButton femoral fixation: A prospective study</t>
  </si>
  <si>
    <t>Hamada M, Shino K, Horibe S, Mitsuoka T, Miyama T, Shiozaki Y, Mae T.</t>
  </si>
  <si>
    <t>Arthroscopy. 2001 Oct;17(8):801-7. doi: 10.1016/s0749-8063(01)90002-7.</t>
  </si>
  <si>
    <t>Hamada M</t>
  </si>
  <si>
    <t>10.1016/s0749-8063(01)90002-7</t>
  </si>
  <si>
    <t>Arthroscopically assisted reconstruction of the anterior cruciate ligament. A follow-up report</t>
  </si>
  <si>
    <t>O'Neill DB.</t>
  </si>
  <si>
    <t>J Bone Joint Surg Am. 2001 Sep;83(9):1329-32. doi: 10.2106/00004623-200109000-00006.</t>
  </si>
  <si>
    <t>O'Neill DB</t>
  </si>
  <si>
    <t>10.2106/00004623-200109000-00006</t>
  </si>
  <si>
    <t>Biodegradable interference screw augmentation reduces tunnel expansion after ACL reconstruction</t>
  </si>
  <si>
    <t>Simonian PT, Monson JT, Larson RV.</t>
  </si>
  <si>
    <t>Am J Knee Surg. 2001 Spring;14(2):104-8.</t>
  </si>
  <si>
    <t>Simonian PT</t>
  </si>
  <si>
    <t>[Semitendinosus tendon vs. patellar ligament. Results of a prospective randomized study after anterior cruciate ligament reconstruction]</t>
  </si>
  <si>
    <t>RÃ¶pke M, Becker R, Urbach D, Nebelung W.</t>
  </si>
  <si>
    <t>Unfallchirurg. 2001 Apr;104(4):312-6. doi: 10.1007/s001130050733.</t>
  </si>
  <si>
    <t>RÃ¶pke M</t>
  </si>
  <si>
    <t>10.1007/s001130050733</t>
  </si>
  <si>
    <t>Hamstrings vs. patella tendon for anterior cruciate ligament reconstruction: a randomised controlled trial</t>
  </si>
  <si>
    <t>Beard DJ, Anderson JL, Davies S, Price AJ, Dodd CA.</t>
  </si>
  <si>
    <t>Knee. 2001 Mar;8(1):45-50. doi: 10.1016/s0968-0160(01)00062-x.</t>
  </si>
  <si>
    <t>Beard DJ</t>
  </si>
  <si>
    <t>10.1016/s0968-0160(01)00062-x</t>
  </si>
  <si>
    <t>Closed kinetic chain alone compared to combined open and closed kinetic chain exercises for quadriceps strengthening after anterior cruciate ligament reconstruction with respect to return to sports: a prospective matched follow-up study</t>
  </si>
  <si>
    <t>Mikkelsen C, Werner S, Eriksson E.</t>
  </si>
  <si>
    <t>Knee Surg Sports Traumatol Arthrosc. 2000;8(6):337-42. doi: 10.1007/s001670000143.</t>
  </si>
  <si>
    <t>10.1007/s001670000143</t>
  </si>
  <si>
    <t>Tunnel expansion after hamstring anterior cruciate ligament reconstruction with 1-incision EndoButton femoral fixation</t>
  </si>
  <si>
    <t>Simonian PT, Erickson MS, Larson RV, O'kane JW.</t>
  </si>
  <si>
    <t>Arthroscopy. 2000 Oct;16(7):707-14. doi: 10.1053/jars.2000.4635.</t>
  </si>
  <si>
    <t>10.1053/jars.2000.4635</t>
  </si>
  <si>
    <t>Behavior of the graft within the bone tunnels following anterior cruciate ligament reconstruction, studied by cinematic magnetic resonance imaging</t>
  </si>
  <si>
    <t>JÃ¸rgensen U, Thomsen HS.</t>
  </si>
  <si>
    <t>Knee Surg Sports Traumatol Arthrosc. 2000;8(1):32-5. doi: 10.1007/s001670050007.</t>
  </si>
  <si>
    <t>JÃ¸rgensen U</t>
  </si>
  <si>
    <t>10.1007/s001670050007</t>
  </si>
  <si>
    <t>Tunnel widening in anterior cruciate ligament reconstruction: a prospective evaluation of hamstring and patella tendon grafts</t>
  </si>
  <si>
    <t>Clatworthy MG, Annear P, Bulow JU, Bartlett RJ.</t>
  </si>
  <si>
    <t>Knee Surg Sports Traumatol Arthrosc. 1999;7(3):138-45. doi: 10.1007/s001670050138.</t>
  </si>
  <si>
    <t>Clatworthy MG</t>
  </si>
  <si>
    <t>10.1007/s001670050138</t>
  </si>
  <si>
    <t>Magnetic resonance imaging and knee stability following ACL reconstruction</t>
  </si>
  <si>
    <t>KÃ¼hne JH, DÃ¼rr HR, Steinborn M, Jansson V, Refior HJ.</t>
  </si>
  <si>
    <t>Orthopedics. 1998 Jan;21(1):39-43. doi: 10.3928/0147-7447-19980101-10.</t>
  </si>
  <si>
    <t>KÃ¼hne JH</t>
  </si>
  <si>
    <t>10.3928/0147-7447-19980101-10</t>
  </si>
  <si>
    <t>A prospective, clinical study evaluating arthroscopic ACL reconstruction using the semitendinosus and iliotibial band: 2- to 5-year follow up</t>
  </si>
  <si>
    <t>Billotti JD, Meese MA, Alberta F, Zimmerman MC.</t>
  </si>
  <si>
    <t>Orthopedics. 1997 Feb;20(2):125-31. doi: 10.3928/0147-7447-19970201-08.</t>
  </si>
  <si>
    <t>Billotti JD</t>
  </si>
  <si>
    <t>10.3928/0147-7447-19970201-08</t>
  </si>
  <si>
    <t>The effect of tourniquet use in anterior cruciate ligament reconstruction. A prospective, randomized study</t>
  </si>
  <si>
    <t>Arciero RA, Scoville CR, Hayda RA, Snyder RJ.</t>
  </si>
  <si>
    <t>Am J Sports Med. 1996 Nov-Dec;24(6):758-64. doi: 10.1177/036354659602400610.</t>
  </si>
  <si>
    <t>Arciero RA</t>
  </si>
  <si>
    <t>10.1177/036354659602400610</t>
  </si>
  <si>
    <t>Arthroscopically assisted reconstruction of the anterior cruciate ligament. A prospective randomized analysis of three techniques</t>
  </si>
  <si>
    <t>J Bone Joint Surg Am. 1996 Jun;78(6):803-13.</t>
  </si>
  <si>
    <t>Effects of an accelerated rehabilitation program after anterior cruciate ligament reconstruction with combined semitendinosus-gracilis autograft and a ligament augmentation device</t>
  </si>
  <si>
    <t>MacDonald PB, Hedden D, Pacin O, Huebert D.</t>
  </si>
  <si>
    <t>Am J Sports Med. 1995 Sep-Oct;23(5):588-92. doi: 10.1177/036354659502300512.</t>
  </si>
  <si>
    <t>10.1177/036354659502300512</t>
  </si>
  <si>
    <t>Anterior tibial translation during progressive loading of the ACL-deficient knee during weight-bearing and nonweight-bearing isometric exercise</t>
  </si>
  <si>
    <t>Yack HJ, Riley LM, Whieldon TR.</t>
  </si>
  <si>
    <t>J Orthop Sports Phys Ther. 1994 Nov;20(5):247-53. doi: 10.2519/jospt.1994.20.5.247.</t>
  </si>
  <si>
    <t>Yack HJ</t>
  </si>
  <si>
    <t>J Orthop Sports Phys Ther</t>
  </si>
  <si>
    <t>10.2519/jospt.1994.20.5.247</t>
  </si>
  <si>
    <t>Anterior cruciate ligament reconstruction using gracilis and semitendinosus tendons. Comparison of through-the-condyle and over-the-top graft placements</t>
  </si>
  <si>
    <t>Karlson JA, Steiner ME, Brown CH, Johnston J.</t>
  </si>
  <si>
    <t>Am J Sports Med. 1994 Sep-Oct;22(5):659-66. doi: 10.1177/036354659402200514.</t>
  </si>
  <si>
    <t>Karlson JA</t>
  </si>
  <si>
    <t>10.1177/036354659402200514</t>
  </si>
  <si>
    <t>Anterior cruciate ligament reconstruction using the semitendinosus and gracilis tendons augmented by the losee iliotibial band tenodesis. A long-term study</t>
  </si>
  <si>
    <t>Anderson AF, Snyder RB, Lipscomb AB Sr.</t>
  </si>
  <si>
    <t>Am J Sports Med. 1994 Sep-Oct;22(5):620-6. doi: 10.1177/036354659402200509.</t>
  </si>
  <si>
    <t>10.1177/036354659402200509</t>
  </si>
  <si>
    <t>The ligament augmentation device in hamstring grafts for reconstruction of the anterior cruciate ligament</t>
  </si>
  <si>
    <t>Santi MD, Richardson AB.</t>
  </si>
  <si>
    <t>Am J Sports Med. 1994 Jul-Aug;22(4):524-30. doi: 10.1177/036354659402200415.</t>
  </si>
  <si>
    <t>Santi MD</t>
  </si>
  <si>
    <t>10.1177/036354659402200415</t>
  </si>
  <si>
    <t>[Isolated intraarticular plasty of the semitendinosus or combined intra- and extra-articular plasty in chronic anterior laxity of the knee]</t>
  </si>
  <si>
    <t>Goertzen M, Schulitz KP.</t>
  </si>
  <si>
    <t>Rev Chir Orthop Reparatrice Appar Mot. 1994;80(2):113-7.</t>
  </si>
  <si>
    <t>Goertzen M</t>
  </si>
  <si>
    <t>Quadriceps versus hamstrings autograft in anterior cruciate ligament reconstruction: a randomized control trial</t>
  </si>
  <si>
    <t>Yadav AK, Sharma A, Paul N, Bhakhar A, Sarkar B, Azam MQ.</t>
  </si>
  <si>
    <t>Eur J Orthop Surg Traumatol. 2025 Sep 13;35(1):395. doi: 10.1007/s00590-025-04510-2.</t>
  </si>
  <si>
    <t>Yadav AK</t>
  </si>
  <si>
    <t>10.1007/s00590-025-04510-2</t>
  </si>
  <si>
    <t>The effect of neuromuscular electrical stimulation superimposed on quadriceps training on gait dynamics after anterior cruciate ligament reconstruction</t>
  </si>
  <si>
    <t>Li S, Lu B, Zhang Y, Liu J, Xu W, Li Q.</t>
  </si>
  <si>
    <t>J Back Musculoskelet Rehabil. 2025 Jan;38(1):139-147. doi: 10.1177/10538127241296376. Epub 2025 Jan 9.</t>
  </si>
  <si>
    <t>Li S</t>
  </si>
  <si>
    <t>J Back Musculoskelet Rehabil</t>
  </si>
  <si>
    <t>10.1177/10538127241296376</t>
  </si>
  <si>
    <t>Which technique provides more benefits in return to sports and clinical outcomes after anterior cruciate ligament reconstruction: Double-bundle or single-bundle? A randomized controlled study</t>
  </si>
  <si>
    <t>Wang X, Xu Z, Song S, Mao Z, Huang X, Luo M, Zhou X, Xu B, Ye J, Song Y, Yu J.</t>
  </si>
  <si>
    <t>Chin Med J (Engl). 2025 Sep 20;138(18):2283-2292. doi: 10.1097/CM9.0000000000003267. Epub 2024 Oct 10.</t>
  </si>
  <si>
    <t>Wang X</t>
  </si>
  <si>
    <t>PMC12453342</t>
  </si>
  <si>
    <t>10.1097/CM9.0000000000003267</t>
  </si>
  <si>
    <t>Effect of pulsed electromagnetic field as an intervention for patients with quadriceps weakness after anterior cruciate ligament reconstruction: a double-blinded, randomized-controlled trial</t>
  </si>
  <si>
    <t>Ong MT, Man GC, Lau LC, He X, Qiu J, Wang Q, Chow MC, Choi BC, Yu M, Yung PS.</t>
  </si>
  <si>
    <t>Trials. 2022 Sep 12;23(1):771. doi: 10.1186/s13063-022-06674-2.</t>
  </si>
  <si>
    <t>Ong MT</t>
  </si>
  <si>
    <t>Trials</t>
  </si>
  <si>
    <t>PMC9465849</t>
  </si>
  <si>
    <t>10.1186/s13063-022-06674-2</t>
  </si>
  <si>
    <t>Acute Anterior Cruciate Ligament Rupture: Repair or Reconstruction? Five-Year Results of a Randomized Controlled Clinical Trial</t>
  </si>
  <si>
    <t>Hoogeslag RAG, Huis In 't Veld R, Brouwer RW, de Graaff F, Verdonschot N.</t>
  </si>
  <si>
    <t>Am J Sports Med. 2022 Jun;50(7):1779-1787. doi: 10.1177/03635465221090527. Epub 2022 Apr 29.</t>
  </si>
  <si>
    <t>10.1177/03635465221090527</t>
  </si>
  <si>
    <t>Quadriceps muscle strength recovery with the use of high tone power therapy after anterior cruciate ligament reconstruction: a randomized controlled trial</t>
  </si>
  <si>
    <t>Ogrodzka-Ciechanowicz K, GÅ‚Ä…b G, Åšlusarski J, GÄ…dek A.</t>
  </si>
  <si>
    <t>BMC Musculoskelet Disord. 2021 Nov 23;22(1):975. doi: 10.1186/s12891-021-04862-w.</t>
  </si>
  <si>
    <t>Ogrodzka-Ciechanowicz K</t>
  </si>
  <si>
    <t>PMC8609762</t>
  </si>
  <si>
    <t>10.1186/s12891-021-04862-w</t>
  </si>
  <si>
    <t>Contralateral strength training attenuates muscle performance loss following anterior cruciate ligament (ACL) reconstruction: a randomised-controlled trial</t>
  </si>
  <si>
    <t>Minshull C, Gallacher P, Roberts S, Barnett A, Kuiper JH, Bailey A.</t>
  </si>
  <si>
    <t>Eur J Appl Physiol. 2021 Dec;121(12):3551-3559. doi: 10.1007/s00421-021-04812-3. Epub 2021 Sep 20.</t>
  </si>
  <si>
    <t>Minshull C</t>
  </si>
  <si>
    <t>Eur J Appl Physiol</t>
  </si>
  <si>
    <t>10.1007/s00421-021-04812-3</t>
  </si>
  <si>
    <t>Anatomic single vs. double-bundle ACL reconstruction: a randomized clinical trial-Part 1: clinical outcomes</t>
  </si>
  <si>
    <t>Irrgang JJ, Tashman S, Patterson CG, Musahl V, West R, Oostdyk A, Galvin B, Poploski K, Fu FH.</t>
  </si>
  <si>
    <t>Knee Surg Sports Traumatol Arthrosc. 2021 Aug;29(8):2665-2675. doi: 10.1007/s00167-021-06585-w. Epub 2021 May 10.</t>
  </si>
  <si>
    <t>Irrgang JJ</t>
  </si>
  <si>
    <t>PMC8298248</t>
  </si>
  <si>
    <t>10.1007/s00167-021-06585-w</t>
  </si>
  <si>
    <t>Impact of whey protein isolate and eccentric training on quadriceps mass and strength in patients with anterior cruciate ligament rupture: A randomized controlled trial</t>
  </si>
  <si>
    <t>Zhang X, Huang H, Yu Y, Yang J, Liang Z, Chang C.</t>
  </si>
  <si>
    <t>J Rehabil Med. 2020 Mar 31;52(3):jrm00035. doi: 10.2340/16501977-2664.</t>
  </si>
  <si>
    <t>Zhang X</t>
  </si>
  <si>
    <t>10.2340/16501977-2664</t>
  </si>
  <si>
    <t>Isokinetic eccentric training is more effective than constant load eccentric training for quadriceps rehabilitation following anterior cruciate ligament reconstruction: a randomized controlled trial</t>
  </si>
  <si>
    <t>Vidmar MF, Baroni BM, Michelin AF, Mezzomo M, Lugokenski R, Pimentel GL, Silva MF.</t>
  </si>
  <si>
    <t>Braz J Phys Ther. 2020 Sep-Oct;24(5):424-432. doi: 10.1016/j.bjpt.2019.07.003. Epub 2019 Jul 16.</t>
  </si>
  <si>
    <t>Vidmar MF</t>
  </si>
  <si>
    <t>Braz J Phys Ther</t>
  </si>
  <si>
    <t>PMC7563799</t>
  </si>
  <si>
    <t>10.1016/j.bjpt.2019.07.003</t>
  </si>
  <si>
    <t>Young athletes after ACL reconstruction with quadriceps strength asymmetry at the time of return-to-sport demonstrate decreased knee function 1Â year later</t>
  </si>
  <si>
    <t>Ithurburn MP, Altenburger AR, Thomas S, Hewett TE, Paterno MV, Schmitt LC.</t>
  </si>
  <si>
    <t>Knee Surg Sports Traumatol Arthrosc. 2018 Feb;26(2):426-433. doi: 10.1007/s00167-017-4678-4. Epub 2017 Sep 16.</t>
  </si>
  <si>
    <t>Ithurburn MP</t>
  </si>
  <si>
    <t>10.1007/s00167-017-4678-4</t>
  </si>
  <si>
    <t>Report of the Clinical and Functional Primary Outcomes in Men of the ACL-SPORTS Trial: Similar Outcomes in Men Receiving Secondary Prevention With and Without Perturbation Training 1 and 2 Years After ACL Reconstruction</t>
  </si>
  <si>
    <t>Arundale AJH, Cummer K, Capin JJ, Zarzycki R, Snyder-Mackler L.</t>
  </si>
  <si>
    <t>Clin Orthop Relat Res. 2017 Oct;475(10):2523-2534. doi: 10.1007/s11999-017-5280-2.</t>
  </si>
  <si>
    <t>Arundale AJH</t>
  </si>
  <si>
    <t>PMC5599384</t>
  </si>
  <si>
    <t>10.1007/s11999-017-5280-2</t>
  </si>
  <si>
    <t>The curative efficacy of arthroscopic therapy in treating anterior cruciate ligament rupture with secondary osteoarthritis</t>
  </si>
  <si>
    <t>Ouyang X, Hong SD, Xin F, Wang L, Yang XW, Wang JR, Wang Q, Cui WD, Zhang AJ, Zhao ZX.</t>
  </si>
  <si>
    <t>Eur Rev Med Pharmacol Sci. 2016;20(2):214-9.</t>
  </si>
  <si>
    <t>Ouyang X</t>
  </si>
  <si>
    <t>Eur Rev Med Pharmacol Sci</t>
  </si>
  <si>
    <t>Low- Versus High-Intensity Plyometric Exercise During Rehabilitation After Anterior Cruciate Ligament Reconstruction</t>
  </si>
  <si>
    <t>Chmielewski TL, George SZ, Tillman SM, Moser MW, Lentz TA, Indelicato PA, Trumble TN, Shuster JJ, Cicuttini FM, Leeuwenburgh C.</t>
  </si>
  <si>
    <t>Am J Sports Med. 2016 Mar;44(3):609-17. doi: 10.1177/0363546515620583. Epub 2016 Jan 21.</t>
  </si>
  <si>
    <t>Chmielewski TL</t>
  </si>
  <si>
    <t>10.1177/0363546515620583</t>
  </si>
  <si>
    <t>The "Lever Sign": a new clinical test for the diagnosis of anterior cruciate ligament rupture</t>
  </si>
  <si>
    <t>Lelli A, Di Turi RP, Spenciner DB, DÃ²mini M.</t>
  </si>
  <si>
    <t>Knee Surg Sports Traumatol Arthrosc. 2016 Sep;24(9):2794-2797. doi: 10.1007/s00167-014-3490-7. Epub 2014 Dec 25.</t>
  </si>
  <si>
    <t>Lelli A</t>
  </si>
  <si>
    <t>10.1007/s00167-014-3490-7</t>
  </si>
  <si>
    <t>[Ligament bracing--augmented primary suture repair in multiligamentous knee injuries]</t>
  </si>
  <si>
    <t>Heitmann M, Gerau M, HÃ¶tzel J, Giannakos A, Frosch KH, Preiss A.</t>
  </si>
  <si>
    <t>Oper Orthop Traumatol. 2014 Feb;26(1):19-29. doi: 10.1007/s00064-013-0263-2.</t>
  </si>
  <si>
    <t>Heitmann M</t>
  </si>
  <si>
    <t>10.1007/s00064-013-0263-2</t>
  </si>
  <si>
    <t>[Meniscus replacement with quadriceps tendon--a long-term analysis]</t>
  </si>
  <si>
    <t>Pressel T, V Lewinski G, Kohn D, Wirth CJ.</t>
  </si>
  <si>
    <t>Z Orthop Ihre Grenzgeb. 2005 Jan-Feb;143(1):42-7. doi: 10.1055/s-2005-836359.</t>
  </si>
  <si>
    <t>Pressel T</t>
  </si>
  <si>
    <t>Z Orthop Ihre Grenzgeb</t>
  </si>
  <si>
    <t>10.1055/s-2005-836359</t>
  </si>
  <si>
    <t>The relationship between participation restrictions and selected clinical measures following anterior cruciate ligament reconstruction</t>
  </si>
  <si>
    <t>Ross MD, Irrgang JJ, Denegar CR, McCloy CM, Unangst ET.</t>
  </si>
  <si>
    <t>Knee Surg Sports Traumatol Arthrosc. 2002 Jan;10(1):10-9. doi: 10.1007/s001670100238. Epub 2001 Sep 21.</t>
  </si>
  <si>
    <t>Ross MD</t>
  </si>
  <si>
    <t>10.1007/s001670100238</t>
  </si>
  <si>
    <t>The effect of immediate weightbearing after anterior cruciate ligament reconstruction</t>
  </si>
  <si>
    <t>Tyler TF, McHugh MP, Gleim GW, Nicholas SJ.</t>
  </si>
  <si>
    <t>Clin Orthop Relat Res. 1998 Dec;(357):141-8. doi: 10.1097/00003086-199812000-00019.</t>
  </si>
  <si>
    <t>Tyler TF</t>
  </si>
  <si>
    <t>10.1097/00003086-199812000-00019</t>
  </si>
  <si>
    <t>Comparison of the effects of exercise in water and on land on the rehabilitation of patients with intra-articular anterior cruciate ligament reconstructions</t>
  </si>
  <si>
    <t>Tovin BJ, Wolf SL, Greenfield BH, Crouse J, Woodfin BA.</t>
  </si>
  <si>
    <t>Phys Ther. 1994 Aug;74(8):710-9. doi: 10.1093/ptj/74.8.710.</t>
  </si>
  <si>
    <t>Tovin BJ</t>
  </si>
  <si>
    <t>Phys Ther</t>
  </si>
  <si>
    <t>10.1093/ptj/74.8.710</t>
  </si>
  <si>
    <t>Over-the-top or tunnel reconstruction of the anterior cruciate ligament? A prospective randomised study of 54 patients</t>
  </si>
  <si>
    <t>Jonsson H, Elmqvist LG, KÃ¤rrholm J, Tegner Y.</t>
  </si>
  <si>
    <t>J Bone Joint Surg Br. 1994 Jan;76(1):82-7.</t>
  </si>
  <si>
    <t>Jonsson H</t>
  </si>
  <si>
    <t>Arthroscopic reconstruction of the anterior cruciate ligament</t>
  </si>
  <si>
    <t>Gillquist J, Odensten M.</t>
  </si>
  <si>
    <t>Arthroscopy. 1988;4(1):5-9. doi: 10.1016/s0749-8063(88)80003-3.</t>
  </si>
  <si>
    <t>Gillquist J</t>
  </si>
  <si>
    <t>10.1016/s0749-8063(88)80003-3</t>
  </si>
  <si>
    <t>Surgical or conservative treatment of the acutely torn anterior cruciate ligament. A randomized study with short-term follow-up observations</t>
  </si>
  <si>
    <t>Odensten M, Hamberg P, Nordin M, Lysholm J, Gillquist J.</t>
  </si>
  <si>
    <t>Clin Orthop Relat Res. 1985 Sep;(198):87-93.</t>
  </si>
  <si>
    <t>Odensten M</t>
  </si>
  <si>
    <t>Anterior cruciate ligament reconstruction combined with anterolateral ligament reconstruction using hamstring autograft versus anterior cruciate ligament reconstruction using boneâ€“patellar tendonâ€“bone autograft: a randomised controlled trial with 5-year follow-up</t>
  </si>
  <si>
    <t>Sonnery-Cottet B., Carrozzo A., Poilvache H., Fayard J.-M., Freychet B., Thaunat M., Vieira T.D., Saithna A.</t>
  </si>
  <si>
    <t>(Sonnery-Cottet B.; Poilvache H.; Fayard J.-M.; Freychet B.; Thaunat M.; Vieira T.D., scientific.md@orthosanty.fr) Centre Orthopedique Santy, FIFA Medical Center of Excellence, HÃ´pital PrivÃ© Jean Mermoz, Groupe GDS-Ramsay, Lyon, France. , (Carrozzo A.) Link Campus University, Dipartimento di Scienze della Vita, Della Salute e delle Professioni Sanitarie, Rome, Italy. , (Saithna A.) AZBSC Orthopedics, Scottsdale, AZ, United States. , ()</t>
  </si>
  <si>
    <t>T.D. Vieira, 24 Avenue Paul Santy, Lyon, France. Email: scientific.md@orthosanty.fr</t>
  </si>
  <si>
    <t>The Lancet Regional Health - Europe (2026) 62 Article Number: 101561. Date of Publication: 1 Mar 2026</t>
  </si>
  <si>
    <t>The Lancet Regional Health - Europe</t>
  </si>
  <si>
    <t>Article</t>
  </si>
  <si>
    <t>2666-7762 (electronic)</t>
  </si>
  <si>
    <t>Elsevier Ltd</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</si>
  <si>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18â€“35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5.36]â€”p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 Funding: GCS Ramsay SantÃ© pour l'Enseignement et la Recherche funds the scientific activity at the Santy center.</t>
  </si>
  <si>
    <t>ClinicalTrials.gov (NCT03740022)</t>
  </si>
  <si>
    <t>English</t>
  </si>
  <si>
    <t>L2042382214</t>
  </si>
  <si>
    <t>10.1016/j.lanepe.2025.101561</t>
  </si>
  <si>
    <t>http://dx.doi.org/10.1016/j.lanepe.2025.101561</t>
  </si>
  <si>
    <t>https://www.embase.com/search/results?subaction=viewrecord&amp;id=L2042382214&amp;from=export</t>
  </si>
  <si>
    <t>https://catalyst.library.jhu.edu/openurl/01JHU_INST/01JHU_INST:JHU?sid=EMBASE&amp;sid=EMBASE&amp;issn=26667762&amp;id=doi:10.1016%2Fj.lanepe.2025.101561&amp;atitle=Anterior+cruciate+ligament+reconstruction+combined+with+anterolateral+ligament+reconstruction+using+hamstring+autograft+versus+anterior+cruciate+ligament+reconstruction+using+bone%E2%80%93patellar+tendon%E2%80%93bone+autograft%3A+a+randomised+controlled+trial+with+5-year+follow-up&amp;stitle=Lancet.+Reg.+Health.+Eur.&amp;title=The+Lancet+Regional+Health+-+Europe&amp;volume=62&amp;issue=&amp;spage=&amp;epage=&amp;aulast=Sonnery-Cottet&amp;aufirst=Bertrand&amp;auinit=B.&amp;aufull=Sonnery-Cottet+B.&amp;coden=&amp;isbn=&amp;pages=-&amp;date=2026&amp;auinit1=B&amp;auinitm=</t>
  </si>
  <si>
    <t>Copyright 2025 Elsevier B.V., All rights reserved.</t>
  </si>
  <si>
    <t>Radiographic Findings and Clinical Outcomes After Bone Grafting Patellar Defect in ACL Reconstruction</t>
  </si>
  <si>
    <t>clinicaltrials.gov (2025). Date of Publication: 21 Apr 2025</t>
  </si>
  <si>
    <t>clinicaltrials.gov</t>
  </si>
  <si>
    <t>Clinical Trial</t>
  </si>
  <si>
    <t>Brief SummaryAll patients will be randomly assigned using a computer randomization algorithm to one of two matched cohort groups. Patients will not be advised which group they belong to until after the completion of the study. One group will be treated with autologous bone graft for bone patellar-tendon bone (BTB) Anterior Cruciate Ligament Reconstruction (ACLR), and the other group will be treated with commercially available DBM (Demineralized bone matrix) putty. Patients will be enrolled from Banner University. Before and after surgery, patient reported outcomes including visual analog pain scale (VAS), Tegner-Lysholm and Cincinnati ACL Test. The principal investigator will evaluate the patients on subjective criteria such as pain and objective criteria including range of motion, arthritic changes seen on radiographs, infection, and ability to kneel.</t>
  </si>
  <si>
    <t>LNCT06975306</t>
  </si>
  <si>
    <t>https://clinicaltrials.gov/study/NCT06975306</t>
  </si>
  <si>
    <t>https://www.embase.com/search/results?subaction=viewrecord&amp;id=LNCT06975306&amp;from=export</t>
  </si>
  <si>
    <t>This record is sourced from clinicaltrials.gov, an official website of the U.S. Department of Health and Human Services, National Institutes of Health, National Library of Medicine, and National Center for Biotechnology Information. Please visit clinicaltrials.gov for latest updates on this record.</t>
  </si>
  <si>
    <t>Long-term Outcomes After Anterior Cruciate Ligament Reconstruction With 3 Different Surgical Techniques: A Prospective Randomized Clinical and Radiographic Evaluation at a Minimum of 20 Yearsâ€™ Follow-up</t>
  </si>
  <si>
    <t>Lucidi G.A., Agostinone P., Di Paolo S., Dal Fabbro G., Serra M., Viotto M., Grassi A., Zaffagnini S.</t>
  </si>
  <si>
    <t>(Lucidi G.A.; Agostinone P., piero.agostinone@ior.it; Di Paolo S.; Dal Fabbro G.; Serra M.; Viotto M.; Grassi A.; Zaffagnini S.) Clinica Ortopedica e Traumatologica II, Istituto Ortopedico Rizzoli, Bologna, Italy. , (Lucidi G.A.) Department of Biomedical and Neuromotor Sciences (DIBINEM), University of Bologna, Bologna, Italy.</t>
  </si>
  <si>
    <t>P. Agostinone, Clinica Ortopedica e Traumatologica II, Istituto Ortopedico Rizzoli, Via Pupilli, Bologna, Italy. Email: piero.agostinone@ior.it</t>
  </si>
  <si>
    <t>Orthopaedic Journal of Sports Medicine (2025) 13:1. Date of Publication: 1 Jan 2025</t>
  </si>
  <si>
    <t>Orthopaedic Journal of Sports Medicine</t>
  </si>
  <si>
    <t>2325-9671 (electronic)</t>
  </si>
  <si>
    <t>SAGE Publications Ltd</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</si>
  <si>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boneâ€“patellar tendonâ€“bone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Â± 1.1 years. Of the 75 patients, 37 (49%) completed the clinical evaluation, and 35 (47%) had radiographs obtained. Regarding the PROMs, the HT + LET group showed a slightly higher Tegner score than the BPTB group (P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=.049). The BPTB group showed a higher patellofemoral OA rate than the HT + LET group (P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</si>
  <si>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L2033011534</t>
  </si>
  <si>
    <t>10.1177/23259671241302348</t>
  </si>
  <si>
    <t>http://dx.doi.org/10.1177/23259671241302348</t>
  </si>
  <si>
    <t>https://www.embase.com/search/results?subaction=viewrecord&amp;id=L2033011534&amp;from=export</t>
  </si>
  <si>
    <t>https://catalyst.library.jhu.edu/openurl/01JHU_INST/01JHU_INST:JHU?sid=EMBASE&amp;sid=EMBASE&amp;issn=23259671&amp;id=doi:10.1177%2F23259671241302348&amp;atitle=Long-term+Outcomes+After+Anterior+Cruciate+Ligament+Reconstruction+With+3+Different+Surgical+Techniques%3A+A+Prospective+Randomized+Clinical+and+Radiographic+Evaluation+at+a+Minimum+of+20+Years%E2%80%99+Follow-up&amp;stitle=Orthop.+J.+Sports+Med.&amp;title=Orthopaedic+Journal+of+Sports+Medicine&amp;volume=13&amp;issue=1&amp;spage=&amp;epage=&amp;aulast=Lucidi&amp;aufirst=Gian+Andrea&amp;auinit=G.A.&amp;aufull=Lucidi+G.A.&amp;coden=&amp;isbn=&amp;pages=-&amp;date=2025&amp;auinit1=G&amp;auinitm=A</t>
  </si>
  <si>
    <t>Clinical and functional comparison of boneâ€“patellar tendonâ€“bone and hamstring tendon autografts in anterior cruciate ligament reconstruction: A randomized controlled trial</t>
  </si>
  <si>
    <t>Elazab A.M.A., Reda W., Soliman A.E.M.E., Gad A.M.</t>
  </si>
  <si>
    <t>(Elazab A.M.A., montocristo2003@yahoo.com; Reda W.; Soliman A.E.M.E.; Gad A.M.) Orthopedic Surgery Department, Faculty of Medicine, Cairo University, Cairo, Egypt.</t>
  </si>
  <si>
    <t>A.M.A. Elazab, Orthopedic Surgery Department, Faculty of Medicine, Cairo University, Cairo, Egypt. Email: montocristo2003@yahoo.com</t>
  </si>
  <si>
    <t>Apunts Sports Medicine (2025) Article Number: 100507. Date of Publication: 2025</t>
  </si>
  <si>
    <t>Apunts Sports Medicine</t>
  </si>
  <si>
    <t>Article in Press</t>
  </si>
  <si>
    <t>2666-5069 (electronic)</t>
  </si>
  <si>
    <t>Generalitat de Catalunya, Department de la Presidencia, Secretaria General de l Esport</t>
  </si>
  <si>
    <t>The purpose of this study was to compare the clinical and functional outcomes of anterior cruciate ligament reconstruction (ACLR) using hamstring tendon (HT) and boneâ€“patellar tendonâ€“bone (BTB) autografts through a prospective randomized trial. Thirty-eight patients with isolated ACL injuries were randomized to undergo ACLR using either HT (n = 19) or BTB (n = 19) autografts. All procedures were performed using an anatomic single-bundle arthroscopic technique. Patients were evaluated preoperatively and at 12 months postoperatively using the IKDC score, Rolimeter testing, Lachman and pivot shift tests, hop test, and range of motion. Both groups showed significant improvement in all parameters. The mean IKDC score was 82.6 Â± 6.3 in the HT group and 83.2 Â± 5.9 in the BTB group. No significant differences were found in knee stability, hop test results, or return-to-sport rates. No complications or graft failures occurred. ACLR using either autograft type yielded comparable outcomes. Graft choice should be individualized based on patient characteristics and surgeon preference.</t>
  </si>
  <si>
    <t>L2042010517</t>
  </si>
  <si>
    <t>10.1016/j.apunsm.2025.100507</t>
  </si>
  <si>
    <t>http://dx.doi.org/10.1016/j.apunsm.2025.100507</t>
  </si>
  <si>
    <t>https://www.embase.com/search/results?subaction=viewrecord&amp;id=L2042010517&amp;from=export</t>
  </si>
  <si>
    <t>https://catalyst.library.jhu.edu/openurl/01JHU_INST/01JHU_INST:JHU?sid=EMBASE&amp;sid=EMBASE&amp;issn=26665069&amp;id=doi:10.1016%2Fj.apunsm.2025.100507&amp;atitle=Clinical+and+functional+comparison+of+bone%E2%80%93patellar+tendon%E2%80%93bone+and+hamstring+tendon+autografts+in+anterior+cruciate+ligament+reconstruction%3A+A+randomized+controlled+trial&amp;stitle=Apunt.+Sports.+Med.&amp;title=Apunts+Sports+Medicine&amp;volume=&amp;issue=&amp;spage=&amp;epage=&amp;aulast=Elazab&amp;aufirst=Ashraf+Mohamed+Attia&amp;auinit=A.M.A.&amp;aufull=Elazab+A.M.A.&amp;coden=&amp;isbn=&amp;pages=-&amp;date=2025&amp;auinit1=A&amp;auinitm=M.A.</t>
  </si>
  <si>
    <t>Popovic M., Myhre J.R., Holen J.I.H., Gifstad T., Strand I.L., Strand T., Mo I.F., Fischer-Bredenbeck C., Drogset J.O.</t>
  </si>
  <si>
    <t>(Popovic M.; Gifstad T.; Drogset J.O.) Department of Orthopedics, Trondheim University Hospital, Trondheim, Norway. , (Myhre J.R.; Holen J.I.H.) Faculty of Medicine, Norwegian University of Science and Technology, Trondheim, Norway. , (Strand I.L.) Department of Orthopedics, Lovisenberg Diaconal Hospital, Oslo, Norway. , (Strand T.; Mo I.F.) Department of Orthopedics, Haraldsplass Deaconess Hospital, Bergen, Norway. , (Fischer-Bredenbeck C.) Department of Radiology, Haraldsplass Deaconess Hospital, Bergen, Norway.</t>
  </si>
  <si>
    <t>The American journal of sports medicine (2024) 52:11 (2750-2757). Date of Publication: 1 Sep 2024</t>
  </si>
  <si>
    <t>The American journal of sports medicine</t>
  </si>
  <si>
    <t>1552-3365 (electronic)</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</si>
  <si>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 PURPOSE: To compare the results after using either BPTB grafts or hamstring tendon grafts 18 years after ACL reconstruction. STUDY DESIGN: Randomized controlled trial; Level of evidence 2. 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 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 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 REGISTRATION: NCT05876013 (ClinicalTrials.gov identifier).</t>
  </si>
  <si>
    <t>ClinicalTrials.gov (NCT05876013)</t>
  </si>
  <si>
    <t>L645161056</t>
  </si>
  <si>
    <t>http://dx.doi.org/10.1177/03635465241271524</t>
  </si>
  <si>
    <t>https://www.embase.com/search/results?subaction=viewrecord&amp;id=L645161056&amp;from=export</t>
  </si>
  <si>
    <t>https://catalyst.library.jhu.edu/openurl/01JHU_INST/01JHU_INST:JHU?sid=EMBASE&amp;sid=EMBASE&amp;issn=15523365&amp;id=doi:10.1177%2F03635465241271524&amp;atitle=Reduced+Knee+Flexion+Strength+18+Years+After+ACL+Reconstruction+With+Hamstring+Tendon+Versus+Patellar+Tendon&amp;stitle=Am+J+Sports+Med&amp;title=The+American+journal+of+sports+medicine&amp;volume=52&amp;issue=11&amp;spage=2750&amp;epage=2757&amp;aulast=Popovic&amp;aufirst=Marko&amp;auinit=M.&amp;aufull=Popovic+M.&amp;coden=&amp;isbn=&amp;pages=2750-2757&amp;date=2024&amp;auinit1=M&amp;auinitm=</t>
  </si>
  <si>
    <t>This record is sourced from MEDLINE/PubMed, a database of the U.S. National Library of Medicine</t>
  </si>
  <si>
    <t>Combined Intra- and Extra-articular ACL Reconstruction Versus Isolated Intra-articular ACL Reconstruction: Prospective Multicenter Randomized Clinical Trial With Hamstring Autograft</t>
  </si>
  <si>
    <t>clinicaltrials.gov (2024). Date of Publication: 3 Jun 2024</t>
  </si>
  <si>
    <t>Brief SummaryAbstract Introduction: Autologous hamstring tendons are the most commonly used grafts in ACL reconstruction worldwide. There are several ways to prepare the graft using these tendons. One can prioritize increasing the diameter of an isolated intra-articular graft or alternatively, using one graft limb as an extra-articular reinforcement via the anterolateral ligament (ALL) reconstruction, with both options aiming to reduce the re-rupture rate relative to traditional quadrupled hamstring grafts. Objective: To compare, through a prospective and randomized clinical trial, intra and extra-articular ACL reconstruction with ALL using hamstring autograft versus isolated anatomical ACL reconstruction using quintuple or sextuple hamstring autograft. Methods: 146 patients will be randomized into two groups of 73 patients. Patients included in the study will be evaluated preoperatively and after surgery at 3, 6, 9, 12, and 24 months postoperatively. The primary outcomes will be clinical failure rate and graft rerupture rate. Secondary outcomes will include functional capacity assessed through IKDC, Lysholm KOOS, and Tegner scores, pain using the VAS, as well as stability assessed by digital rolimeter and objective IKDC. Kinesiophobia and anxiety will be measured using the Tampa scale and Anxiety and Depression scale. Keywords: Rupture, Anterior Cruciate Ligament, Anterior Cruciate Ligament ReconstructionDetailed Description1. Introduction Arthroscopic reconstruction of the anterior cruciate ligament (ACL) is a well-established procedure known for its superiority over non-surgical treatment of this injury. However, failure rates following ACL reconstruction can vary from 3-6% in some patient cohorts up to 40% in patients at increased risk of re-injury Hamstring autograft are the most commonly used for ACL reconstruction. Considering that the final graft diameter inferior to 8mm is associated to increased failure rate, and that increased intra-articular diameter is considered a protective factor, the preparation of hamstring autografts influences the final outcome. Historically used quadrupled hamstring grafts have been progressively replaced in recent years by quintupled or sextupled graft configurations in order to increase final graft diameter. However, instead of using configurations that prioritize increasing the final diameter of hamstring autografts, ACL reconstruction associated with extra-articular reconstruction of the anterolateral ligament (ALL) may be performed using a portion of the gracilis, prioritizing the reconstruction of the ALL rather than increasing the intra-articular graft diameter. The association of the ALL serves two main functions: to decrease rotational instability, which can reach up to 40% in high-risk patients, and to mechanically protect the graft. In a comparative analysis pairing patients with similar characteristics, ACL + ALL reconstruction showed significantly lower rerupture rate compared to isolated ACL reconstruction: 3.5% versus 17.4%. In another comparative analysis also pairing patients for similarity, isolated ACL reconstruction with bone-patellar tendon-bone (BTB) autograft showed a 3x higher risk of rerupture compared to ACL + ALL reconstruction with hamstring autografts. Thus, the investigators hypothesize that extra-articular reinforcement with ALL reconstruction associated with anatomical ACL reconstruction with hamstring autograft may improve knee stability and help reduce the re-injury rate compared to isolated anatomical reconstruction with quintuple or sextuple hamstrings that prioritize graft diameter, following a well-defined criterion of indication for patients at increased risk of re-injury. In this way, the investigators intend to compare two methods through a randomized clinical trial: intra- and extra-articular reconstruction of the ACL with ALL with hamstring autograft versus isolated anatomical reconstruction of the ACL with quintuple or sextuple hamstring autograft. 2. Hypothesis Anatomical ACL reconstruction associated with extra-articular ALL reconstruction with hamstring autograft will present better functional results, better stability, lower clinical failure rate, and lower graft rupture rate when compared to isolated intra-articular anatomical ACL reconstruction with quintuple or sextuple hamstring autograft. 3. Objectives To compare the functional results, stability, clinical failure rate, and graft rupture rate of individuals undergoing anatomical ACL reconstruction associated with extra-articular ALL reconstruction with hamstring autograft compared to isolated intra-articular anatomical ACL reconstruction with quintuple or sextuple hamstring autograft. 4. Group Formation and Intervention Description After randomization, two groups will be formed: Group A: Anatomic ACL Reconstruction combined with Extra-Articular Reconstruction with Anterolateral Ligament. The single gracilis strand ALL graft will be passed deep to the iliotibial tract (and superficial to the lateral collateral ligament), entering the tibial tunnel from proximal to distal with its Ethibond terminal portion tied to the tibial terminal portion of the ACL Ethibond with the knee in extension and neutral rotation - without added fixation devices. Wound closure in a layered fashion concludes the procedure. Group B: Isolated Intra-Articular Anatomic ACL Reconstruction 5. Patient Evaluation Patients included in the study will be evaluated preoperatively and postoperatively at 3, 6, 9, 12, and 24 months. 6. Return to Sport Criteria All patients will be advised to return to sport only after meeting the following criteria: full range of motion, absence of moderate or severe pain, absence of clinical failure criteria, a minimum of 9 months post-operative period, and completion of FIFA 11+ training for prevention for at least 3 months. 7. Strategies to Improve Adherence and Monitoring Utilization of the Maia Health Tech platform (SÃ£o Paulo, SP, Brazil), a mobile data collection system with cloud storage and LGPD protection with data anonymization, also using WhatsApp for messaging. Pre-scheduled messages according to the evaluation timeline will assist in patient adherence and monitoring. 8. Circumstances Allowing the Termination of Blinding with Group Revelation Since blinding will occur only for the statistician and partially for data recorders, it will exceptionally be necessary to terminate the blinding. 9. Data Collection Part of the data will be collected in person by people who will have access to knowledge of which group each patient is in. Data will be recorded on the RedCap platform (Vanderbilt, Tennessee). Part of the data will be collected remotely, with blinding, using the Maia Health Tech Platform (SÃ£o Paulo, SP, Brazil), a mobile data collection system with cloud storage and HIPAA-compliant protection with data anonymization, also using WhatsApp for messaging, which will send the following questionnaires to patients: IKDC, Lysholm, KOOS, Tegner, and VAS. One of the investigators will send the patients' phone numbers to the platform so that it can send the data to be collected via WhatsApp through the patient's number. This data will be sent by the Maia Health Tech platform to the RedCap platform autonomously and pre-programmed, without anyone involved in the study intermediating. To reduce patient loss during follow-up, the current phone number of the patient, and the phone numbers of two additional close contacts will be collected in case the patient changes their number. The patient will also be instructed to inform the investigator responsible for registering the phone numbers of patients, as well as the Maia Health Tech platform, of any number changes. The collected data will be submitted to the RedCap platform. Only the investigators Marcos Vinicius Credidio, Enzo Salviato Mameri, and Thiago Bueno Sanchez will have access to this platform. On the RedCap platform, the name, ID, and date of birth of each patient will be included to avoid duplication of records. 10. Statistics A priori Power Analysis - Sample Calculation For the sample size calculation, the G\*Power 3.1.9.7 program (http://www.gpower.hhu.de/) was used. To compare if there is a difference in the frequencies of variables related to ACL graft rupture rate and clinical failure rate (dichotomous categorical variables) between the two groups of interest, the Chi-Square test was used. For this contingency table, the statistical power calculation considered the following criteria: significance level Î± of 5%, effect size of 25%, and degree of freedom (df) equal to 1. In a contingency table, the df is calculated as follows: (number of rows - 1) x (number of columns - 1). Considering that the study has two groups and that the variables related to the ACL graft rupture rate and clinical failure rate are dichotomous categorical variables, the calculated degree of freedom was 1. Thus, the sample size calculated for these analyses was 126 individuals. Anticipating a 15% loss of patients during follow-up, 145 patients will be needed to evaluate the graft rupture rate and clinical failure rate as primary outcomes. To compare if there is a functional difference through the scores obtained from the IKDC, Lysholm, and KOOS questionnaires (numerical variables) between the two study groups using the t-Student test (parametric) or Mann-Whitney test (non-parametric), using a significance level Î± of 5%, type Î² error probability of 20%, an observed power of 80% (1-Î²), and an effect size of 25%, the total calculated sample size was 506 patients. Anticipating a 15% loss of patients during follow-up, 581 patients will be needed to evaluate functional differences, initially considered secondary outcomes. 11. Statistical Analysis The analysis of quantitative variables will be performed with the calculation of mean, standard deviation, and 95% confidence interval for each estimated point. Secondary variables (categories) will be analyzed through absolute and relative frequency with a 95% confidence interval calculation. Data will be presented in bar graphs and tables for sample characteristics. 12. Interim Analysis and Guidelines for Study Termination A partial analysis will be performed halfway through recruitment with a minimum follow-up of 12 months, and the study will be interrupted if a 30% difference in the primary outcome is observed. The partial analysis will be conducted by a statistician not directly involved in the study, and the decision to terminate the study based on the above criteria will be made by the lead researcher. 13. General, Local Risks, and Adverse Effects The main risks, regardless of the surgical technique used, are as follows: anesthetic risk (e.g., inadvertent punctures, bleeding in venous or spinal anesthesia access, post-spinal anesthesia headache, urinary retention), surgical site infection, swelling and bruising in the knee joint, deep vein thrombosis, pulmonary embolism, neurovascular injuries, unsatisfactory results, and even death (a very rare occurrence but possible in any surgical or anesthetic procedure). The postoperative period presents situations of discomfort inherent to the recovery and rehabilitation of the research participant. Adverse effects will be considered any undesirable medical events that the study participant experiences. Range of motion will be evaluated with a goniometer to analyze its loss, and any other signs of clinical problems such as persistent effusion, surgical wound complications, and thrombosis will be documented. Serious adverse effects will be considered: unexpected surgical or medication effects resulting in death, life-threatening conditions, requiring hospitalization, resulting in permanent disability, or necessitating surgical intervention for resolution. 14. Benefits for the Patient The benefits to the participant, regardless of the surgical technique used, which are well-established in the literature and routinely performed by the interventionists, include the potential for improved function and reduced pain in the affected limb. Additionally, patients will undergo physical therapy rehabilitation and receive the necessary analgesic support for comfort and well-being. There will be no financial benefit for the patient. 15. Study Justification The study aims to elucidate the best method for preparing hamstring autograft grafts for ACL reconstruction using the same amount of implants in both studied techniques. As these tendons are the most commonly used grafts for ACL reconstruction worldwide, the study's results are expected to have a significant impact on the scientific community, aiding in the better treatment choice for patients. 16. Funding The study will be self-funded.</t>
  </si>
  <si>
    <t>LNCT06505525</t>
  </si>
  <si>
    <t>https://clinicaltrials.gov/study/NCT06505525</t>
  </si>
  <si>
    <t>https://www.embase.com/search/results?subaction=viewrecord&amp;id=LNCT06505525&amp;from=export</t>
  </si>
  <si>
    <t>Reconstruction of the Anterior Cruciated Ligament With Quadriceps Tendon Graft With Bone Plug vs Bone Patellar Tendon Bone Graft, a Randomized Clinical Controlled Essay With 2 Years of Follow up</t>
  </si>
  <si>
    <t>clinicaltrials.gov (2023). Date of Publication: 2 Dec 2023</t>
  </si>
  <si>
    <t>Brief SummaryBackground: Anterior cruciate ligament (ACL) injury is one of the most common orthopedic injuries worldwide. Currently, the use of the bone patellar tendon bone graft (BPTB) technique is considered the gold standard. The use of the quadriceps tendon graft (QT) has gained greater interest in recent years, this because with an adequate technique it is possible to obtain a biomechanically superior graft with fewer adverse events. The objective of this study is to compare the objective and subjective clinical results, as well as the presence or not of adverse events in ACL reconstruction with these 2 types of grafts in the medium term. Materials and methods: Controlled, longitudinal, prospective, randomized, double-blind clinical trial that will include patients of both sexes, between 15 and 55 years of age, with primary ACL injury who attend the outpatient clinic of the Sports Orthopedics Service. INRLGII arthroscopy between October 2023 and October 2025, prior informed consent. Graft selection will be done randomly 1:1 between bone-tendon-bone (BPTB) graft Vs. quadriceps tendon graft (QT) for ACL reconstruction surgery. The clinical evaluation of the patients Will be done by 2 blinded evaluators, through the objective measurement of KT-1000 and the use of subjective clinical knee scales, both preoperatively and at 3-6-12 and 24 months. The presence or absence of adverse events or complications will be documented during a minimum of 2 years of follow-up. Parametric and non-parametric statistical tests will be used depending on whether the distribution is normal or not, for dependent and independent groups, using the SPSS version 25 statistical program.Detailed DescriptionJUSTIFICATION ACL rupture is one of the most frequent and studied injuries in orthopedic literature. Various short-, medium- and long-term results of ACL reconstruction have been described in the international literature, as well as comparisons between different types of reconstruction techniques, grafts and complications. The vast majority of studies and clinical trials focus on BPTB and hamstrings tendon (HT), the former being considered by multiple authors as the gold standard for the management of these injuries despite its association with high donor site morbidity such as anterior knee pain, pain when kneeling and muscle weakness. With an adequate surgical technique for both graft harvesting and ACL reconstruction, the use of QT as a graft has reported good biomechanical and clinical results and even superior to other grafts. However, despite this, at present a precise justification has not been established that defines the advantages or disadvantages of choosing this graft over other popular techniques, which is why a randomized study was carried out in a center of high specialty and concentration of patients with this type of lesions will increase the level of scientific validation of the information available regarding the use of this graft. PROBLEM STATEMENT Is there a statistically significant difference between both techniques (BPTB and QT) at 2 years? Minimum follow-up regarding clinical evolution measured with IKDC, objective stability measured by KT-1000, and adverse events in primary ACL reconstruction? HYPOTHESIS In patients with anterior cruciate ligament (ACL) injury who undergo surgery reconstruction with the use of autologous quadriceps tendon with bone plug (QT) or bone patellar tendon bone (BPTB) graft, there will be no statistically significant difference between them, in the first 2 years of follow-up, in terms of clinical evolution measured by the International subjective scale Knee Documentation Committee (IKDC), nor objective stability measured by arthrometry with the KT1000 device; In addition, there will be fewer adverse events in patients in whom quadriceps tendon graft (QT) was used compared to bone patellar tendon bone graft (BPTB). GENERAL OBJECTIVE Observe if there is a statistically significant difference between both QT and BPTB grafts in terms of clinical evolution measured by IKDC, and objective stability measured by KT-1000, as well as reporting adverse events in both groups at 2 years of follow-up. MATERIAL AND METHODS Controlled, longitudinal, prospective, randomized, double-blind clinical trial that will include patients from the Luis Guillermo Ibarra-Ibarra National Rehabilitation Institute (INRLGII) of the Sports Orthopedics and Arthroscopy service, with primary ACL injury who undergo surgery with a consistent procedure in ACL reconstruction either with the use of bone patellar tendon bone graft or quadriceps tendon with bone pad in the period from October 2023 to October 2025. When a patient who requires ACL reconstruction surgery is scheduled in our service, if he meets With the inclusion criteria, you will be invited to participate in the study and if you accept and give your written informed consent you will be included in the study. The selection of the graft to be used will be carried out randomly with a box with a closed envelope, which contains the same number of envelopes with one or another type of graft, and the resulting option will be the way in which the type of graft is assigned. graft, which will not be disclosed to the patient during the period of the study. During the surgical procedure, the repair of concomitant injuries (meniscal or chondral) will be carried out, and at the end of the surgery, the surgeon will prepare the surgical report sheet detailing the findings found and the characteristics of the graft used in terms of thickness, length , and the presence or absence of incidents during surgery. Subjective clinical scales from IKDC, Kujala, Lysholm, Tegner, and KOOS will be applied. Measurement of the anterior translation of the tibia will be performed objectively with the use of the KT-1000 device. Subjective and objective clinical evaluations with KT-1000 will be carried out preoperatively and postoperatively at 3, 6, 12 and 24 months by 2 evaluators who will be blinded to the type of graft used in each patient, for which the anterior part of his knee will be covered with a 20cm long "micropore" band, so that the type of graft cannot be identified by the evaluator based on the area of the knee and surgical scar. Clinical follow-up of the patient will also be carried out, in the necessary weeks or months at the discretion of the surgeon or treating doctor, as is usually carried out in the clinical practice of the institute. Non-contrast magnetic resonance imaging (MRI) studies will be performed to evaluate the integrity of the ACL graft, by an orthopedic evaluator with experience in musculoskeletal imaging, blinded to the type of graft used, to classify it as: intact graft, graft with partial injury to its fibers or graft with complete injury to its fibers. Knee radiographs will also be performed (AP projection in standing position, lateral at 30Â° of flexion and axial of the patella at 40Â°), preoperatively and 12 and 24 months after surgery, which will be evaluated by an orthopedic evaluator with experience in musculoskeletal imaging. , blinded to the type of graft used, to evaluate the presence or absence of Osteoarthritis according to the Kellgren \&amp; Lawrence classification, in grades 0 to 4. All patients will be subjected to the same rehabilitation protocol during the first 3-4 months after surgery, as well as follow-up by sports medicine both pre-surgery and from the 3rd to 4th post-surgical month to receive the same muscle strengthening protocol established in our Institute for patients undergoing ACL reconstruction surgery. Keeping a record of the evaluation of preoperative and postoperative quadriceps strength in a standardized and objective manner through isokinetic evaluation with Cybex. The use of a mechanical knee brace locked to the operated on knee will not be required on a routine basis, unless there is some indication of its use by the treating surgeon to protect associated injuries that require it, and in that case the use of It will be for a period of no more than 6 weeks. Patients must perform assisted ambulation with the use of crutches for the first 2 weeks with partial support of the operated leg and will subsequently progress to full support, as long as there is no contraindication on the part of the treating surgeon in relation to the management of associated injuries. The presence or absence of adverse events or complications will be documented during 2 years of minimal monitoring. Parametric and non-parametric statistical tests will be used depending on whether the case has a normal distribution or not, for dependent and independent groups, of the related variables that are the result of periodic evaluations (3, 6, 12 and 24 months) of the same technique. either QT or BPTB, using the SPSS statistical program version 25.</t>
  </si>
  <si>
    <t>LNCT06189573</t>
  </si>
  <si>
    <t>https://clinicaltrials.gov/study/NCT06189573</t>
  </si>
  <si>
    <t>https://www.embase.com/search/results?subaction=viewrecord&amp;id=LNCT06189573&amp;from=export</t>
  </si>
  <si>
    <t>Augmentation of ACL Autograft Reconstruction With an Amnion Collagen Matrix Wrap and Bone Marrow Aspirate Concentrate: A Pilot Randomized Controlled Trial With 2-Year Follow-up</t>
  </si>
  <si>
    <t>Anz A.W., Jordan S.E., Ostrander R.V., Branch E.A., Denney T.S., Cohen A., Andrews J.R.</t>
  </si>
  <si>
    <t>(Anz A.W., anz.adam.w@gmail.com; Jordan S.E.; Ostrander R.V.; Branch E.A.; Andrews J.R.) Department of Research, Andrews Institute Center for Regenerative Medicine, Andrews Research &amp; Education Foundation, Gulf Breeze, FL, United States. , (Denney T.S.) Department of Electrical and Computer Engineering, Auburn University, Auburn, AL, United States. , (Cohen A.) Department of Mathematics and Statistics, University of West Florida, Pensacola, FL, United States.</t>
  </si>
  <si>
    <t>A.W. Anz, Department of Research, Andrews Institute Center for Regenerative Medicine, Andrews Research &amp; Education Foundation, Gulf Breeze, FL, United States. Email: anz.adam.w@gmail.com</t>
  </si>
  <si>
    <t>Orthopaedic Journal of Sports Medicine (2023) 11:11. Date of Publication: 1 Nov 2023</t>
  </si>
  <si>
    <t>Background: 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 Purpose: To evaluate the safety and efficacy of wrapping an ACL autograft with an amnion collagen matrix and injecting bone marrow aspirate concentrate (BMAC), quantify the cellular content of the BMAC samples, and assess 2-year postoperative patient-reported outcomes. Study Design: Randomized controlled trial; Level of evidence, 2. Methods: A total of 40 patients aged 18 to 35 years who were scheduled to undergo ACLR were enrolled in a prospective single-blinded randomized controlled trial with 2 arms based on graft type: boneâ€“patellar tendonâ€“bone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 Results: No significant differences were found at any time point between the intervention and control groups for BTB T2* (95% CI, â€“1.89 to 0.63; P =.31), BTB graft volume (95% CI, â€“606 to 876.1; P =.71), HS T2* (95% CI, â€“2.17 to 0.39; P =.162), or HS graft volume (95% CI, â€“11,141.1 to 351.5; P =.28). No significant differences were observed between the intervention and control groups of either graft type on any patient-reported outcome measure. No adverse events were reported after a 2-year follow-up. Conclusion: 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 Registration: NCT03294759 (ClinicalTrials.gov identifier).</t>
  </si>
  <si>
    <t>collagen (9007-34-5)</t>
  </si>
  <si>
    <t>ClinicalTrials.gov (NCT03294759)</t>
  </si>
  <si>
    <t>L2026647031</t>
  </si>
  <si>
    <t>10.1177/23259671231210035</t>
  </si>
  <si>
    <t>http://dx.doi.org/10.1177/23259671231210035</t>
  </si>
  <si>
    <t>https://www.embase.com/search/results?subaction=viewrecord&amp;id=L2026647031&amp;from=export</t>
  </si>
  <si>
    <t>https://catalyst.library.jhu.edu/openurl/01JHU_INST/01JHU_INST:JHU?sid=EMBASE&amp;sid=EMBASE&amp;issn=23259671&amp;id=doi:10.1177%2F23259671231210035&amp;atitle=Augmentation+of+ACL+Autograft+Reconstruction+With+an+Amnion+Collagen+Matrix+Wrap+and+Bone+Marrow+Aspirate+Concentrate%3A+A+Pilot+Randomized+Controlled+Trial+With+2-Year+Follow-up&amp;stitle=Orthop.+J.+Sports+Med.&amp;title=Orthopaedic+Journal+of+Sports+Medicine&amp;volume=11&amp;issue=11&amp;spage=&amp;epage=&amp;aulast=Anz&amp;aufirst=Adam+W.&amp;auinit=A.W.&amp;aufull=Anz+A.W.&amp;coden=&amp;isbn=&amp;pages=-&amp;date=2023&amp;auinit1=A&amp;auinitm=W</t>
  </si>
  <si>
    <t>Copyright 2023 Elsevier B.V., All rights reserved.</t>
  </si>
  <si>
    <t>ObradoviÄ‡ M., NinkoviÄ‡ S., GvozdenoviÄ‡ N., ToÅ¡iÄ‡ M., Milinkov M., DuliÄ‡ O.</t>
  </si>
  <si>
    <t>(ObradoviÄ‡ M.; NinkoviÄ‡ S.; GvozdenoviÄ‡ N.; ToÅ¡iÄ‡ M.; Milinkov M.; DuliÄ‡ O.) Clinic for Orthopedic Surgery and Traumatology, Clinical Center of Vojvodina, Novi Sad, Serbia. , (ObradoviÄ‡ M.; NinkoviÄ‡ S.; GvozdenoviÄ‡ N.; ToÅ¡iÄ‡ M.; Milinkov M.; DuliÄ‡ O.) Faculty of Medicine, University of Novi Sad, Novi Sad, Serbia.</t>
  </si>
  <si>
    <t>Medicina (Kaunas, Lithuania) (2023) 59:10. Date of Publication: 3 Oct 2023</t>
  </si>
  <si>
    <t>Medicina (Kaunas, Lithuania)</t>
  </si>
  <si>
    <t>1648-9144 (electronic)</t>
  </si>
  <si>
    <t>Background and Objectives: The study addresses a significant limitation in applying bone-patellar tendon-bone (BTB) grafts in anterior cruciate ligament (ACL) surgery. By exploring the tubularization of grafts, the study extends the understanding of this surgical technique. The dual approach of the study-focusing on biomechanical properties using an animal model and postoperative outcomes in humans-offers a comprehensive perspective. Materials and Methods: The experimental cohort encompassed ten pairs of fresh porcine bone-tendon-bone grafts. One graft in each pair underwent modification through sutures that transformed the flat graft into a cylindrical structure. Testing determined the force required for the modified graft to rupture mechanically, expressed as N/mm2, compared to conventionally prepared bone-tendon-bone grafts. The second phase of the research involved a prospective randomized clinical trial comprising 120 patients undergoing operative ACL reconstruction. For half the cases, grafts were tubularized using a random selection process. Clinical evaluations preoperatively and 12 months postoperatively employed the Tegner, Lysholm, and IKDC scoring scales for knee assessment. Results: Experiments showed that ligaments made using the tubularized surgical technique have statistically significantly higher values of measured force and higher maximum elongation values than ligaments made using the classical method. The clinical study concluded that there was no significant difference between the two groups of patients in the average score on the Tegner, Lysholm, and IKDC scales before and after surgery. Conclusions: The study results showed that suturing the graft does not negatively affect its biomechanical properties, and tubularization significantly increases the values of force required to cause rupture and the values of maximum elongation during rupture. Given the possibility of the one-year follow-up period being insufficient, future investigations should extend this period to acquire objective functional insights post-surgery.</t>
  </si>
  <si>
    <t>L642611921</t>
  </si>
  <si>
    <t>http://dx.doi.org/10.3390/medicina59101764</t>
  </si>
  <si>
    <t>https://www.embase.com/search/results?subaction=viewrecord&amp;id=L642611921&amp;from=export</t>
  </si>
  <si>
    <t>https://catalyst.library.jhu.edu/openurl/01JHU_INST/01JHU_INST:JHU?sid=EMBASE&amp;sid=EMBASE&amp;issn=16489144&amp;id=doi:10.3390%2Fmedicina59101764&amp;atitle=Tubularization+of+Bone-Tendon-Bone+Grafts%3A+Effects+on+Mechanical+Strength+and+Postoperative+Knee+Stability+in+Anterior+Cruciate+Ligament+Reconstruction&amp;stitle=Medicina+%28Kaunas%29&amp;title=Medicina+%28Kaunas%2C+Lithuania%29&amp;volume=59&amp;issue=10&amp;spage=&amp;epage=&amp;aulast=Obradovi%C4%87&amp;aufirst=Mirko&amp;auinit=M.&amp;aufull=Obradovi%C4%87+M.&amp;coden=&amp;isbn=&amp;pages=-&amp;date=2023&amp;auinit1=M&amp;auinitm=</t>
  </si>
  <si>
    <t>Comparison of Infection Rate Between Vancomycin and Gentamycin for Intraoperative Presoaking of Graft in Primary Anterior Cruciate Ligament Reconstruction ( Randomized Controlled Trial )</t>
  </si>
  <si>
    <t>clinicaltrials.gov (2023). Date of Publication: 16 Sep 2023</t>
  </si>
  <si>
    <t>Brief SummaryThe purpose of the study is to compare the efficacy of Vancomycin versus Gentamycin , in reducing infection rates following Anterior Cruciate Ligament Reconstruction .Detailed DescriptionThere has been a marked increase in the number of cases of anterior cruciate ligament reconstruction (ACLR) worldwide. ACLR helps in the restoration of knee instability. But infection following ACLR is a big complication(1) .It may require multiple reoperations in the form of irrigation and debridement, prolonged use of antibiotics, removal of the graft, and sometimes graft revision surgery. It also has increases the risk of early osteoarthritis, and causes graft failure (2,3) . There are a number of contributing factors that can lead to infection, like the presence of comorbid conditions like diabetes or concomitant open surgical procedures, Use of larger incisions, longer tourniquet time, and use of drain are other contributing factors(4) .Some studies have reported increased chances of infection with hamstring autografts in comparison to patellar tendon autografts and drain application(5,6). The harvested graft is prone to infection from skin flora, and an adequate concentration of antibiotics to inhibit bacterial growth can be achieved with the local application of antibiotics over the graft(7) .The most common pathogen after ACLR is staphylococci, accounting for 90% of cases of septic arthritis (8,9). Vancomycin is commonly used locally in the surgery in Orthopaedics because of the relative safety for local use in high dosis, and bactericidal action against organisms like Staphylococcus aureus (10) on the other hand there are concerns about its use because of antibiotic resistance, high cost, and graft toxicity(11) . Several studies evaluated the effect of gentamicin solution on ACLR(7). Gentamycin offers an advantage in terms of activity against staphylococci, Gram-negative pathogens, and pseudomonas, along with being cost-effective(7). The objective of the present study is to compare the infection rate with pre-soaking of harvested grafts in Vancomycin vesus Gentamycin during ACLR.</t>
  </si>
  <si>
    <t>LNCT06050785</t>
  </si>
  <si>
    <t>https://clinicaltrials.gov/study/NCT06050785</t>
  </si>
  <si>
    <t>https://www.embase.com/search/results?subaction=viewrecord&amp;id=LNCT06050785&amp;from=export</t>
  </si>
  <si>
    <t>Comparison of Single-bundle Versus Double-bundle Anterior Cruciate Ligament Reconstruction: Short-term and Long-term Function and Imaging Results</t>
  </si>
  <si>
    <t>clinicaltrials.gov (2023). Date of Publication: 27 Jul 2023</t>
  </si>
  <si>
    <t>Brief SummaryThe goal of this retrospective randomized study is to compare two surgical techniques (single vs. double bundle) of ACL (anterior cruciate ligament) reconstructions in participants with rupture of anterior cruciate ligament without major other injuries of the injured knee (exclusion criteria defined). The main question it aims to answer are: * which surgery gives better outcome in patients (short- and long-term results)? * are there any sings of osteoarthritis in an injured knee compared to a healthy knee? Participants will be invited to our clinic after 15 years to do clinical and functional exams with x-Ray and magnetic resonance imaging (MRI) of both knees. Subjective exams with different scores (Tegner score, Lysholm score..) were also done. The same exam protocol for participant was used again after two years and fifteen years since surgery.Detailed DescriptionDouble bundle (DB) ACL reconstruction has gained popularity in the last few years. Biomechanical and intra - operative studies have shown better antero - posterior and rotational stability after DB vs. single bundle (SB) reconstruction. However, only few studies are found in the literature that have evaluated and compared clinical results between SB and DB ACL reconstruction. All reported studies used hamstrings in both DB and SB techniques. No studies were found that used patellar tendon autograft for the SB. The purpose of the present study was therefore to evaluate and compare the clinical results of DB hamstring and SB patellar tendon ACL reconstruction techniques. A total of 40 patients (29 male and 11 female, average (SD) age 36) were randomized during routine surgery (2 years after the surgery) into either double bundle (DB) or single bundle (SB) group. Patients with combined (medial, lateral or posterior) ligamentous injuries were not included in the study. ACL reconstruction in DB group was done by four tunnel hamstring technique with EndoButton femoral and cancellous screw tibial fixation. In the SB group patellar tendon autograft was fixed with titanium interference screws. The same postoperative rehabilitation protocols were used for both groups. Subjective evaluation comprised IKDC (International Knee Documentation Committee) subjective score, Tegner activity and Lysholm scores. Objective evaluation was done by the IKDC 2000 knee examination protocol. Antero - posterior stability was measured by KT 2000 (knee arthrometer) and by Rollimeter. One leg hop test was performed to assess the functional results. Isokinetic thigh muscle strength measurements on Biodex isokinetic dynamometer were performed. The same protocol was performed for the clinical exams after 15 years since surgery. A total of 30 patients were examen. Investigators also did imaging of both knees (X-ray and MRI) for checking the sings of osteoarthritis.</t>
  </si>
  <si>
    <t>LNCT06303726</t>
  </si>
  <si>
    <t>https://clinicaltrials.gov/study/NCT06303726</t>
  </si>
  <si>
    <t>https://www.embase.com/search/results?subaction=viewrecord&amp;id=LNCT06303726&amp;from=export</t>
  </si>
  <si>
    <t>Reduced Knee Flexion Strength 18 Years After ACL Reconstruction in Hamstring Group</t>
  </si>
  <si>
    <t>clinicaltrials.gov (2023). Date of Publication: 17 Apr 2023</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</si>
  <si>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</si>
  <si>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LNCT05876013</t>
  </si>
  <si>
    <t>https://clinicaltrials.gov/study/NCT05876013</t>
  </si>
  <si>
    <t>https://www.embase.com/search/results?subaction=viewrecord&amp;id=LNCT05876013&amp;from=export</t>
  </si>
  <si>
    <t>To Compare the Functional Outcome of Arthroscopic Reconstruction of Anterior Cruciate Ligament Using Patellar Tendon Bone Grafts v/s Hamstrings Graft: A Multicentric Study</t>
  </si>
  <si>
    <t>Meena V.K., Lakhotia D., Nama K.G., Joshi S.</t>
  </si>
  <si>
    <t>(Meena V.K.) Department of Orthopedics, Government Medical College, Rajasthan, Dungarpur, India. , (Lakhotia D.) Department of Orthopedics, Institute for Medical Sciences and Research Centre, Jaipur National University, Rajasthan, Jaipur, India. , (Nama K.G.) Department of Orthopedics, Government Medical College, Rajasthan, Kota, India. , (Joshi S., drjoshisachin@gmail.com) Department of Orthopedics, Government Medical College, Rajasthan, Kota, India.</t>
  </si>
  <si>
    <t>S. Joshi, Department of Orthopedics, Government Medical College, Rajasthan, Kota, India. Email: drjoshisachin@gmail.com</t>
  </si>
  <si>
    <t>International Journal of Life Sciences Biotechnology and Pharma Research (2023) 12:2 (2277-2281). Date of Publication: 1 Apr 2023</t>
  </si>
  <si>
    <t>International Journal of Life Sciences Biotechnology and Pharma Research</t>
  </si>
  <si>
    <t>2250-3137 (electronic),2977-0122</t>
  </si>
  <si>
    <t>Background: Arthroscopic reconstruction of the injured ACL has become thegold standard.The aim of this study to compare the functional outcome of arthroscopic reconstruction of anterior cruciate ligament using patellar tendon bone grafts v/s hamstrings graft at multicentre tertiary care center. Materials&amp; Methods: This prospective randomized controlled trial study was conducted at Orthopaedic Department in multi center tertiary care hospital in Rajasthan during one year period. A total of 60 patients with age above 20 years had unilateral anterior cruciate ligament rupture were enrolled.All sixty patients were divided into two groups; Group I consist of 30 patients those received patellar tendon graft by open technique and Group II consisted of 30 patients who received semitendinosus and gracilis quadruple tendon graft arthroscopically. Anterior kneeling pain during pray or labor was examined between both groups at six months, 1 year, and at the final follow-up. Patientâ€™s satisfaction and VAS score were recorded at the final follow-up. All the data were analyzed by SPSS 24. Chi-square test and student tâ€™ test was applied to compare the outcomes with a p-value of&lt;0.05 considered statistically significant. Results: In Group I, patients presented with a mean age of 39.24Â±10.74years while in group 2 mean age was 38.78Â±11.56years. In group I and Group II, preoperative Lysholm Score were 62.58Â±4.45 and 63.46Â±4.56, IKDC was 3.65Â±0.28 and 3.82Â±0.55. At final follow-up we found no significant difference in term of Lysholm score, IKDC score and painscore was 88.24Â±2.07 Vs 89.68Â±1.42 (p&gt;0.05), 1.86Â±0.66 Vs1.28Â±0.35 (p&gt;0.05) and 7.87Â±0.62 vs 8.03Â±0.24 [p&gt;0.05]. When kneeling pain was assessed, 10, 6, and 2patients in group I had kneeling pain during working or praying at 6months, 1year, and at the final follow-up respectively, while in group II, 11, 6, and 1patient had kneeling pain at 6 months, 1 year, and at the final follow-up respectively. Conclusion: We concluded that both techniques patellar tendon and hamstrings autografts are safe and effective treatment modalities for anterior cruciate ligament reconstruction.</t>
  </si>
  <si>
    <t>L2039490534</t>
  </si>
  <si>
    <t>https://www.embase.com/search/results?subaction=viewrecord&amp;id=L2039490534&amp;from=export</t>
  </si>
  <si>
    <t>https://catalyst.library.jhu.edu/openurl/01JHU_INST/01JHU_INST:JHU?sid=EMBASE&amp;sid=EMBASE&amp;issn=22503137&amp;id=doi:&amp;atitle=To+Compare+the+Functional+Outcome+of+Arthroscopic+Reconstruction+of+Anterior+Cruciate+Ligament+Using+Patellar+Tendon+Bone+Grafts+v%2Fs+Hamstrings+Graft%3A+A+Multicentric+Study&amp;stitle=Int.+J.+Life+Sci.+Biotechnol.+Pharma+Res.&amp;title=International+Journal+of+Life+Sciences+Biotechnology+and+Pharma+Research&amp;volume=12&amp;issue=2&amp;spage=2277&amp;epage=2281&amp;aulast=Meena&amp;aufirst=Vijay+Kumar&amp;auinit=V.K.&amp;aufull=Meena+V.K.&amp;coden=&amp;isbn=&amp;pages=2277-2281&amp;date=2023&amp;auinit1=V&amp;auinitm=K</t>
  </si>
  <si>
    <t>Patient Decision Making in Anterior Cruciate Ligament Reconstruction: A Discrete Choice Experiment Examining Graft Preference</t>
  </si>
  <si>
    <t>Sonnier J.H., Paul R.W., Sando H.E., Hall A.T., Tjoumakaris F.P., Cohen S.B., Freedman K.B.</t>
  </si>
  <si>
    <t>(Sonnier J.H.; Paul R.W.; Hall A.T.; Cohen S.B.; Freedman K.B., kevin.freedman@rothmanortho.com) Rothman Orthopaedic Institute, Philadelphia, PA, United States. , (Sando H.E.) Drexel University College of Medicine, Philadelphia, PA, United States. , (Tjoumakaris F.P.) Rothman Orthopaedic Institute, Egg Harbor Township, NJ, United States.</t>
  </si>
  <si>
    <t>K.B. Freedman, Rothman Orthopaedic Institute, Philadelphia, PA, United States. Email: kevin.freedman@rothmanortho.com</t>
  </si>
  <si>
    <t>Orthopaedic Journal of Sports Medicine (2023) 11:2. Date of Publication: 1 Feb 2023</t>
  </si>
  <si>
    <t>Background: Boneâ€“patellar tendonâ€“bone (BTB) and hamstring autografts are the most common grafts used for anterior cruciate ligament (ACL) reconstruction. Patient preferences should be accounted for as a part of shared decision making. Purpose/Hypothesis: The purpose of this study was to perform a discrete choice experiment that evaluated patient preferences toward ACL autografts. We hypothesized that there would be no difference in patient preferences between groups. Study Design: Cross-sectional study. Methods: Patients aged 18 to 25 years who underwent shoulder arthroscopy at a single institution between 2013 and 2019 were included in the study as a proxy for healthy controls. Patients with a history of ACL tear were excluded. A discrete choice experiment was developed from a literature search and used the following data points as they pertain to BTB or hamstring autograft: risk of developing a significant complication, return-to-play rate, risk of anterior knee pain with kneeling, and risk of additional surgery due to graft failure. Included patients completed a custom survey in which they were asked to choose between â€œsurgery Aâ€_x009d_ (hamstring) and â€œsurgery Bâ€_x009d_ (BTB). Results: A total of 107 participants were included in the analysis. Of these participants, 39 (36.5%) chose surgery A (hamstring) and 68 (63.6%) chose surgery B (BTB). When comparing the hamstring group with the BTB group, there was no significant difference in age, sex, body mass index, race, level of education, or employment status. However, 80.5% of self-reported athletes preferred BTB (P =.008). When controlling for age, sex, and body mass index, patients in the BTB group were more likely to rate return to sport (risk ratio [RR] = 1.49 [95% CI, 1.18-1.98]; P =.001) and the risk of requiring additional surgery due to graft failure (RR = 1.26 [95% CI, 1.02-1.58]; P =.037) as highly important. Conversely, they were less likely than patients in the hamstring group to rate pain while kneeling (RR = 0.65 [95% CI, 0.98-1.05]; P &lt;.001) and complication risk (RR = 0.75 [95% CI, 0.59-0.94]; P =.013) as important. Conclusion: The study hypothesis was rejected, as patient values did affect ACL graft choice preference. Utilizing patient-selected values in a quantifiable way can benefit the shared decision-making process before ACL reconstruction.</t>
  </si>
  <si>
    <t>L2021343972</t>
  </si>
  <si>
    <t>10.1177/23259671221144983</t>
  </si>
  <si>
    <t>http://dx.doi.org/10.1177/23259671221144983</t>
  </si>
  <si>
    <t>https://www.embase.com/search/results?subaction=viewrecord&amp;id=L2021343972&amp;from=export</t>
  </si>
  <si>
    <t>https://catalyst.library.jhu.edu/openurl/01JHU_INST/01JHU_INST:JHU?sid=EMBASE&amp;sid=EMBASE&amp;issn=23259671&amp;id=doi:10.1177%2F23259671221144983&amp;atitle=Patient+Decision+Making+in+Anterior+Cruciate+Ligament+Reconstruction%3A+A+Discrete+Choice+Experiment+Examining+Graft+Preference&amp;stitle=Orthop.+J.+Sports+Med.&amp;title=Orthopaedic+Journal+of+Sports+Medicine&amp;volume=11&amp;issue=2&amp;spage=&amp;epage=&amp;aulast=Sonnier&amp;aufirst=John+Hayden&amp;auinit=J.H.&amp;aufull=Sonnier+J.H.&amp;coden=&amp;isbn=&amp;pages=-&amp;date=2023&amp;auinit1=J&amp;auinitm=H</t>
  </si>
  <si>
    <t>Anterior Cruciate Ligament Reconstruction With Quadriceps Tendon Bone Autograft</t>
  </si>
  <si>
    <t>clinicaltrials.gov (2023). Date of Publication: 4 Jan 2023</t>
  </si>
  <si>
    <t>Brief SummaryAnterior cruciate ligament injuries are one of the most common sports knee injuries. Their effect on the knee joint can be detrimental with patients experiencing instability and progressive damage of the intraarticular structures. Therefore, anterior cruciate ligament reconstruction (ACLR) is often indicated. Multiple graft option exist, including autograft, allograft and xenograft tissues, with autografts being considered as a first-choice source of reconstructed ligament in most cases. Two most common harvested autografts are hamstring tendons (semitendinosus or semitendinosus and gracilis tendons; ST or STG) and patellar tendon with two bone blocks (bone - patellar tendon - bone; BPTB). However, in the recent literature there is an increasing trend towards use of quadriceps tendon autograft (QT). Multiple techniques of harvesting this graft were described, including both partial and complete thickness of the tendon. Another issue is whether bone block from the upper pole of the patella is harvested along with the soft tissues (quadriceps tendon bone graft, QTB). The aim of this study is to add to the body of knowledge concerning full-thickness quadriceps tendon-bone autograft (QTB) used in ACLR. The primary outcome consists of The International Knee Documentation Committee Questionnaire (IKDC), the Knee injury and Osteoarthritis Outcome Score (KOOS) and retear rate.</t>
  </si>
  <si>
    <t>LNCT05673356</t>
  </si>
  <si>
    <t>https://clinicaltrials.gov/study/NCT05673356</t>
  </si>
  <si>
    <t>https://www.embase.com/search/results?subaction=viewrecord&amp;id=LNCT05673356&amp;from=export</t>
  </si>
  <si>
    <t>A Randomized, Single Blinded Study of the Augmentation of Anterior Cruciate Ligament Reconstruction Using Stump-Derived Mesenchymal Stem Cells Versus Standard of Care Anterior Cruciate Ligament Reconstruction</t>
  </si>
  <si>
    <t>clinicaltrials.gov (2022). Date of Publication: 6 Oct 2022</t>
  </si>
  <si>
    <t>Brief SummaryThe goal of this observational study is to compare patient outcomes for reconstructive surgery of ACL tears. This study utilizes two randomized groups, one being the control group that receives standard ACL reconstructive surgery, while the other is the test group at will receive an injection of stem cells taken from elsewhere within the body. The main objectives are to determine the usefulness of stem cells as a cost-effective implant in reconstructive surgery and to determine if the stem cells provide more optimized healing outcomes. Participants will: * Receive ACL reconstructive surgery as normal * One-half of the participants will receive stem cells at the repair site as the test group * All participants will have 3, 6, 9, 12, 18, and 24 month followups to chart their recovery progress Thus, the outcomes of the group receiving stem cell injections will be compared directly with the outcomes of the standard ACL reconstructive care group.Detailed DescriptionThe primary objective of this study is to develop a cost-effective, autologous biologic augmentation technique for ACL reconstruction. The technique involves encasing MSCs harvested from the patient's ACL stump tissue with the GraftNet device in a porous bovine collagen matrix carrier around the ACL autograft. This study is key to determining a reproducible and effective autologous biologic augmentation technique that can be utilized at the point-of-care during ACL reconstruction surgery. FTA results as well as measurements from MRI evaluation will be recorded and utilized to quantify the healing and ACL graft maturation processes. MRI evaluation will be performed in accordance with accepted ACL imaging protocols. This data will then be compared to FTA results and MRI evaluation from patients who did not undergo the bioaugmentation technique for ACL reconstruction. Study design will be a prospective, blinded randomized, single center trial. Patients at the Andrews Institute who meet the inclusion criteria will have the study explained in detail and informed consent will be obtained as outlined below. Fifty patients will be blinded, randomized, and undergo a Bone-Patellar Tendon-Bone (BTB) ACL reconstruction surgery. Twenty-Five randomized patients will receive standard of care (SOC) BTB ACL reconstruction surgery. Twenty-Five randomized patients will receive BTB ACL reconstruction surgery augmented with the patient's ACL stump tissue harvested with the GraftNet device and a porous bovine collagen matrix carrier around the ACL autograft. At each follow up visit after ACL reconstruction, patient reported outcome measures (PROMs) will be collected by the research team to assist in assessing the overall health and rehabilitation of each participant. The following patient reported outcomes will be collected in written or electronic format after informed consent has been obtained from each participant:Tampa Scale of Kinesiophobia, International Knee Documentation Committee Subjective Knee Evaluation Form (IKDC), Patient Reported Outcome Measurements Information System (PROMIS), Single Assessment Numeric Evaluation (SANE), and Magnetic Resonance Imaging (MRI).</t>
  </si>
  <si>
    <t>LNCT05582226</t>
  </si>
  <si>
    <t>https://clinicaltrials.gov/study/NCT05582226</t>
  </si>
  <si>
    <t>https://www.embase.com/search/results?subaction=viewrecord&amp;id=LNCT05582226&amp;from=export</t>
  </si>
  <si>
    <t>All-Inside Single-Bundle for ACL Reconstruction With Full Thickness of the Peroneus Longus Tendon Compared to the Six-strand-hamstring Autograft</t>
  </si>
  <si>
    <t>clinicaltrials.gov (2022). Date of Publication: 27 Sep 2022</t>
  </si>
  <si>
    <t>Brief SummaryAnterior cruciate ligament reconstruction is the current gold standard for restoring knee stability. Hamstring tendon (HT) autograft is the most popular graft choice for ACL reconstruction worldwide. Other autografts include bone-patellar tendon-bone and quadriceps tendon, yet no globally accepted gold standard of graft choice exists for use in ACL reconstruction. The peroneus longus tendon (PLT) has been reported as an autograft choice for ligament reconstruction\[2\], but there is little information regarding the clinical outcomes using the peroneus longus tendon (AHPLT) compared with hamstring tendon autograft. Therefore, we are interested in investigating whether the clinical outcomes of the PLT autograft were equivalent to the Six-strand- hamstring tendon autograft.Detailed Descriptionprospective randomized clinical study to compare the results of all-inside anatomical ACL reconstruction using the AHPLT and using Six-strand- tendon autograft. Randomization will be done with inclusion criteria of primary ACL rupture in adult patients and exclusion criteria of serious osteoarthritis, revision cases, and multiple ligament injuries. Preoperatively, physical examinations including the anterior drawer test and the pivot shift Test were performed to judge the stability of the knee joint. All of the patients will be evaluated with an International Knee Documentation Committee (IKDC) 2000 subjective score, a Visual Analogue Scale (VAS), and an American Orthopedic Foot and Ankle Score (AOFAS).a knee joint arthrometers was also used with knee flexion of 30Â° at 134 N. All of the tests will be performed three times by another experienced orthopedic surgeon who is not involved in the surgery, and the mean of the three measurements will be taken as the final value.</t>
  </si>
  <si>
    <t>LNCT05580133</t>
  </si>
  <si>
    <t>https://clinicaltrials.gov/study/NCT05580133</t>
  </si>
  <si>
    <t>https://www.embase.com/search/results?subaction=viewrecord&amp;id=LNCT05580133&amp;from=export</t>
  </si>
  <si>
    <t>All Soft Tissue Quadriceps Tendon Autograft Versus Patellar Tendon Autograft in Anterior Cruciate Ligament Reconstruction: a Randomized Controlled Trial</t>
  </si>
  <si>
    <t>clinicaltrials.gov (2022). Date of Publication: 28 Jun 2022</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</si>
  <si>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</si>
  <si>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LNCT05461326</t>
  </si>
  <si>
    <t>https://clinicaltrials.gov/study/NCT05461326</t>
  </si>
  <si>
    <t>https://www.embase.com/search/results?subaction=viewrecord&amp;id=LNCT05461326&amp;from=export</t>
  </si>
  <si>
    <t>Chahal J., Whelan D.B., Hoit G., Theodoropoulos J., Ajrawat P., Betsch M., Docter S., Dwyer T.</t>
  </si>
  <si>
    <t>(Chahal J., jchahal@utosm.com; Whelan D.B.; Hoit G.; Theodoropoulos J.; Ajrawat P.; Betsch M.; Docter S.; Dwyer T.) University of Toronto Orthopaedics Sports Medicine, Woman's College Hospital, University of Toronto, Toronto, ON, Canada.</t>
  </si>
  <si>
    <t>J. Chahal, Women's College Hospital, 7430 â€“ 76 Grenville St, Toronto, ON, Canada. Email: jchahal@utosm.com</t>
  </si>
  <si>
    <t>Arthroscopy - Journal of Arthroscopic and Related Surgery (2022) 38:6 (1969-1977). Date of Publication: 1 Jun 2022</t>
  </si>
  <si>
    <t>Arthroscopy - Journal of Arthroscopic and Related Surgery</t>
  </si>
  <si>
    <t>1526-3231 (electronic),0749-8063</t>
  </si>
  <si>
    <t>W.B. Saunders</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</si>
  <si>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0Â° (n = 85) or 30Â°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0Â° or 30Â° did not have a significant effect on KOOS scores at 2 years after ACLR. Patients whose graft was fixed at a knee flexion angle of 0Â° had greater scores on the MAS (mean 9.6 95% confidence interval [CI] 8.5 to 10.6, versus 8.0, 95% CI 6.9 to 9.1; P =.04), and a greater proportion achieved the minimal clinical important difference (MCID) for the KOOS pain subdomain (94% versus 81%; P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0Â° and 30Â°. Patient fixed in full extension did demonstrate higher activity scores at 2 years after surgery and a greater likelihood of achieving the MCID for KOOS pain. Level of Evidence: II, prospective randomized trial</t>
  </si>
  <si>
    <t>L2016514113</t>
  </si>
  <si>
    <t>http://dx.doi.org/10.1016/j.arthro.2021.12.018</t>
  </si>
  <si>
    <t>https://www.embase.com/search/results?subaction=viewrecord&amp;id=L2016514113&amp;from=export</t>
  </si>
  <si>
    <t>https://catalyst.library.jhu.edu/openurl/01JHU_INST/01JHU_INST:JHU?sid=EMBASE&amp;sid=EMBASE&amp;issn=15263231&amp;id=doi:10.1016%2Fj.arthro.2021.12.018&amp;atitle=Anterior+Cruciate+Ligament+Patellar+Tendon+Autograft+Fixation+at+0%C2%B0+Versus+30%C2%B0+Results+in+Improved+Activity+Scores+and+a+Greater+Proportion+of+Patients+Achieving+the+Minimal+Clinical+Important+Difference+For+Knee+Injury+and+Osteoarthritis+Outcome+Score+Pain%3A+A+Randomized+Controlled+Trial&amp;stitle=Arthroscopy+J.+Arthroscopic+Relat.+Surg.&amp;title=Arthroscopy+-+Journal+of+Arthroscopic+and+Related+Surgery&amp;volume=38&amp;issue=6&amp;spage=1969&amp;epage=1977&amp;aulast=Chahal&amp;aufirst=Jaskarndip&amp;auinit=J.&amp;aufull=Chahal+J.&amp;coden=ARTHE&amp;isbn=&amp;pages=1969-1977&amp;date=2022&amp;auinit1=J&amp;auinitm=</t>
  </si>
  <si>
    <t>Copyright 2022 Elsevier B.V., All rights reserved.</t>
  </si>
  <si>
    <t>de Souza Borges J.H., Oliveira M., Junior P.L., de Souza Machado R., Lima R., Ramos L.A., Cohen M.</t>
  </si>
  <si>
    <t>(de Souza Borges J.H., drjhumberto@gmail.com; Oliveira M.; Junior P.L.; de Souza Machado R.; Lima R.) Institute of Research and Teaching, Orthopedic Hospital and Specialized Medicine (IPE - H O M E), Distrito Federal, BrasÃ­lia, Brazil. , (de Souza Borges J.H., drjhumberto@gmail.com; Ramos L.A.; Cohen M.) Department of Orthopedics, Traumatology and Sports Medicine, Federal University of SÃ£o Paulo (UNIFESP), SÃ£o Paulo, Brazil. , (Oliveira M.) University Center of BrasÃ­lia (UniCEUB), BrasÃ­lia, Distrito Federal, Brazil.</t>
  </si>
  <si>
    <t>J.H. de Souza Borges, Institute of Research and Teaching, Orthopedic Hospital and Specialized Medicine (IPE - H O M E), SGAS Block 613 - Set C - Asa Sul, BrasÃ­lia, DF, DF, CEP: 70200-73072220-900 BrasÃ­lia, Brazil. Email: drjhumberto@gmail.com</t>
  </si>
  <si>
    <t>Knee (2022) 36 (33-43). Date of Publication: 1 Jun 2022</t>
  </si>
  <si>
    <t>1873-5800 (electronic),0968-0160</t>
  </si>
  <si>
    <t>Elsevier B.V.</t>
  </si>
  <si>
    <t>Aim: The aim of this study was to compare the peak extensor torque (primary outcome), sensory-motor capacity and Lysholm questionnaire score up to the fourth postoperative month post-primary anterior cruciate ligament reconstruction (ACLR) with boneâ€“patellar-tendonâ€“bone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</si>
  <si>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L2017793356</t>
  </si>
  <si>
    <t>http://dx.doi.org/10.1016/j.knee.2022.03.015</t>
  </si>
  <si>
    <t>https://www.embase.com/search/results?subaction=viewrecord&amp;id=L2017793356&amp;from=export</t>
  </si>
  <si>
    <t>https://catalyst.library.jhu.edu/openurl/01JHU_INST/01JHU_INST:JHU?sid=EMBASE&amp;sid=EMBASE&amp;issn=18735800&amp;id=doi:10.1016%2Fj.knee.2022.03.015&amp;atitle=Is+contralateral+autogenous+patellar+tendon+graft+a+better+choice+than+ipsilateral+for+anterior+cruciate+ligament+reconstruction+in+young+sportsmen%3F+A+randomized+controlled+trial&amp;stitle=Knee&amp;title=Knee&amp;volume=36&amp;issue=&amp;spage=33&amp;epage=43&amp;aulast=de+Souza+Borges&amp;aufirst=Jose+Humberto&amp;auinit=J.H.&amp;aufull=de+Souza+Borges+J.H.&amp;coden=KNEEF&amp;isbn=&amp;pages=33-43&amp;date=2022&amp;auinit1=J&amp;auinitm=H</t>
  </si>
  <si>
    <t>Unilateral Versus Bilateral Resistance Exercise in Postoperative Rehabilitation After ACL Reconstruction With Boneâ€“Patellar Tendonâ€“Bone Graft: A Randomized Controlled Trial</t>
  </si>
  <si>
    <t>Oliveira M., JÃºnior P.L., Imoto A.M., Santos T., Borges J.H.S., Nunes P., Barin F.R., Damando M., Peccin M.S.</t>
  </si>
  <si>
    <t>(Oliveira M., marcio.oliveira@viverpeloesporte.org; JÃºnior P.L.; Santos T.; Borges J.H.S.; Nunes P.; Barin F.R.; Damando M.) Institute of Research and Teaching, Orthopedic Hospital and Specialized Medicine, FIFA Medical Centre of Excellence (IPE/HOME), BrasÃ­lia, Brazil. , (Oliveira M., marcio.oliveira@viverpeloesporte.org; Peccin M.S.) Health Evidence-Based Graduate Program, Universidade Federal de SÃ£o Paulo (UNIFESP), SÃ£o Paulo, Brazil. , (Imoto A.M.) School of Health Sciences, BrasÃ­lia, Brazil.</t>
  </si>
  <si>
    <t>M. Oliveira, Institute of Research and Teaching, Orthopedic Hospital and Specialized Medicine, FIFA Medical Centre of Excellence (IPE/HOME), BrasÃ­lia, Brazil. Email: marcio.oliveira@viverpeloesporte.org</t>
  </si>
  <si>
    <t>Orthopaedic Journal of Sports Medicine (2022) 10:4. Date of Publication: 18 Apr 2022</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</si>
  <si>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boneâ€“patellar tendonâ€“bone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&lt;.001 for all), and the improvements were significantly greater in the control group regarding peak torque and single-leg hop test in the reconstructed limb (P &lt;.001 for both). Comparison between the groups showed significantly increased symmetry regarding peak torque, H:Q ratio, and single-leg hop test in the intervention group compared with the control group (P &lt;.001),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</si>
  <si>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L2015647047</t>
  </si>
  <si>
    <t>10.1177/23259671221088830</t>
  </si>
  <si>
    <t>http://dx.doi.org/10.1177/23259671221088830</t>
  </si>
  <si>
    <t>https://www.embase.com/search/results?subaction=viewrecord&amp;id=L2015647047&amp;from=export</t>
  </si>
  <si>
    <t>https://catalyst.library.jhu.edu/openurl/01JHU_INST/01JHU_INST:JHU?sid=EMBASE&amp;sid=EMBASE&amp;issn=23259671&amp;id=doi:10.1177%2F23259671221088830&amp;atitle=Unilateral+Versus+Bilateral+Resistance+Exercise+in+Postoperative+Rehabilitation+After+ACL+Reconstruction+With+Bone%E2%80%93Patellar+Tendon%E2%80%93Bone+Graft%3A+A+Randomized+Controlled+Trial&amp;stitle=Orthop.+J.+Sports+Med.&amp;title=Orthopaedic+Journal+of+Sports+Medicine&amp;volume=10&amp;issue=4&amp;spage=&amp;epage=&amp;aulast=Oliveira&amp;aufirst=Marcio&amp;auinit=M.&amp;aufull=Oliveira+M.&amp;coden=&amp;isbn=&amp;pages=-&amp;date=2022&amp;auinit1=M&amp;auinitm=</t>
  </si>
  <si>
    <t>Optimizing GRAft SElection for ACL Reconstruction (GRASE-ACL Trial) - a Three-armed Randomized Controlled Trial</t>
  </si>
  <si>
    <t>clinicaltrials.gov (2022). Date of Publication: 4 Apr 2022</t>
  </si>
  <si>
    <t>Brief SummaryPurpose: To investigate the differences between the three most common methods for reconstruction of the anterior cruciate ligament (ACL), to support the development of the best method for the individual patient. Main research area: Â¨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360Â° scientific approach, it is the hope to improve the possibilities for a much-needed evidence-based and individualized treatment of ACL ruptures. Objectives and hypotheses: â€¢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RIGIDFIXÂ® Curve Cross Pin System (DePuy Synthes) and distally with a Milagro screw (DePuy Synthes) or similar. The patients are referred to rehabilitation according to Danish rehabilitation guidelines following ACL reconstruction. Â¨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(Î± = 0.05, Î² = 0.80). A local unpublished pilot study of 10 healthy individuals showed a minimal detectable difference in LSI-RFD of 12% and a standard deviation in the group of 17%. Based on these assumptions, 40 patients are needed per group (Î± = 0.05, Î² = 0.80). A total inclusion number of 150 is decided to account for a patient dropout of app. 10%.</t>
  </si>
  <si>
    <t>LNCT05342441</t>
  </si>
  <si>
    <t>https://clinicaltrials.gov/study/NCT05342441</t>
  </si>
  <si>
    <t>https://www.embase.com/search/results?subaction=viewrecord&amp;id=LNCT05342441&amp;from=export</t>
  </si>
  <si>
    <t>The Effect of Accelerated Rehabilitation After Anterior Cruciate Ligament Reconstruction With and Without Suture Tape Reinforcement</t>
  </si>
  <si>
    <t>clinicaltrials.gov (2022). Date of Publication: 14 Feb 2022</t>
  </si>
  <si>
    <t>Brief SummaryThe aim of our study is to evaluate the effect of accelerated rehabilitation post ACL reconstruction with and without augmentation on graft healing and return to normal activity clinically by scoring system and radiologically.Detailed DescriptionACL reconstruction is the most commonly performed knee ligament reconstruction and employs a variety of surgical techniques. However, despite high success rates, it is still challenged by residual laxity and graft rupture. While the majority of patients who undergo ACLR will have good to excellent results, a subset of patients is at a higher risk for graft failure. For those that require revision surgery, the second operation often fails. Anterior cruciate ligament injuries account for 50% of knee ligament injuries for high school-aged adults. The most commonly used autografts for ACLR are the hamstring tendons (HT) and the bone-patellar tendon-bone (BPTB). However, questions remain about how patients with either an HT or a BPTB autograft recover knee muscle strength postoperatively. To help address and prevent future ACL failures, new repair and reconstruction techniques have been employed that incorporate suture augmentation. The goal of augmentation is to protect the newly repaired or reconstructed ligament during rehabilitation. Despite advances in anterior cruciate ligament (ACL) reconstruction surgical techniques and rehabilitation, recent studies report that between 20% to 50% of those with ACL reconstruction do not return to the same sports after surgery and 10% to 70% of those who resume preinjury sports participate at a reduced level or with significant functional impairments. Anecdotal evidence from patient report and clinical observation suggests that an inability to return to sports after ACL reconstruction can be partially attributed to a fear of reinjuring the knee.</t>
  </si>
  <si>
    <t>LNCT05270551</t>
  </si>
  <si>
    <t>https://clinicaltrials.gov/study/NCT05270551</t>
  </si>
  <si>
    <t>https://www.embase.com/search/results?subaction=viewrecord&amp;id=LNCT05270551&amp;from=export</t>
  </si>
  <si>
    <t>Psychological Readiness to Return to Sport at 6 Months Is Higher After Bridge-Enhanced ACL Restoration Than Autograft ACL Reconstruction: Results of a Prospective Randomized Clinical Trial</t>
  </si>
  <si>
    <t>Sanborn R.M., Badger G.J., Yen Y.-M., Murray M.M., Christino M.A., Proffen B., Sant N., Barnett S., Fleming B.C., Kramer D.E., Micheli L.J.</t>
  </si>
  <si>
    <t>(Sanborn R.M.; Yen Y.-M.; Murray M.M.; Christino M.A., melissa.christino@childrens.harvard.edu) Division of Sports Medicine, Department of Orthopaedic Surgery, Boston Childrenâ€™s Hospital, Boston, MA, United States. , (Badger G.J.) Department of Medical Biostatistics, University of Vermont, Burlington, VT, United States. , (Proffen B.; Sant N.; Barnett S.; Fleming B.C.; Kramer D.E.; Micheli L.J.)</t>
  </si>
  <si>
    <t>M.A. Christino, Division of Sports Medicine, Department of Orthopaedic Surgery, Boston Childrenâ€™s Hospital, Boston, MA, United States. Email: melissa.christino@childrens.harvard.edu</t>
  </si>
  <si>
    <t>Orthopaedic Journal of Sports Medicine (2022) 10:2. Date of Publication: 1 Feb 2022</t>
  </si>
  <si>
    <t>Background: Previous clinical studies have shown that psychological factors have significant effects on an athleteâ€™s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tendonâ€”bone])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(ClinicalTrials.gov identifier).</t>
  </si>
  <si>
    <t>ClinicalTrials.gov (NCT02664545)</t>
  </si>
  <si>
    <t>L2015021899</t>
  </si>
  <si>
    <t>10.1177/23259671211070542</t>
  </si>
  <si>
    <t>http://dx.doi.org/10.1177/23259671211070542</t>
  </si>
  <si>
    <t>https://www.embase.com/search/results?subaction=viewrecord&amp;id=L2015021899&amp;from=export</t>
  </si>
  <si>
    <t>https://catalyst.library.jhu.edu/openurl/01JHU_INST/01JHU_INST:JHU?sid=EMBASE&amp;sid=EMBASE&amp;issn=23259671&amp;id=doi:10.1177%2F23259671211070542&amp;atitle=Psychological+Readiness+to+Return+to+Sport+at+6+Months+Is+Higher+After+Bridge-Enhanced+ACL+Restoration+Than+Autograft+ACL+Reconstruction%3A+Results+of+a+Prospective+Randomized+Clinical+Trial&amp;stitle=Orthop.+J.+Sports+Med.&amp;title=Orthopaedic+Journal+of+Sports+Medicine&amp;volume=10&amp;issue=2&amp;spage=&amp;epage=&amp;aulast=Sanborn&amp;aufirst=Ryan+M.&amp;auinit=R.M.&amp;aufull=Sanborn+R.M.&amp;coden=&amp;isbn=&amp;pages=-&amp;date=2022&amp;auinit1=R&amp;auinitm=M</t>
  </si>
  <si>
    <t>Determining Early Morbidity After The Reconstruction Of Anterior Cruciate Ligament: Hamstring Tendon Vs Patellar Tendon Autograft</t>
  </si>
  <si>
    <t>Sohu D.M., Hussain F., Jatoi Z.A., Bhatti S.H., Chandio M.S., Keerio N.H.</t>
  </si>
  <si>
    <t>(Sohu D.M., drdost02@gmail.com) Department of Orthopedic, KMC Hospital Khairpur Pakistan, Pakistan. , (Hussain F., farukh_dr@hotmail.com) Department of Orthopedic, Jinnah Postgraduate Medical Center Karachi, Pakistan. , (Jatoi Z.A., jatoidr@gmail.com) Department of Orthopedic, King Abdul Aziz Naval Base Hospital Jubail Eastern Province, Saudi Arabia. , (Bhatti S.H., Sajjadbhatti4@gmail.com) Department of Orthopedic, Pir Abdul Qadir Shah Jeelani Institute of Medical Sciences GIMS Gambat, Pakistan. , (Chandio M.S., docshuaib@yahoo.com) Department of Orthopedic, Shaheed Muhatarma Benazir Bhutto Medical University Larkana, Pakistan. , (Keerio N.H., niaz_h@hotmail.com) Department of Orthopedic, Muhammad Medical College and Hospital Mirpurkhas, Pakistan.</t>
  </si>
  <si>
    <t>D.M. Sohu, Department of Orthopedic, KMC Hospital Khairpur Pakistan, Pakistan. Email: drdost02@gmail.com</t>
  </si>
  <si>
    <t>Journal of Pharmaceutical Negative Results (2022) 13 (9034-9040). Date of Publication: 2022</t>
  </si>
  <si>
    <t>Journal of Pharmaceutical Negative Results</t>
  </si>
  <si>
    <t>2229-7723 (electronic),0976-9234</t>
  </si>
  <si>
    <t>ResearchTrentz Academy Publishing Education Services</t>
  </si>
  <si>
    <t>Objective: To evaluate the morbidity after the surgery regarding the reconstruction of the anterior cruciate ligament (ACL) in the first 4 months after the surgery. The reconstruction was done either using hamstring tendon autograft or patellar tendon autograft. Study design: A randomized controlled trial Place and Duration This study was conducted in KMC Hospital Khairpur from April 2021 to April 2022. Methodology: Overall, 40 participants were involved in this research. These patients underwent the reconstruction of a single-incision ACL. These patients were either having a doubled gracilis autograft/hamstring autograft (HS) or a patellar tendon-bone autograft (PT). An accelerated rehabilitation protocol was provided to the patients after the surgery. All the participants were reviewed 3 times after the surgery; after two weeks, after eight weeks, and after four months. The existence and seriousness of anterior knee pain as well as the severity and location of general knee pain was measured in each review. Moreover, the passive and active flexion, size and existence of an effusion, and passive extension deficits were also reviewed. Results: At the review two weeks after the surgery, it was seen that the people in the PT batch were complaining about anterior knee pain. At the review on eight weeks after the surgery, no necessary difference was seen between the 2 batches. At the review four months after the operation, people in the PT batch showed greater occurrence of pain on kneeling and high severity of general pain. The quadriceps peak torque deficit was at 240Â° in the PT batch, which is also high. The score of Cincinnati sport activity was more in the PT batch while the HS batch showed higher IKDC scores. Conclusion: Both groups demonstrated greater severity of pain despite the fact that the morbidity was lower in the HS batch. The clinical dissimilarity was not significant.</t>
  </si>
  <si>
    <t>L2022163339</t>
  </si>
  <si>
    <t>10.47750/pnr.2022.13.S09.1056</t>
  </si>
  <si>
    <t>http://dx.doi.org/10.47750/pnr.2022.13.S09.1056</t>
  </si>
  <si>
    <t>https://www.embase.com/search/results?subaction=viewrecord&amp;id=L2022163339&amp;from=export</t>
  </si>
  <si>
    <t>https://catalyst.library.jhu.edu/openurl/01JHU_INST/01JHU_INST:JHU?sid=EMBASE&amp;sid=EMBASE&amp;issn=22297723&amp;id=doi:10.47750%2Fpnr.2022.13.S09.1056&amp;atitle=Determining+Early+Morbidity+After+The+Reconstruction+Of+Anterior+Cruciate+Ligament%3A+Hamstring+Tendon+Vs+Patellar+Tendon+Autograft&amp;stitle=J.+Pharm.+Negat.+Results&amp;title=Journal+of+Pharmaceutical+Negative+Results&amp;volume=13&amp;issue=&amp;spage=9034&amp;epage=9040&amp;aulast=Sohu&amp;aufirst=Dost+Muhammad&amp;auinit=D.M.&amp;aufull=Sohu+D.M.&amp;coden=&amp;isbn=&amp;pages=9034-9040&amp;date=2022&amp;auinit1=D&amp;auinitm=M</t>
  </si>
  <si>
    <t>Long Term Clinical and Radiographical Outcomes of Different Anterior Cruciate Ligament Reconstruction Techniques</t>
  </si>
  <si>
    <t>clinicaltrials.gov (2021). Date of Publication: 12 Oct 2021</t>
  </si>
  <si>
    <t>Brief SummaryThe purpose of this study is to evaluate the long-term results of various anterior cruciate ligament reconstruction techniques. This assessment is necessary for the current context of anterior cruciate ligament research as several techniques and grafts are used in clinical practice, however, the various studies existing in the literature focus mainly only on the direct comparison of two techniques and usually with short-to-medium term follow-up. Since gonarthrosis is one of the most debated consequences of cruciate ligament reconstruction, a comparison of different long-term procedures would be desirable to have a clearer picture of the risks and benefits associated with different types of intervention.Detailed DescriptionIn the beginning, the Database of our Institute is consulted, all the patients that underwent ACL reconstruction at least 15 years ago are selected. The original group will be divided into subgroups based on the surgical technique adopted, of the different techniques we took into consideration only these three: anatomical ACL reconstruction with patellar tendon, anatomical ACL reconstruction with hamstrings, non-anatomical ACL reconstruction "Over-the-top plus lateral plasty". The patients will be contacted to ask if they are interested to take part in the study; at least 25 patients for each group will be recruited. All the patients recruited will sign an informed consent about the study and the personal data treatment. After consent acquisition, patients will undergo a clinical examination and a questionnaire about pain and knee status will be administered; moreover, a radiographical examination of the operated knee will be performed to assess the osteoarthritis progression. Patients that reported graft rupture will be registered as failures.</t>
  </si>
  <si>
    <t>LNCT05088278</t>
  </si>
  <si>
    <t>https://clinicaltrials.gov/study/NCT05088278</t>
  </si>
  <si>
    <t>https://www.embase.com/search/results?subaction=viewrecord&amp;id=LNCT05088278&amp;from=export</t>
  </si>
  <si>
    <t>Allogeneic Bone-patellar Tendon-bone Transplantation to Reconstruct the Knee Joint Anterior Cruciate Ligament</t>
  </si>
  <si>
    <t>clinicaltrials.gov (2021). Date of Publication: 27 Jun 2021</t>
  </si>
  <si>
    <t>Brief SummaryObjective To investigate the mid-term clinical effect of bone-patellar tendon-bone (BPTB) graft double-bundle reconstruction of the anterior cruciate ligament (ACL) of the knee joint under arthroscope.Detailed DescriptionThe purpose of the present study was to report a unique technique of Double-bundle anterior cruciate ligament reconstruction (DB-ACLR) with a bone-patellar tendon- bone (BPTB) allograftand compare the clinical outcome of the new technique with that of the nonanatomic conventional transtibial Single-bundle anterior cruciate ligament reconstruction (SB-ACLR) with a BPTB allograft. The hypothesis was that the DB-ACLR with a BPTB allograft is technically feasible and may be superior in restoring anterior and rotational stability of the knee joint. Meanwhile, the back-pushing KT- 2000 arthrometer was used to confirm whether there were advantages of DB-ACLR in total anteroposterior stability.</t>
  </si>
  <si>
    <t>LNCT04951531</t>
  </si>
  <si>
    <t>https://clinicaltrials.gov/study/NCT04951531</t>
  </si>
  <si>
    <t>https://www.embase.com/search/results?subaction=viewrecord&amp;id=LNCT04951531&amp;from=export</t>
  </si>
  <si>
    <t>Marmura H., Getgood A.M.J., Spindler K.P., Kattan M.W., Briskin I., Bryant D.M.</t>
  </si>
  <si>
    <t>(Marmura H.; Getgood A.M.J.; Bryant D.M.) Faculty of Health Sciences, Western University, London, ON, Canada. , (Marmura H.; Getgood A.M.J.; Bryant D.M.) Fowler Kennedy Sport Medicine Clinic, London, ON, Canada. , (Marmura H.; Getgood A.M.J.; Bryant D.M.) Bone and Joint Institute, Western University, London, ON, Canada. , (Marmura H.; Getgood A.M.J.; Bryant D.M.) Lawson Research, London Health Sciences Centre, London, ON, Canada. , (Getgood A.M.J.; Bryant D.M.) Schulich School of Medicine and Dentistry, Western University, London, ON, Canada. , (Spindler K.P.) Department of Orthopaedic Surgery, Cleveland Clinic, Cleveland, OH, United States. , (Kattan M.W.; Briskin I.) Department of Quantitative Health Sciences, Cleveland Clinic, Cleveland, OH, United States. , (Bryant D.M.) Department of Health Research Methods, Evidence and Impact, McMaster University, Hamilton, Ontario, Canada</t>
  </si>
  <si>
    <t>The American journal of sports medicine (2021) 49:7 (1777-1785). Date of Publication: 1 Jun 2021</t>
  </si>
  <si>
    <t>NLM (Medline)</t>
  </si>
  <si>
    <t>BACKGROUND: Anterior cruciate ligament reconstructions (ACLRs) fail at an alarmingly high rate in young active individuals. The Multicenter Orthopaedic Outcomes Network (MOON) knee group has developed an autograft risk calculator that uses patient characteristics and lifestyle to predict the probability of graft rupture if the surgeon uses a hamstring tendon (HT) or a bone-patellar tendon-bone (BPTB) graft to reconstruct the ligament. If validated, this risk calculator can be used during the shared decision-making process to make optimal ACLR autograft choices and reduce rupture rates. The STABILITY 1 randomized clinical trial offers a large, rigorously collected data set of similar young active patients who received HT autograft with or without lateral extra-articular tenodesis (LET) for ACLR. PURPOSE/HYPOTHESIS: The purpose was to validate the ACLR graft rupture risk calculator in a large external data set and to investigate the utility of BPTB and LET for ACLR. We hypothesized that the risk calculator would maintain adequate discriminative ability and calibration in the external STABILITY 1 data set when compared with the initial MOON development data set. STUDY DESIGN: Cohort study (diagnosis); Level of evidence, 1. METHODS: The model predictors for the risk calculator include age, sex, body mass index, sport played at the time of injury, Marx Activity Score, preoperative knee laxity, and graft type. The STABILITY 1 trial data set was used for external validation. Discriminative ability, calibration, and diagnostic test validity of the model were assessed. Finally, predictor strength in the initial and validation samples was compared. RESULTS: The model showed acceptable discriminative ability (area under the curve = 0.73), calibration (Brier score = 0.07), and specificity (85.3%) to detect patients who will experience a graft rupture. Age, high-grade preoperative knee laxity, and graft type were significant predictors of graft rupture in young active patients. BPTB and the addition of LET to HT were protective against graft rupture versus HT autograft alone. CONCLUSION: The MOON risk calculator is a valid predictor of ACLR graft rupture and is appropriate for clinical practice. This study provides evidence supporting the idea that isolated HT autografts should be avoided for young active patients undergoing ACLR. REGISTRATION: NCT00463099 (MOON); NCT02018354 (STABILITY 1) (ClinicalTrials.gov identifiers).</t>
  </si>
  <si>
    <t>ClinicalTrials.gov (NCT00463099, NCT02018354)</t>
  </si>
  <si>
    <t>L634964065</t>
  </si>
  <si>
    <t>http://dx.doi.org/10.1177/03635465211010798</t>
  </si>
  <si>
    <t>https://www.embase.com/search/results?subaction=viewrecord&amp;id=L634964065&amp;from=export</t>
  </si>
  <si>
    <t>https://catalyst.library.jhu.edu/openurl/01JHU_INST/01JHU_INST:JHU?sid=EMBASE&amp;sid=EMBASE&amp;issn=15523365&amp;id=doi:10.1177%2F03635465211010798&amp;atitle=Validation+of+a+Risk+Calculator+to+Personalize+Graft+Choice+and+Reduce+Rupture+Rates+for+Anterior+Cruciate+Ligament+Reconstruction&amp;stitle=Am+J+Sports+Med&amp;title=The+American+journal+of+sports+medicine&amp;volume=49&amp;issue=7&amp;spage=1777&amp;epage=1785&amp;aulast=Marmura&amp;aufirst=Hana&amp;auinit=H.&amp;aufull=Marmura+H.&amp;coden=&amp;isbn=&amp;pages=1777-1785&amp;date=2021&amp;auinit1=H&amp;auinitm=</t>
  </si>
  <si>
    <t>Subjective Outcomes After ACL Reconstruction With BQT Autograft</t>
  </si>
  <si>
    <t>clinicaltrials.gov (2021). Date of Publication: 12 May 2021</t>
  </si>
  <si>
    <t>Brief SummaryThe purpose of the study is to compare short-term patient reported outcome measures (PROM) of Bone-Quadriceps-Tendon (BQT) autograft with Semitendinosus-Gracilis (STG) and Bone-Patellar-Tendon-Bone (BPTB) autografts following Anterior Cruciate Ligament Reconstruction (ACLR). The PROM used are Knee Injury and Osteoarthrithis Outcome Score (KOOS) and Tegner. Difference in change in KOOS, KOOS subscales and Tegner from preoperative baseline to one-year follow-up and absolute KOOS, KOOS subscales and Tegner at one-year follow-up were evaluated. All of which were BQT compared to STG and BPTB, respectively. The primary outcome is change in KOOS from preoperative baselinge to one-year follow-up. Other outcomes are secondary. The hypothesis was that patients receiving the BQT autograft show similar results in KOOS, KOOS subscales and Tegner as patients receiving STG or BPTB autografts.</t>
  </si>
  <si>
    <t>LNCT04901559</t>
  </si>
  <si>
    <t>https://clinicaltrials.gov/study/NCT04901559</t>
  </si>
  <si>
    <t>https://www.embase.com/search/results?subaction=viewrecord&amp;id=LNCT04901559&amp;from=export</t>
  </si>
  <si>
    <t>Prospective and Randomized Clinical Evaluation of Hamstring Versus Patellar Tendon Autograft for Anterior Cruciate Ligament Reconstruction in Soccer Players</t>
  </si>
  <si>
    <t>Guglielmetti L.G.B., Salas V.E.R., Jorge P.B., Severino F.R., Duarte A., de Oliveira V.M., Cury R.D.P.L.</t>
  </si>
  <si>
    <t>(Guglielmetti L.G.B., luizgbg@terra.com.br; Salas V.E.R.; Jorge P.B.; Severino F.R.; Duarte A.; de Oliveira V.M.; Cury R.D.P.L.) Orthopedics and Traumatology Department, Santa Casa Medical School, SÃ£o Paulo, Brazil.</t>
  </si>
  <si>
    <t>L.G.B. Guglielmetti, Orthopedics and Traumatology Department, Santa Casa Medical School, SÃ£o Paulo, Brazil. Email: luizgbg@terra.com.br</t>
  </si>
  <si>
    <t>Orthopaedic Journal of Sports Medicine (2021) 9:9. Date of Publication: 2021</t>
  </si>
  <si>
    <t>Background: Anterior cruciate ligament (ACL) reconstruction is usually performed with autologous boneâ€“patellar tendonâ€“bone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(ClinicalTrials.gov).</t>
  </si>
  <si>
    <t>L2013787768</t>
  </si>
  <si>
    <t>10.1177/23259671211028168</t>
  </si>
  <si>
    <t>http://dx.doi.org/10.1177/23259671211028168</t>
  </si>
  <si>
    <t>https://www.embase.com/search/results?subaction=viewrecord&amp;id=L2013787768&amp;from=export</t>
  </si>
  <si>
    <t>https://catalyst.library.jhu.edu/openurl/01JHU_INST/01JHU_INST:JHU?sid=EMBASE&amp;sid=EMBASE&amp;issn=23259671&amp;id=doi:10.1177%2F23259671211028168&amp;atitle=Prospective+and+Randomized+Clinical+Evaluation+of+Hamstring+Versus+Patellar+Tendon+Autograft+for+Anterior+Cruciate+Ligament+Reconstruction+in+Soccer+Players&amp;stitle=Orthop.+J.+Sports+Med.&amp;title=Orthopaedic+Journal+of+Sports+Medicine&amp;volume=9&amp;issue=9&amp;spage=&amp;epage=&amp;aulast=Guglielmetti&amp;aufirst=Luiz+Gabriel+Betoni&amp;auinit=L.G.B.&amp;aufull=Guglielmetti+L.G.B.&amp;coden=&amp;isbn=&amp;pages=-&amp;date=2021&amp;auinit1=L&amp;auinitm=G.B.</t>
  </si>
  <si>
    <t>Copyright 2021 Elsevier B.V., All rights reserved.</t>
  </si>
  <si>
    <t>Xenograft for anterior cruciate ligament reconstruction was associated with high graft processing infection</t>
  </si>
  <si>
    <t>Van Der Merwe W., Lind M., FaunÃ¸ P., Van Egmond K., Zaffagnini S., Marcacci M., Cugat R., Verdonk R., IbaÃ±ez E., Guillen P., Marcheggiani Muccioli G.M.</t>
  </si>
  <si>
    <t>(Van Der Merwe W., willem.grucox@gmail.com) Sport Science Institute of S. Africa, Cape Town, South Africa. , (Lind M., martinlind@dadlnet.dk; FaunÃ¸ P., faunoe@stofanet.dk) Aarhus University Hospital, Aarhus, Denmark. , (Van Egmond K., c.van.egmond@isala.nl) Dept. of Orthopaedic Surgery, Isala Klinieken, Zwolle, Netherlands. , (Zaffagnini S., stefano.zaffagnini@unibo.it; Marcheggiani Muccioli G.M., marcheggianimuccioli@me.com) IRCCS Istituto Ortopedici Rizzoli, University of Bologna, Lab. Biomeccanica - Via di Barbiano, 1/10, Bologna, Italy. , (Marcacci M., maurilio.marcacci@humanitas.it) IRCCS Humanitas University, Milano / former Istituto Ortopedici Rizzoli, University of Bologna, II Clinica Ortopedica, Bologna, Italy. , (Cugat R., ramon.cugat@sportrauma.com) Hospital Quiron, Artoscopia GC, Barcelona, Spain. , (Verdonk R., Rene.Verdonk@UGent.be) Dept. of Orthopaedic Surgery &amp; Traumatology, Gent Univ. Hospital, Ghent, Belgium. , (IbaÃ±ez E., jm.lopez@amplicel.com; Guillen P., pedroguillen612@gmail.com) Clinica Cemtro, Orthopaedic Surgery &amp; Traumatology, Madrid, Spain.</t>
  </si>
  <si>
    <t>G.M. Marcheggiani Muccioli, IRCCS Istituto Ortopedici Rizzoli, University of Bologna, Lab. Biomeccanica - Via di Barbiano, 1/10, Bologna, Italy. Email: marcheggianimuccioli@me.com</t>
  </si>
  <si>
    <t>Journal of Experimental Orthopaedics (2020) 7:1 Article Number: 79. Date of Publication: 1 Dec 2020</t>
  </si>
  <si>
    <t>Journal of Experimental Orthopaedics</t>
  </si>
  <si>
    <t>2197-1153 (electronic)</t>
  </si>
  <si>
    <t>Springer Science and Business Media Deutschland GmbH</t>
  </si>
  <si>
    <t>Purpose: To evaluate clinical ad radiological outcomes of anterior cruciate ligament (ACL) reconstruction with an immunochemically modified porcine patellar tendon xenograft controlled against human Achilles tendon allograft at 24-month minimum follow-up. Methods: 66 patients undergoing arthroscopic ACL reconstruction were randomized into 2 groups: 34 allografts and 32 xenografts treated to attenuate the host immune response. Follow-up was 24-month minimum. Anterior knee stability was measured as KT âˆ’ 1000 side-to-side laxity difference (respect to the contralateral healthy knee). Functional performance was assessed by one-legged hop test. Objective manual pivot-shift test and subjective (IKDC, Tegner and SF-36) outcomes were collected. MRI and standard X-Ray were performed. Results: 61 subjects (32 allograft, 29 xenograft) were evaluated at 12 and 24 months. Six of the subjects in xenograft group (20.6%) got an infection attributed to a water-based pathogen graft contamination in processing. Intention-to-treat analysis (using the last observation carried forward imputation method) revealed higher KT âˆ’ 1000 laxity in xenograft group at 24-month follow-up (P =.042). Also pivot-shift was higher in xenograft group at 12-month (P =.015) and 24-month follow-up (P =.038). Per-protocol analysis (missing/contaminated subjects excluded) did not revealed clinical differences between groups. Tibial tunnel widening in the allograft group was low, whereas xenograft tunnel widening was within the expected range of 20â€“35% as reported in the literature. No immunological reactivity was associated to xenograft group. Conclusions: High infection rate (20.6%) was reported in xenograft group. Both groups of patients achieved comparable clinical outcomes if missing/contaminated subjects are excluded. Improved harvesting/processing treatments in future studies using xenografts for ACL reconstruction are needed to reduce infection rate, otherwise xenograft should not be used in ACL reconstruction. Level of evidence: Multicenter and double-blinded Randomized Controlled Clinical Trial, Level I.</t>
  </si>
  <si>
    <t>C reactive protein (9007-41-4)</t>
  </si>
  <si>
    <t>L2006889218</t>
  </si>
  <si>
    <t>10.1186/s40634-020-00292-0</t>
  </si>
  <si>
    <t>http://dx.doi.org/10.1186/s40634-020-00292-0</t>
  </si>
  <si>
    <t>https://www.embase.com/search/results?subaction=viewrecord&amp;id=L2006889218&amp;from=export</t>
  </si>
  <si>
    <t>https://catalyst.library.jhu.edu/openurl/01JHU_INST/01JHU_INST:JHU?sid=EMBASE&amp;sid=EMBASE&amp;issn=21971153&amp;id=doi:10.1186%2Fs40634-020-00292-0&amp;atitle=Xenograft+for+anterior+cruciate+ligament+reconstruction+was+associated+with+high+graft+processing+infection&amp;stitle=J.+Exp.+Orthop.&amp;title=Journal+of+Experimental+Orthopaedics&amp;volume=7&amp;issue=1&amp;spage=&amp;epage=&amp;aulast=Van+Der+Merwe&amp;aufirst=Willem&amp;auinit=W.&amp;aufull=Van+Der+Merwe+W.&amp;coden=&amp;isbn=&amp;pages=-&amp;date=2020&amp;auinit1=W&amp;auinitm=</t>
  </si>
  <si>
    <t>BariÃ© A., Sprinckstub T., Huber J., Jaber A.</t>
  </si>
  <si>
    <t>(BariÃ© A., abarie@web.de; Jaber A., ayham.jaber@med.uni-heidelberg.de) Center for Orthopedics, Trauma Surgery and Spinal Cord Injury, Clinic for Orthopedics and Trauma Surgery, Heidelberg University Hospital, Schlierbacher Landstrasse 200a, Heidelberg, Germany. , (Sprinckstub T., info@chirurgisches-zentrum-wiesloch.de) Center for Surgery B. Nimis and Dr. T. Sprinckstub, Zur Helde 4, Wiesloch, Germany. , (Huber J., info@dr-med-huber.de) Center for Orthopedics of the Knee, HopfenstraÃŸe 4, Weinheim, Germany.</t>
  </si>
  <si>
    <t>A. BariÃ©, Center for Orthopedics, Trauma Surgery and Spinal Cord Injury, Clinic for Orthopedics and Trauma Surgery, Heidelberg University Hospital, Schlierbacher Landstrasse 200a, Heidelberg, Germany. Email: abarie@web.de</t>
  </si>
  <si>
    <t>Archives of Orthopaedic and Trauma Surgery (2020) 140:10 (1465-1474). Date of Publication: 1 Oct 2020</t>
  </si>
  <si>
    <t>Archives of Orthopaedic and Trauma Surgery</t>
  </si>
  <si>
    <t>1434-3916 (electronic),0936-8051</t>
  </si>
  <si>
    <t>Springer Science and Business Media Deutschland GmbH, info@springer-sbm.com</t>
  </si>
  <si>
    <t>Introduction: The use of quadriceps tendonâ€“patellar bone (QTB) autograft for anterior cruciate ligament (ACL) reconstruction is gaining momentum. Yet, long-term results that compare this procedure with established methods are lacking. The aim of this study was to report and compare long-term results of ACL reconstruction using QTB autografts versus boneâ€“patellar tendonâ€“bone (BPTB) autografts, both anchored using a hardware-free press-fit fixation technique. Materials and methods: 60 athletes (Tegner score â‰¥6) with primary ACL rupture were prospectively randomized into two groups. 56 patients were evaluated after a mean duration of 12.2 Â± 1.9 months (range 10â€“14) and 43 patients after 10.3 Â± 0.2 years (range 10â€“11). Results: On final follow-up, 90% of patients scored very good and good results in the functional Lysholm score (mean 99 Â± 7.1, range 74â€“100 points). Normal or almost normal IKDC score was reported by 84% of the patients (mean 97 Â± 9.5, range 60â€“100 points). The activity level decreased in the Tegner score from median of 7 before injury to 6 after 10 years. The KT-1000 arthrometer showed a difference in the anterior translation of less than 3 mm (mean 1.0 Â± 1.2, range âˆ’ 1 to 5 mm) in 91% of the patients. Significant degeneration was radiologically detected in one patient per group. No tunnel widening was seen in any patient. Up to 97% of all patients were satisfied with the operative procedure. No significant differences were found in the mentioned parameters between the two groups and also in comparison with the 1-year results. The only significant difference was in the donor site morbidity. Significantly more patients in the BPTB group had complaints during kneeling both at 1 (p &lt; 0.001) and 10 years (p = 0.019). Squatting was also subjectively more problematic in the BPTB group than in the QTB group both after 1 (p = 0.003) and 10 years (p = 0.046). Conclusions: This study shows equally good functional, clinical and radiological long-term results for both hardware-free methods of ACL reconstruction. These results clinically confirm the safety of press-fit anchoring after 10 years. The failure rate in this study was very low, with only one re-rupture in 10 years. The increased donor site morbidity when using the BPTB autograft compared to the QTB autograft supports already reported data. It was also seen in this study for the implant-free press-fit techniques. Study design: Prospective and randomized, level of evidence 2.</t>
  </si>
  <si>
    <t>L2005160315</t>
  </si>
  <si>
    <t>http://dx.doi.org/10.1007/s00402-020-03508-1</t>
  </si>
  <si>
    <t>https://www.embase.com/search/results?subaction=viewrecord&amp;id=L2005160315&amp;from=export</t>
  </si>
  <si>
    <t>https://catalyst.library.jhu.edu/openurl/01JHU_INST/01JHU_INST:JHU?sid=EMBASE&amp;sid=EMBASE&amp;issn=14343916&amp;id=doi:10.1007%2Fs00402-020-03508-1&amp;atitle=Quadriceps+tendon+vs.+patellar+tendon+autograft+for+ACL+reconstruction+using+a+hardware-free+press-fit+fixation+technique%3A+comparable+stability%2C+function+and+return-to-sport+level+but+less+donor+site+morbidity+in+athletes+after+10%C2%A0years&amp;stitle=Arch.+Orthop.+Trauma+Surg.&amp;title=Archives+of+Orthopaedic+and+Trauma+Surgery&amp;volume=140&amp;issue=10&amp;spage=1465&amp;epage=1474&amp;aulast=Bari%C3%A9&amp;aufirst=Alexander&amp;auinit=A.&amp;aufull=Bari%C3%A9+A.&amp;coden=AOTSE&amp;isbn=&amp;pages=1465-1474&amp;date=2020&amp;auinit1=A&amp;auinitm=</t>
  </si>
  <si>
    <t>Copyright 2020 Elsevier B.V., All rights reserved.</t>
  </si>
  <si>
    <t>Effects of Blood Flow Restriction Rehabilitation After Bone Patellar Tendon Bone Anterior Cruciate Ligament Reconstruction</t>
  </si>
  <si>
    <t>clinicaltrials.gov (2020). Date of Publication: 13 Jul 2020</t>
  </si>
  <si>
    <t>Brief SummaryThe study is a prospective randomized control trial consisting of subjects requiring ACL reconstruction with BTB autograft. Subjects were randomly divided into two groups following their inclusion in the study. One group underwent the normal ACL rehab protocol as determined by the participating surgeons. The study group underwent normal ACL rehab modified by use of a tourniquet for blood flow restriction during selected exercises.Detailed DescriptionOn the day of the procedure, the surgeon will measure the subject's thigh circumference 1/3 distance from the superior pole of the patella to the inguinal crease. The subject will then undergo the normal BTB autograft ACL reconstruction procedure. A subject will be excluded from the study if a meniscal repair is performed. At the subject's two week post-operative clinic visit, the physician will measure thigh circumference at 1/3 distance from the superior pole of the patella to the inguinal crease. Study group subjects will begin physical therapy instructed BFR exercises at two weeks post operatively. Study group subjects will be taken through normal ACL rehab protocol as well as BFR exercises. Control group subjects will do the same exercises and formal physical therapy rehab protocol as the study group without BFR. The BFR exercises will consist of: bilateral leg press week 3-10, eccentric leg press weeks 4-10, hamstring curl week 4-6, eccentric hamstring curl weeks 7-10, straight leg press weeks 6-10. The pressure used will be elevated to occluded blood flow by 80% (80% occlusion pressure) which will be determined for each individual subject. Subjects will do exercises at 20% of 1RM in 4 sets of 30-15-15-15 repetitions separated by 30 seconds of rest. Repetition maximum (1RM) will be determined by the contralateral leg, using the greatest amount of weight with full range of motion and proper form. This will be done over three separate tries, separated by one minute breaks. Resistance loads will be adjusted every 2 weeks as strength improves. During the exercise protocol, if patients are unable to complete the prescribed amount of repetitions, rest periods between sets will be increased as needed. The control group will do these exercises without BFR. Both study and control groups will also do the surgeons' standard post-ACL reconstruction physical therapy protocol. Cuff pressures will be determined using the Loenneke et al outline, based off of thigh circumference and estimated cuff pressure for 50% artery occlusion \[19\]. Body composition (DEXA), bone density (DEXA), IKDC and Tegner Lysholm scores will be recorded at first rehabilitation visit, two weeks, eight weeks and 12 weeks following the initiation of rehab (1 wk following surgery). Y- balance, single leg squat distance, and single leg step down will be measured at 8 weeks and 12 weeks of rehab. Return to play will be recorded as the number of months after the day of operation until subject returns to sport.</t>
  </si>
  <si>
    <t>LNCT04484961</t>
  </si>
  <si>
    <t>https://clinicaltrials.gov/study/NCT04484961</t>
  </si>
  <si>
    <t>https://www.embase.com/search/results?subaction=viewrecord&amp;id=LNCT04484961&amp;from=export</t>
  </si>
  <si>
    <t>To compare the functional outcome of the Patellar Tendon and hamstring tendon autograft for anterior cruciate ligament reconstruction in males</t>
  </si>
  <si>
    <t>Rajput I.M., Ali M., Siddiqui A.A., Sahito B., Doltani D.K., Khaskheli J.H.</t>
  </si>
  <si>
    <t>(Rajput I.M., drirfan.rao82@gmail.com; Ali M.; Siddiqui A.A.; Sahito B.; Doltani D.K.) Department of Orthopaedic, Dow University of Health Sciences, Karachi, Pakistan. , (Khaskheli J.H.) Dr. Ruth KM Pfau Civil Hospital, Karachi, Pakistan.</t>
  </si>
  <si>
    <t>I.M. Rajput, Department of Orthopaedic, Dow University of Health Sciences, Karachi, Pakistan. Email: drirfan.rao82@gmail.com</t>
  </si>
  <si>
    <t>Pakistan Journal of Medical and Health Sciences (2020) 14:3 (839-842). Date of Publication: 1 Jul 2020</t>
  </si>
  <si>
    <t>Pakistan Journal of Medical and Health Sciences</t>
  </si>
  <si>
    <t>1996-7195</t>
  </si>
  <si>
    <t>Lahore Medical And Dental College</t>
  </si>
  <si>
    <t>Objective: To determine the functional outcomes and patient satisfaction status after using the patellar tendon and hamstring tendon autograft for anterior cruciate ligament reconstruction in malepatients Study Design: Prospective randomized clinical trial Place and Duration of Study: Department of Orthopaedic, Dr. Ruth KM Pfau Civil Hospital Karachi and Medicare Cardiac &amp; General Hospital Karachi between April 2017and November 2019. Methodology:Forty one patients of the male gender and age above 20 years with unilateral anterior cruciate ligament rupture were enrolled. Patients were divided into two groups; Group I consisted of 22 patients receiving Patellar Tendon Graft for open ACL reconstruction and Group II consisted of 19 patients receiving Hamstring (semitendinosus and gracilis) Quadruple Tendon Graft for arthroscopic ACL reconstruction. Outcomes of both techniques were examined and compared. Patients were followed for 24 months. Results: No significant difference was observed regarding age and causes of injury between both groups (p-value &gt;0.05). Postoperatively no significant difference in terms of Lysholm score, IKDC, Lachman test, pivot shift test, and pain during kneeling at 2 years. In Group I, 14 (63.64%) patients were satisfied, 6 (27.27%) patients were very satisfied and 2 (9.09%) patients were neutral, and in Group II, 10 (52.63%) patients were satisfied, 5 (26.32%) patients were very satisfied and 4 (21.05%) patients were neutral at final follow-up. In our study, morbidity like anterior knee pain during kneeling was not significant in either group at 2 years. Conclusion: The patellar tendon and semitendinosus tendons are considered as a procedure of choice for the rupture of the anterior cruciate ligament. We concluded that both techniques patellar tendon and semitendinosus tendon autografts are safe and effective treatment modalities for anterior cruciate ligament reconstruction. We found no significant difference in terms of functional outcomes, patient satisfaction, and kneeling pain between both groups.</t>
  </si>
  <si>
    <t>L2008563345</t>
  </si>
  <si>
    <t>https://www.embase.com/search/results?subaction=viewrecord&amp;id=L2008563345&amp;from=export</t>
  </si>
  <si>
    <t>https://catalyst.library.jhu.edu/openurl/01JHU_INST/01JHU_INST:JHU?sid=EMBASE&amp;sid=EMBASE&amp;issn=19967195&amp;id=doi:&amp;atitle=To+compare+the+functional+outcome+of+the+Patellar+Tendon+and+hamstring+tendon+autograft+for+anterior+cruciate+ligament+reconstruction+in+males&amp;stitle=Pak.+J.+Med.+Health+Sci.&amp;title=Pakistan+Journal+of+Medical+and+Health+Sciences&amp;volume=14&amp;issue=3&amp;spage=839&amp;epage=842&amp;aulast=Rajput&amp;aufirst=Irfan+Muhammad&amp;auinit=I.M.&amp;aufull=Rajput+I.M.&amp;coden=&amp;isbn=&amp;pages=839-842&amp;date=2020&amp;auinit1=I&amp;auinitm=M</t>
  </si>
  <si>
    <t>Smith P.A., Cook C.S., Bley J.A.</t>
  </si>
  <si>
    <t>(Smith P.A., psmithmudoc@aol.com) Department of Orthopaedic Surgery, University of Missouri, Columbia, MO, United States. , (Smith P.A., psmithmudoc@aol.com; Cook C.S.; Bley J.A.) Columbia Orthopaedic Group, Columbia, MO, United States.</t>
  </si>
  <si>
    <t>P.A. Smith, Columbia Orthopaedic Group, Department of Orthopaedic Surgery, Sports Medicine, University of Missouri, 1 S Keene St., Columbia, MO, United States. Email: psmithmudoc@aol.com</t>
  </si>
  <si>
    <t>Arthroscopy - Journal of Arthroscopic and Related Surgery (2020) 36:6 (1629-1646). Date of Publication: 1 Jun 2020</t>
  </si>
  <si>
    <t>Purpose: To compare clinical outcomes of knee anterior cruciate ligament (ACL) autograft reconstruction using all-inside quadrupled semitendinosus (AIST) versus boneâ€“patellar tendonâ€“bone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Â± 0.7 mm, 95% confidence interval 0.0-1.0 mm) and BPTB (0.0 Â±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 Level of Evidence: randomized controlled trial with 92% 2-year follow-up, Level I.</t>
  </si>
  <si>
    <t>L2006075351</t>
  </si>
  <si>
    <t>http://dx.doi.org/10.1016/j.arthro.2020.01.048</t>
  </si>
  <si>
    <t>https://www.embase.com/search/results?subaction=viewrecord&amp;id=L2006075351&amp;from=export</t>
  </si>
  <si>
    <t>https://catalyst.library.jhu.edu/openurl/01JHU_INST/01JHU_INST:JHU?sid=EMBASE&amp;sid=EMBASE&amp;issn=15263231&amp;id=doi:10.1016%2Fj.arthro.2020.01.048&amp;atitle=All-Inside+Quadrupled+Semitendinosus+Autograft+Shows+Stability+Equivalent+to+Patellar+Tendon+Autograft+Anterior+Cruciate+Ligament+Reconstruction%3A+Randomized+Controlled+Trial+in+Athletes+24+Years+or+Younger&amp;stitle=Arthroscopy+J.+Arthroscopic+Relat.+Surg.&amp;title=Arthroscopy+-+Journal+of+Arthroscopic+and+Related+Surgery&amp;volume=36&amp;issue=6&amp;spage=1629&amp;epage=1646&amp;aulast=Smith&amp;aufirst=Patrick+A.&amp;auinit=P.A.&amp;aufull=Smith+P.A.&amp;coden=ARTHE&amp;isbn=&amp;pages=1629-1646&amp;date=2020&amp;auinit1=P&amp;auinitm=A</t>
  </si>
  <si>
    <t>Castoldi M., Magnussen R.A., Gunst S., Batailler C., Neyret P., Lustig S., Servien E.</t>
  </si>
  <si>
    <t>(Castoldi M.) Institut Universitaire Locomoteur et du Sport, Department of Orthopaedic Surgery, Centre Hospitalo-Universitaire de Nice, Nice, France. , (Magnussen R.A.) Department of Orthopaedics, Ohio State University Wexner Medical Center, Columbus, OH, United States. , (Gunst S.; Batailler C.; Lustig S.; Servien E.) Department of Orthopedic Surgery and Sport Medicine, Croix-Rousse Hospital, FIFA Medical Center of Excellence, Lyon, France. , (Neyret P.) Infirmerie Protestante, Caluire, France, (Servien E.) EA 7424-Inter-university Laboratory of Human Movement Science, University Lyon 1, Lyon, France.</t>
  </si>
  <si>
    <t>The American journal of sports medicine (2020) 48:7 (1665-1672). Date of Publication: 1 Jun 2020</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</si>
  <si>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</si>
  <si>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L631680237</t>
  </si>
  <si>
    <t>http://dx.doi.org/10.1177/0363546520914936</t>
  </si>
  <si>
    <t>https://www.embase.com/search/results?subaction=viewrecord&amp;id=L631680237&amp;from=export</t>
  </si>
  <si>
    <t>https://catalyst.library.jhu.edu/openurl/01JHU_INST/01JHU_INST:JHU?sid=EMBASE&amp;sid=EMBASE&amp;issn=15523365&amp;id=doi:10.1177%2F0363546520914936&amp;atitle=A+Randomized+Controlled+Trial+of+Bone-Patellar+Tendon-Bone+Anterior+Cruciate+Ligament+Reconstruction+With+and+Without+Lateral+Extra-articular+Tenodesis%3A+19-Year+Clinical+and+Radiological+Follow-up&amp;stitle=Am+J+Sports+Med&amp;title=The+American+journal+of+sports+medicine&amp;volume=48&amp;issue=7&amp;spage=1665&amp;epage=1672&amp;aulast=Castoldi&amp;aufirst=Marie&amp;auinit=M.&amp;aufull=Castoldi+M.&amp;coden=&amp;isbn=&amp;pages=1665-1672&amp;date=2020&amp;auinit1=M&amp;auinitm=</t>
  </si>
  <si>
    <t>Combined ACL and Anterolateral Reconstruction Is Not Associated With a Higher Risk of Adverse Outcomes: Preliminary Results From the SANTI Randomized Controlled Trial</t>
  </si>
  <si>
    <t>Sonnery-Cottet B., Pioger C., Vieira T.D., Franck F., Kajetanek C., Fayard J.-M., Thaunat M., Saithna A.</t>
  </si>
  <si>
    <t>(Sonnery-Cottet B., sonnerycottet@aol.com; Pioger C.; Vieira T.D.; Franck F.; Kajetanek C.; Fayard J.-M.; Thaunat M.) Centre OrthopÃ©dique Santy, HÃ´pital PrivÃ© Jean Mermoz, FIFA Medical Centre of Excellence, Groupe Ramsay GDS, Lyon, France. , (Saithna A.) Sano Orthopedics, Advanced Orthopedics and Sports Medicine, Kansas City, MO, United States.</t>
  </si>
  <si>
    <t>B. Sonnery-Cottet, Centre OrthopÃ©dique Santy, HÃ´pital PrivÃ© Jean Mermoz, FIFA Medical Centre of Excellence, Groupe Ramsay GDS, Lyon, France. Email: sonnerycottet@aol.com</t>
  </si>
  <si>
    <t>Orthopaedic Journal of Sports Medicine (2020) 8:5. Date of Publication: 1 May 2020</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</si>
  <si>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boneâ€“patellar tendonâ€“bone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Â± SD follow-up of 12.3 Â± 1.9 months (range, 12-19 months) formed the study population. A significantly higher rate of reoperation for cyclops syndrome was noted in the isolated ACLR group compared with the combined ACL + ALLR group (8.9% vs 0%, respectively; P =.0012). No significant differences were found in frequency of graft rupture (ACLR, 5.4%; ACL + ALLR, 0.9%; P =.1191), range of motion deficits, pain, or reoperation for meniscectomy between groups. No cases of postoperative infection, venous thromboembolism, or arthrofibrosis were seen. Subjective IKDC (81.2 vs 86.8; P =.0048), Lysholm (88 vs 92; P =.0131), and some components of the KOOS were significantly better in the combined ACL + ALLR group. Conclusion: This study demonstrates no evidence of an increased risk of short-term adverse events after combined ACL + ALLR compared with isolated ACLR with BPTB graft. Registration: NCT03740022 (ClinicalTrials.gov Identifier)</t>
  </si>
  <si>
    <t>L2004910360</t>
  </si>
  <si>
    <t>10.1177/2325967120918490</t>
  </si>
  <si>
    <t>http://dx.doi.org/10.1177/2325967120918490</t>
  </si>
  <si>
    <t>https://www.embase.com/search/results?subaction=viewrecord&amp;id=L2004910360&amp;from=export</t>
  </si>
  <si>
    <t>https://catalyst.library.jhu.edu/openurl/01JHU_INST/01JHU_INST:JHU?sid=EMBASE&amp;sid=EMBASE&amp;issn=23259671&amp;id=doi:10.1177%2F2325967120918490&amp;atitle=Combined+ACL+and+Anterolateral+Reconstruction+Is+Not+Associated+With+a+Higher+Risk+of+Adverse+Outcomes%3A+Preliminary+Results+From+the+SANTI+Randomized+Controlled+Trial&amp;stitle=Orthop.+J.+Sports+Med.&amp;title=Orthopaedic+Journal+of+Sports+Medicine&amp;volume=8&amp;issue=5&amp;spage=&amp;epage=&amp;aulast=Sonnery-Cottet&amp;aufirst=Bertrand&amp;auinit=B.&amp;aufull=Sonnery-Cottet+B.&amp;coden=&amp;isbn=&amp;pages=-&amp;date=2020&amp;auinit1=B&amp;auinitm=</t>
  </si>
  <si>
    <t>Murray M.M., Fleming B.C., Badger G.J., Freiberger C., Henderson R., Barnett S., Kiapour A., Ecklund K., Proffen B., Sant N., Kramer D.E., Micheli L.J., Yen Y.-M.</t>
  </si>
  <si>
    <t>(Murray M.M.; Fleming B.C.; Badger G.J.; Freiberger C.; Henderson R.; Barnett S.; Kiapour A.; Ecklund K.; Proffen B.; Sant N.; Kramer D.E.; Micheli L.J.; Yen Y.-M.) Investigation performed at Boston Children's Hospital, Boston, MA, United States.</t>
  </si>
  <si>
    <t>The American journal of sports medicine (2020) 48:6 (1305-1315). Date of Publication: 1 May 2020</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</si>
  <si>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</si>
  <si>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L631538998</t>
  </si>
  <si>
    <t>http://dx.doi.org/10.1177/0363546520913532</t>
  </si>
  <si>
    <t>https://www.embase.com/search/results?subaction=viewrecord&amp;id=L631538998&amp;from=export</t>
  </si>
  <si>
    <t>https://catalyst.library.jhu.edu/openurl/01JHU_INST/01JHU_INST:JHU?sid=EMBASE&amp;sid=EMBASE&amp;issn=15523365&amp;id=doi:10.1177%2F0363546520913532&amp;atitle=Bridge-Enhanced+Anterior+Cruciate+Ligament+Repair+Is+Not+Inferior+to+Autograft+Anterior+Cruciate+Ligament+Reconstruction+at+2+Years%3A+Results+of+a+Prospective+Randomized+Clinical+Trial&amp;stitle=Am+J+Sports+Med&amp;title=The+American+journal+of+sports+medicine&amp;volume=48&amp;issue=6&amp;spage=1305&amp;epage=1315&amp;aulast=Murray&amp;aufirst=Martha+M.&amp;auinit=M.M.&amp;aufull=Murray+M.M.&amp;coden=&amp;isbn=&amp;pages=1305-1315&amp;date=2020&amp;auinit1=M&amp;auinitm=M</t>
  </si>
  <si>
    <t>Postoperative ERIS Knee Splinting Following ACLR: A Randomized Clinical Trial</t>
  </si>
  <si>
    <t>clinicaltrials.gov (2020). Date of Publication: 6 Mar 2020</t>
  </si>
  <si>
    <t>Brief SummaryThis study will evaluate the efficacy of the Graymont X ERIS Knee Splint brace in the postoperative period of ACL reconstruction to improve range of motion, specifically the achievement of terminal extension and time-to-achievement compared to the standard hinged knee brace. This will be directly measured with goniometric angle and heel-height measurements relative to the contralateral side. Other metrics will include standard, validated patient reported outcomes and requirements for additional interventions to treat extension deficits including, but not limited to, additional therapy, intraarticular injections, oral corticosteroids, manipulation under anesthesia, or arthroscopic arthrolysis.Detailed DescriptionThis study will be a prospective randomized controlled trial of patients undergoing arthroscopic reconstruction of full thickness ACL tears with bone-patellar tendon-bone autograft. All patients who sign the consent form will be enrolled in the study and randomized to one of the two treatment arms. Subjects will be appropriately fitted for the brace corresponding to randomization on the day of surgery. All braces will be placed on the subject in the operating room at the conclusion of the procedure. All patient will begin a standardized physical therapy protocol on postoperative day 1-14. Follow-up will take place at standard of care office visits at 1-week, 2-week, 6-weeks, 12-weeks, and 6-months. Range of motion, including goniometric angle and heel-height measurements, will be recorded at all postoperative time points. Time-to-achievement of full symmetric extension relative to the non-surgical knee will be monitored and recorded. At 3, 6, and 12 months, patients will also be asked to complete standardized, patient-reported outcomes questionnaires including IKDC, KOOS, PROMIS, VAS pain, VR/SF 12, and brief resilience scale. Patients will also be asked to answer questions regarding return to work and return to sport throughout the 1-year postoperative period. Both treatment groups will progress according to standardized, postoperative rehabilitation programs, similar to the program outlined below. Phase I: Protection, Range of Motion (ROM), and Proprioception Goal: â€¢ To protect the surgical graft, restore lower extremity mobility, and proprioception Precautions: * Patient can initiate immediate weight bearing with knee immobilizer brace locked at 0Âº extension. * Patients may unlock or remove brace once they are able to perform a straight leg raise without any quadriceps lag and perform a single leg stance (SLS) on surgical limb for at least 30 seconds. Patients must also wear the brace with any weight bearing activity for six weeks. Criteria for progression to next phase: * Non-antalgic gait with no observable gait impairments * ROM: Goal of extension to at least 0Âº, and flexion within 10Âº of contralateral knee. * Perform single leg stance on surgical limb on dynamic surfaces (balance board, foam, etc.) Exercises to be included: ROM: * Flexion: heel slides, wall slides, prone hamstring curls * Extension: supine or prone hangs, hamstring and calf stretching NWB strengthening: â€¢ Quadriceps sets (prone and supine), leg raises, and bridges on a swiss ball Proprioception: â€¢ SLS from static to dynamic surfaces and movements, 3-way lunges, balance board, rebounder or therapist ball tossing Phase II: Strength and Endurance Goal: â€¢ Build single limb endurance and to prepare for agility training Precautions: â€¢ No running/jogging or jumping. Criteria for progression to next phase: * Full, pain free knee AROM within 3Âº of contralateral knee * Able to perform single leg squat to approximately 60Âº knee flexion for 2 minutes without joint pain or compensations * No compensatory gait patterns during faster ambulation speeds Exercises to be included: ROM: â€¢ Stretching as needed (calf, hamstring, quad, trunk, upper body) NWB: â€¢ Trunk/core dynamics Proprioception: â€¢ Single leg stance with trunk rotations (use resistance for progression), floor touches, cone pick-ups on stable and unstable surfaces Phase III: Power and Agility Goal: â€¢ Gain type II, fast twitch muscle fibers and prepare for return to sport training Precautions: * Not to be initiated until at least 12 weeks post-operatively * No uncontrolled jumping (i.e. on grass, when not supervised by medical staff) * No cutting or pivoting at full speeds Criteria for progression to next phase: * Perform single leg squat to approximately 60Âº knee flexion for 3 minutes against external resistance * Perform lateral and diagonal jumping of a distance equal to the patient's leg length or greater for 2 minutes or longer * Perform double leg jumps from at least. a 12-inch surface * Perform single leg static jumps from flat surface Exercises to be included: Leg press, lunge, hamstring curl Agility: â€¢ Ladder training, cone drills, lateral and diagonal jumping adding external resistance Phase IV: Return to Sport Training Precautions: * No physical contact during sport specific training * No live sport performance until cleared by functional sports assessment and surgeon Patients will undergo standard of care physical therapy 2-3 times per week for 20 weeks as directed by their physician. Physical therapy will begin as directed by physician generally before post op day 14.</t>
  </si>
  <si>
    <t>LNCT04360928</t>
  </si>
  <si>
    <t>https://clinicaltrials.gov/study/NCT04360928</t>
  </si>
  <si>
    <t>https://www.embase.com/search/results?subaction=viewrecord&amp;id=LNCT04360928&amp;from=export</t>
  </si>
  <si>
    <t>Functional Outcome Comparison of Implant-Free Bone-Patellar Tendon Autografts Using Press-Fit Fixation Technique and Hamstring Autografts Using Implant in Arthroscopic Anterior Cruciate Ligament Reconstruction: A Prospective Study</t>
  </si>
  <si>
    <t>clinicaltrials.gov (2019). Date of Publication: 29 Sep 2019</t>
  </si>
  <si>
    <t>Brief SummaryThe use of implants for conventional anterior cruciate ligament (ACL) graft fixation has been associated with several problems including graft injury, implant osteolysis, implant migration and soft tissue irritation. Implantless ACL surgery offers additional benefits involving lower cost, improved graft incorporation and ease of revision surgery. The investigators aimed to compare the functional outcome of implantless bone-patellar tendon autograft using press-fit fixation technique and hamstring autografts using implant.Detailed DescriptionPurpose: The use of implants for conventional anterior cruciate ligament (ACL) graft fixation has been associated with several problems including graft injury, implant osteolysis, implant migration and soft tissue irritation. Implantless ACL surgery offers additional benefits involving lower cost, improved graft incorporation and ease of revision surgery. The investigators aimed to compare the functional outcome of implantless bone-patellar tendon autograft using press-fit fixation technique and hamstring autografts using implant. Materials and Methods: A prospective cohort study design was used. Between March 2013 and March 2014, 12 patients underwent implantless ACL reconstruction using press-fit femoral technique, while 24 patients underwent implant ACL reconstruction. Objective functional outcome were measured using rolimeter, and subjective functional outcome were measured according to IKDC, Tegner-Lysholm and KOOS.</t>
  </si>
  <si>
    <t>LNCT04123834</t>
  </si>
  <si>
    <t>https://clinicaltrials.gov/study/NCT04123834</t>
  </si>
  <si>
    <t>https://www.embase.com/search/results?subaction=viewrecord&amp;id=LNCT04123834&amp;from=export</t>
  </si>
  <si>
    <t>Mohtadi N.G., Chan D.S.</t>
  </si>
  <si>
    <t>(Mohtadi N.G., mohtadi@ucalgary.ca) University of Calgary Sport Medicine Centre, Calgary, Alberta, Canada. , (Chan D.S.) McCaig Institute for Bone and Joint Health, Calgary, Alberta, Canada.</t>
  </si>
  <si>
    <t>Journal of Bone and Joint Surgery - American Volume (2019) 101:11 (949-960). Date of Publication: 5 Jun 2019</t>
  </si>
  <si>
    <t>Journal of Bone and Joint Surgery - American Volume</t>
  </si>
  <si>
    <t>1535-1386 (electronic),0021-9355</t>
  </si>
  <si>
    <t>Lippincott Williams and Wilkins, agents@lww.com</t>
  </si>
  <si>
    <t>Background:This randomized clinical trial evaluated the 5-year, disease-specific quality-of-life outcomes of patients treated for anterior cruciate ligament (ACL) deficiency with use of a patellar tendon, single-bundle quadruple-stranded hamstring, or double-bundle hamstring reconstruction.Methods:Patients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failures.Results:Three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Â± 17.9 (95% confidence interval [CI], 79.0 to 86.0) for patellar tendon, 83.9 Â± 18.2 (95% CI, 80.3 to 87.4) for hamstring tendon, and 81.1 Â± 19.3 (95% CI, 77.4 to 84.8) for double-bundle. The proportions of patients at 5 years with a pivot shift grade of â‰¥2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â‰¥2) was found for 10% of the patients.Conclusions:At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groups.Level of Evidence:Therapeutic Level I. See Instructions for Authors for a complete description of levels of evidence.</t>
  </si>
  <si>
    <t>ClinicalTrials.gov (NCT00529958)</t>
  </si>
  <si>
    <t>L628794316</t>
  </si>
  <si>
    <t>http://dx.doi.org/10.2106/JBJS.18.01322</t>
  </si>
  <si>
    <t>https://www.embase.com/search/results?subaction=viewrecord&amp;id=L628794316&amp;from=export</t>
  </si>
  <si>
    <t>https://catalyst.library.jhu.edu/openurl/01JHU_INST/01JHU_INST:JHU?sid=EMBASE&amp;sid=EMBASE&amp;issn=15351386&amp;id=doi:10.2106%2FJBJS.18.01322&amp;atitle=A+Randomized+Clinical+Trial+Comparing+Patellar+Tendon%2C+Hamstring+Tendon%2C+and+Double-Bundle+ACL+Reconstructions%3A+Patient-Reported+and+Clinical+Outcomes+at+5-Year+Follow-up&amp;stitle=J.+Bone+Jt.+Surg.+Am.+Vol.&amp;title=Journal+of+Bone+and+Joint+Surgery+-+American+Volume&amp;volume=101&amp;issue=11&amp;spage=949&amp;epage=960&amp;aulast=Mohtadi&amp;aufirst=Nicholas+G.&amp;auinit=N.G.&amp;aufull=Mohtadi+N.G.&amp;coden=JBJSA&amp;isbn=&amp;pages=949-960&amp;date=2019&amp;auinit1=N&amp;auinitm=G</t>
  </si>
  <si>
    <t>Copyright 2019 Elsevier B.V., All rights reserved.</t>
  </si>
  <si>
    <t>Comparison of patellar tendon versus hamstrings autografts for anterior cruciate ligament reconstruction in Indian population: A randomised control trial study</t>
  </si>
  <si>
    <t>Gupta P.K., Acharya A., Mourya A., Mahajan P.</t>
  </si>
  <si>
    <t>(Gupta P.K., prateek.k.gupta@sgrh.com; Acharya A., ashis.acharya@sgrh.com; Mourya A., amit.mourya@sgrh.com) Sir Gangaram hospital, New Delhi, India. , (Mahajan P., prashant.mahajan@sgrh.com) Department of orthopaedics, New Delhi, India.</t>
  </si>
  <si>
    <t>P.K. Gupta, C 2/5, SDA, marg, New Delhi, India. Email: prateek.k.gupta@sgrh.com</t>
  </si>
  <si>
    <t>Journal of Clinical Orthopaedics and Trauma (2019) 10:3 (581-585). Date of Publication: 1 May 2019</t>
  </si>
  <si>
    <t>Journal of Clinical Orthopaedics and Trauma</t>
  </si>
  <si>
    <t>2213-3445 (electronic),0976-5662</t>
  </si>
  <si>
    <t>Disruption of anterior cruciate ligament (ACL) is a common ligamentous injury of the knee. The best choice of graft for reconstruction remains undecided. This prospective, randomized clinical trial aimed to compare clinical results of bone-patellar tendon-bone (BPTB) grafts and four-strand semitendinosus-gracilis (QHT) grafts for ACL reconstruction over a 1-year follow-up interval in Indian population. Methods: 42 consecutive patients with ACL injury were recruited, by pick and draw method and allotted into two groups with 21 patients in each group. Group A patients underwent arthroscopic ACL reconstruction using BPTB graft while QHT autograft was used for patients in Group B. All the patients underwent standard ipsilateral arthroscopic ACL reconstruction procedure using a single incision, antero-medial (AM) portal technique for BPTB or the QHT autograft by a same surgeon. Patients were followed up regularly for a minimum period of 1 year. Results: After one year, the Cincinnati score was 91 Â± 4.117 in BPTB group and 89.29 Â± 5.371 in QHT group (P = 0.282). There was no significant difference between the two groups in the mean scores with respect to pain, overall activity level and running in the Cincinnati score. None of the patients complained of the knee giving way. Similarly, at 1 year, the Lysholm score was 92.84 Â± 2.630 and 90.55 Â± 2.395 in the two groups respectively (P = 0.842). There were no episodes of locking or instability and there was no significant difference in the mean Lysholm scores regarding pain and squatting. Conclusion: There was no significant functional difference between the two grafts in terms of Lysholm and the Cincinnati score, anterior knee laxity and altered sensation over proximal leg. The patients with QHT groups performed better than BPTB functionally at 6 month so early return to sport is possible even with QHT autograft.</t>
  </si>
  <si>
    <t>L2001058779</t>
  </si>
  <si>
    <t>10.1016/j.jcot.2018.04.018</t>
  </si>
  <si>
    <t>http://dx.doi.org/10.1016/j.jcot.2018.04.018</t>
  </si>
  <si>
    <t>https://www.embase.com/search/results?subaction=viewrecord&amp;id=L2001058779&amp;from=export</t>
  </si>
  <si>
    <t>https://catalyst.library.jhu.edu/openurl/01JHU_INST/01JHU_INST:JHU?sid=EMBASE&amp;sid=EMBASE&amp;issn=22133445&amp;id=doi:10.1016%2Fj.jcot.2018.04.018&amp;atitle=Comparison+of+patellar+tendon+versus+hamstrings+autografts+for+anterior+cruciate+ligament+reconstruction+in+Indian+population%3A+A+randomised+control+trial+study&amp;stitle=J.+Clin.+Orthop.+Traum.&amp;title=Journal+of+Clinical+Orthopaedics+and+Trauma&amp;volume=10&amp;issue=3&amp;spage=581&amp;epage=585&amp;aulast=Gupta&amp;aufirst=Prateek+Ku&amp;auinit=P.K.&amp;aufull=Gupta+P.K.&amp;coden=&amp;isbn=&amp;pages=581-585&amp;date=2019&amp;auinit1=P&amp;auinitm=K</t>
  </si>
  <si>
    <t>Adductor Canal Nerve Versus Femoral Nerve Blockade for Pain Control and Quadriceps Function Following Anterior Cruciate Ligament Reconstruction With Patellar Tendon Autograft: A Prospective Randomized Trial</t>
  </si>
  <si>
    <t>Bailey L., Griffin J., Elliott M., Wu J., Papavasiliou T., Harner C., Lowe W.</t>
  </si>
  <si>
    <t>(Bailey L., baileylb2001@gmail.com; Papavasiliou T.) Memorial Hermann's Ironman Sports Medicine Institute, Houston, TX, United States. , (Griffin J.; Elliott M.; Wu J.; Harner C.; Lowe W.) Department of Orthopedic Surgery, The University of Texas at Houston, Houston, TX, United States.</t>
  </si>
  <si>
    <t>L. Bailey, Research &amp; Education, Ironman Sports Medicine Institute, 6400 Fannin St, Ste 1620, Houston, TX, United States. Email: baileylb2001@gmail.com</t>
  </si>
  <si>
    <t>Arthroscopy - Journal of Arthroscopic and Related Surgery (2019) 35:3 (921-929). Date of Publication: 1 Mar 2019</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</si>
  <si>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of.05. Results: Quadriceps surface electromyography deficits were higher for FNB at 24 hours (P &lt;.001) and 2 weeks (P &lt;.001) when compared with the ACB group. There were no between-groups difference for subjective pain (P =.793) or morphine consumption (P =.358) within the first 24 hours of surgery. A higher percentage of patients in the ACB group met the full ambulation criteria at 4 weeks compared with the FNB group (100% vs 84.2%, P &lt;.001). No between-group differences were observed at 6 months; however, the rate of knee extension ROM loss was higher for the FNB group versus the ACB group (21.1% vs 5.0%, P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</si>
  <si>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clonidine (4205-90-7, 4205-91-8, 57066-25-8), morphine (52-26-6, 57-27-2), ropivacaine (84057-95-4)</t>
  </si>
  <si>
    <t>L2001531850</t>
  </si>
  <si>
    <t>http://dx.doi.org/10.1016/j.arthro.2018.10.149</t>
  </si>
  <si>
    <t>https://www.embase.com/search/results?subaction=viewrecord&amp;id=L2001531850&amp;from=export</t>
  </si>
  <si>
    <t>https://catalyst.library.jhu.edu/openurl/01JHU_INST/01JHU_INST:JHU?sid=EMBASE&amp;sid=EMBASE&amp;issn=15263231&amp;id=doi:10.1016%2Fj.arthro.2018.10.149&amp;atitle=Adductor+Canal+Nerve+Versus+Femoral+Nerve+Blockade+for+Pain+Control+and+Quadriceps+Function+Following+Anterior+Cruciate+Ligament+Reconstruction+With+Patellar+Tendon+Autograft%3A+A+Prospective+Randomized+Trial&amp;stitle=Arthroscopy+J.+Arthroscopic+Relat.+Surg.&amp;title=Arthroscopy+-+Journal+of+Arthroscopic+and+Related+Surgery&amp;volume=35&amp;issue=3&amp;spage=921&amp;epage=929&amp;aulast=Bailey&amp;aufirst=Lane&amp;auinit=L.&amp;aufull=Bailey+L.&amp;coden=ARTHE&amp;isbn=&amp;pages=921-929&amp;date=2019&amp;auinit1=L&amp;auinitm=</t>
  </si>
  <si>
    <t>Preoperative and Intraoperative Predictors of Long-Term Acceptable Knee Function and Osteoarthritis After Anterior Cruciate Ligament Reconstruction: An Analysis Based on 2 Randomized Controlled Trials</t>
  </si>
  <si>
    <t>Hamrin Senorski E., Sundemo D., Svantesson E., Sernert N., Kartus J.-T., Karlsson J., Samuelsson K.</t>
  </si>
  <si>
    <t>(Hamrin Senorski E., eric.hamrin.senorski@gu.se) Department of Health and Rehabilitation, Institute of Neuroscience and Physiology, Sahlgrenska Academy, University of Gothenburg, Gothenburg, Sweden. , (Sundemo D.; Svantesson E.; Sernert N.; Kartus J.-T.; Karlsson J.; Samuelsson K.) Department of Orthopaedics, Institute of Clinical Sciences, Sahlgrenska Academy, University of Gothenburg, Gothenburg, Sweden. , (Sernert N.; Kartus J.-T.) Department of Research and Development, NU-Hospital Group, TrollhÃ¤ttan/Uddevalla, Sweden. , (Sernert N.; Kartus J.-T.) Department of Orthopaedics, NU-Hospital Group, TrollhÃ¤ttan/Uddevalla, Sweden. , (Karlsson J.; Samuelsson K.) Department of Orthopaedics, Sahlgrenska University Hospital, MÃ¶lndal, Sweden.</t>
  </si>
  <si>
    <t>E. Hamrin Senorski, Department of Orthopaedics, Institute of Clinical Sciences, Sahlgrenska Academy, University of Gothenburg, Sweden, c/o Kristian Samuelsson, MÃ¶lndal, Sweden. Email: eric.hamrin.senorski@gu.se</t>
  </si>
  <si>
    <t>Arthroscopy - Journal of Arthroscopic and Related Surgery (2019) 35:2 (489-499). Date of Publication: 1 Feb 2019</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</si>
  <si>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â‰¥2. Knee laxity measurements, hop performance, patient-reported outcome, and concomitant injuries were determined as variables. Results: A total of 147 patients (63.7% men) were eligible for inclusion, with a mean follow-up of 16.4 Â± 1.3 years. The patients were an average age of 27.9 Â± 8.3 years at the time of ACL reconstruction. One-half of the cohort reported an International Knee Documentation Committee evaluation system score above the PASS cutoff. The presence of a concomitant injury at operation (odds ratio [OR], 2.61; 95% confidence interval [CI], 1.10-6.21; P =.030) and greater preoperative anteroposterior laxity (OR, 1.87; 95% CI, 1.05-3.35; P =.034) increased the likelihood of achieving a PASS. A longer period between ACL injury and reconstruction (OR, 2.25; 95% CI, 1.02-5.00; P =.046) and older age at reconstruction (OR, 2.28; 95% CI, 1.34-3.86; P =.0023) increased the odds of developing OA at follow-up. Conclusions: Patients who were older at the time of ACL reconstruction and had waited &gt;1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 Level of Evidence: Level II; prospective comparative study.</t>
  </si>
  <si>
    <t>L2001162916</t>
  </si>
  <si>
    <t>10.1016/j.arthro.2018.07.009</t>
  </si>
  <si>
    <t>http://dx.doi.org/10.1016/j.arthro.2018.07.009</t>
  </si>
  <si>
    <t>https://www.embase.com/search/results?subaction=viewrecord&amp;id=L2001162916&amp;from=export</t>
  </si>
  <si>
    <t>https://catalyst.library.jhu.edu/openurl/01JHU_INST/01JHU_INST:JHU?sid=EMBASE&amp;sid=EMBASE&amp;issn=15263231&amp;id=doi:10.1016%2Fj.arthro.2018.07.009&amp;atitle=Preoperative+and+Intraoperative+Predictors+of+Long-Term+Acceptable+Knee+Function+and+Osteoarthritis+After+Anterior+Cruciate+Ligament+Reconstruction%3A+An+Analysis+Based+on+2+Randomized+Controlled+Trials&amp;stitle=Arthroscopy+J.+Arthroscopic+Relat.+Surg.&amp;title=Arthroscopy+-+Journal+of+Arthroscopic+and+Related+Surgery&amp;volume=35&amp;issue=2&amp;spage=489&amp;epage=499&amp;aulast=Hamrin+Senorski&amp;aufirst=Eric&amp;auinit=E.&amp;aufull=Hamrin+Senorski+E.&amp;coden=ARTHE&amp;isbn=&amp;pages=489-499&amp;date=2019&amp;auinit1=E&amp;auinitm=</t>
  </si>
  <si>
    <t>Anterior Cruciate Ligament Reconstruction Using a Boneâ€“Patellar Tendonâ€“Bone Graft With and Without a Ligament Augmentation Device: A 25-Year Follow-up of a Prospective Randomized Controlled Trial</t>
  </si>
  <si>
    <t>Elveos M.M., Drogset J.O., Engebretsen L., BrÃ¸nn R., Lundemo T.O., Gifstad T.</t>
  </si>
  <si>
    <t>(Elveos M.M., marmau92@hotmail.com; Drogset J.O.; Lundemo T.O.; Gifstad T.) Faculty of Medicine and Health Sciences, Norwegian University of Science and Technology, Trondheim, Norway. , (Drogset J.O.; Lundemo T.O.; Gifstad T.) Orthopaedic Research Center, Trondheim University Hospital, Trondheim, Norway. , (Engebretsen L.) Orthopaedic Center, Oslo University Hospital, Oslo, Norway. , (Engebretsen L.) Faculty of Medicine, University of Oslo, Oslo, Norway. , (BrÃ¸nn R.) Aleris Radiology Center Trondheim, Trondheim, Norway.</t>
  </si>
  <si>
    <t>M.M. Elveos, Faculty of Medicine and Health Sciences, Norwegian University of Science and Technology, Dyre Halses Gate 13, Trondheim, Norway. Email: marmau92@hotmail.com</t>
  </si>
  <si>
    <t>Orthopaedic Journal of Sports Medicine (2018) 6:11. Date of Publication: 1 Nov 2018</t>
  </si>
  <si>
    <t>SAGE Publications Ltd, info@sagepub.co.uk</t>
  </si>
  <si>
    <t>Background: Various grafts and ligament augmentation devices (LADs) have been used in the search for optimal reconstruction of the anterior cruciate ligament (ACL). Purpose: To compare 25-year follow-up results after ACL reconstruction using a boneâ€“patellar tendonâ€“bone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AhlbÃ¤ck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â‰¥73. There were no statistically significant differences between groups in any of these outcomes or regarding the Tegner score, radiological classification of OA, or number of ACL reruptures. Signs of radiological OA were detected in all patients, and severe radiological OA (AhlbÃ¤ck grade III, IV, or V) was detected in 32% of patients in the BPTB group and 21% of patients in the LAD group (P =.37). There were 12 patients in the BPTB group and 7 in the LAD group who had documented reruptures (P =.40). One patient in the BPTB group and 6 in the LAD group underwent knee arthroplasty (P =.054). Conclusion: In the present study, there were no statistically significant differences between groups in any of the outcomes. After 25 years, 19% of patients had reruptures, 27% had severe radiological OA, and 7% underwent knee arthroplasty.</t>
  </si>
  <si>
    <t>L625113067</t>
  </si>
  <si>
    <t>10.1177/2325967118808778</t>
  </si>
  <si>
    <t>http://dx.doi.org/10.1177/2325967118808778</t>
  </si>
  <si>
    <t>https://www.embase.com/search/results?subaction=viewrecord&amp;id=L625113067&amp;from=export</t>
  </si>
  <si>
    <t>https://catalyst.library.jhu.edu/openurl/01JHU_INST/01JHU_INST:JHU?sid=EMBASE&amp;sid=EMBASE&amp;issn=23259671&amp;id=doi:10.1177%2F2325967118808778&amp;atitle=Anterior+Cruciate+Ligament+Reconstruction+Using+a+Bone%E2%80%93Patellar+Tendon%E2%80%93Bone+Graft+With+and+Without+a+Ligament+Augmentation+Device%3A+A+25-Year+Follow-up+of+a+Prospective+Randomized+Controlled+Trial&amp;stitle=Orthop.+J.+Sports+Med.&amp;title=Orthopaedic+Journal+of+Sports+Medicine&amp;volume=6&amp;issue=11&amp;spage=&amp;epage=&amp;aulast=Elveos&amp;aufirst=Marlene+Mauseth&amp;auinit=M.M.&amp;aufull=Elveos+M.M.&amp;coden=&amp;isbn=&amp;pages=-&amp;date=2018&amp;auinit1=M&amp;auinitm=M</t>
  </si>
  <si>
    <t>Copyright 2018 Elsevier B.V., All rights reserved.</t>
  </si>
  <si>
    <t>Sajovic M., Stropnik D., Skaza K.</t>
  </si>
  <si>
    <t>(Sajovic M.; Stropnik D.) General Hospital Celje, Celje, Slovenia. , (Skaza K.) Rehabilitation Center Spa Zrece, Zrece, Slovenia.</t>
  </si>
  <si>
    <t>The American journal of sports medicine (2018) 46:8 (1800-1808). Date of Publication: 1 Jul 2018</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</si>
  <si>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Â± 1.86 mm in the STG group compared with 1.33 Â± 1.93 mm in the PT group. A significant difference was found in frequency of knee osteoarthritis (OA)-100% in the PT group compared with 71% in the STG group ( P = .004). Patients in the PT group tended to have higher grade OA according to the IKDC grading system, with an average grade of 1.46 in the PT group compared with 1 in the STG group ( P = .055). The degenerative changes in the PT group were more common in the medial and patellofemoral compartments (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</si>
  <si>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L629131661</t>
  </si>
  <si>
    <t>http://dx.doi.org/10.1177/0363546518768768</t>
  </si>
  <si>
    <t>https://www.embase.com/search/results?subaction=viewrecord&amp;id=L629131661&amp;from=export</t>
  </si>
  <si>
    <t>https://catalyst.library.jhu.edu/openurl/01JHU_INST/01JHU_INST:JHU?sid=EMBASE&amp;sid=EMBASE&amp;issn=15523365&amp;id=doi:10.1177%2F0363546518768768&amp;atitle=Long-term+Comparison+of+Semitendinosus+and+Gracilis+Tendon+Versus+Patellar+Tendon+Autografts+for+Anterior+Cruciate+Ligament+Reconstruction%3A+A+17-Year+Follow-up+of+a+Randomized+Controlled+Trial&amp;stitle=Am+J+Sports+Med&amp;title=The+American+journal+of+sports+medicine&amp;volume=46&amp;issue=8&amp;spage=1800&amp;epage=1808&amp;aulast=Sajovic&amp;aufirst=Matjaz&amp;auinit=M.&amp;aufull=Sajovic+M.&amp;coden=&amp;isbn=&amp;pages=1800-1808&amp;date=2018&amp;auinit1=M&amp;auinitm=</t>
  </si>
  <si>
    <t>Walters B.L., Porter D.A., Hobart S.J., Bedford B.B., Hogan D.E., McHugh M.M., Klein D.A., Harousseau K., Nicholas S.J.</t>
  </si>
  <si>
    <t>(Walters B.L.; Porter D.A.; Hobart S.J.; Bedford B.B.; Nicholas S.J.) Sports Medicine Division, Department of Orthopaedic Surgery, Lenox Hill Hospital, NY, United States. , (Hogan D.E.; McHugh M.M.; Harousseau K.) Nicholas Institute of Sports Medicine and Athletic Trauma, NY, United States. , (Klein D.A.) Department of Radiology, Lenox Hill Hospital, Northwell Health, NY, United States.</t>
  </si>
  <si>
    <t>The American journal of sports medicine (2018) 46:8 (1827-1835). Date of Publication: 1 Jul 2018</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</si>
  <si>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Â± SD age, 30 Â±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 P = .08-.83). Kneeling pain improved from 12 weeks to 6 months and from 1 to 2 years ( P &lt; .05). IKDC scores improved substantially from 12 weeks to 6 months ( P &lt; .001) and continued to improve to 2 years (PRP, 86 Â± 19; sham, 89 Â± 10). MRI indices of donor site healing were not different between treatment groups ( P = .53-.90). CONCLUSION: Whether randomized to receive PRP in their patellar defect or not, patients continued to have similar levels of kneeling pain and patellar defect sizes after autograft BPTB ACL reconstruction. Registration: NCT01765712 ( ClinicalTrials.gov identifier).</t>
  </si>
  <si>
    <t>ClinicalTrials.gov (NCT01765712)</t>
  </si>
  <si>
    <t>L629131822</t>
  </si>
  <si>
    <t>http://dx.doi.org/10.1177/0363546518769295</t>
  </si>
  <si>
    <t>https://www.embase.com/search/results?subaction=viewrecord&amp;id=L629131822&amp;from=export</t>
  </si>
  <si>
    <t>https://catalyst.library.jhu.edu/openurl/01JHU_INST/01JHU_INST:JHU?sid=EMBASE&amp;sid=EMBASE&amp;issn=15523365&amp;id=doi:10.1177%2F0363546518769295&amp;atitle=Effect+of+Intraoperative+Platelet-Rich+Plasma+Treatment+on+Postoperative+Donor+Site+Knee+Pain+in+Patellar+Tendon+Autograft+Anterior+Cruciate+Ligament+Reconstruction%3A+A+Double-Blind+Randomized+Controlled+Trial&amp;stitle=Am+J+Sports+Med&amp;title=The+American+journal+of+sports+medicine&amp;volume=46&amp;issue=8&amp;spage=1827&amp;epage=1835&amp;aulast=Walters&amp;aufirst=Brian+L.&amp;auinit=B.L.&amp;aufull=Walters+B.L.&amp;coden=&amp;isbn=&amp;pages=1827-1835&amp;date=2018&amp;auinit1=B&amp;auinitm=L</t>
  </si>
  <si>
    <t>Comparison of hamstring and patellar tendon grafts in anterior cruciate ligament reconstruction: A prospective randomized study</t>
  </si>
  <si>
    <t>StaÅ„czak K., ZieliÅ„ska M., Synder M., DomÅ¼alski M., Polguj M., SibiÅ„ski M.</t>
  </si>
  <si>
    <t>(StaÅ„czak K.; ZieliÅ„ska M.) Clinic of Intensive Care, Cardiology, Clinic of Cardiology and Cardiac Surgery, Medical University of Lodz, ul. Pomorska, Å_x0081_Ã³dÅº, Poland. , (Synder M.; SibiÅ„ski M.) Clinic of Orthopedics and Pediatric Orthopedics, Medical University of Lodz, Å_x0081_Ã³dÅº, Poland. , (DomÅ¼alski M.) Clinic of Orthopedics, Traumatology and Rehabilitation of Post Traumatic University Clinical Hospital, Medical University of Lodz, Military Medical Academy, Å_x0081_Ã³dÅº, Poland. , (Polguj M., michal.polguj@umed.lodz.pl) Department of Angiology, Medical University of Lodz, Å_x0081_Ã³dÅº, Poland.</t>
  </si>
  <si>
    <t>M. Polguj, Department of Angiology, Medical University of Å_x0081_Ã³dÅº, ul. Narutowicza 60, Å_x0081_Ã³dÅº, Poland. Email: michal.polguj@umed.lodz.pl</t>
  </si>
  <si>
    <t>Journal of International Medical Research (2018) 46:2 (785-791). Date of Publication: 1 Feb 2018</t>
  </si>
  <si>
    <t>Journal of International Medical Research</t>
  </si>
  <si>
    <t>1473-2300 (electronic),0300-0605</t>
  </si>
  <si>
    <t>Objective: This prospective randomized study was performed to compare the outcomes of two operative methods of anterior cruciate ligament (ACL) reconstruction based on either boneâ€“patellar tendonâ€“bone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</si>
  <si>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L620798261</t>
  </si>
  <si>
    <t>10.1177/0300060517722696</t>
  </si>
  <si>
    <t>http://dx.doi.org/10.1177/0300060517722696</t>
  </si>
  <si>
    <t>https://www.embase.com/search/results?subaction=viewrecord&amp;id=L620798261&amp;from=export</t>
  </si>
  <si>
    <t>https://catalyst.library.jhu.edu/openurl/01JHU_INST/01JHU_INST:JHU?sid=EMBASE&amp;sid=EMBASE&amp;issn=14732300&amp;id=doi:10.1177%2F0300060517722696&amp;atitle=Comparison+of+hamstring+and+patellar+tendon+grafts+in+anterior+cruciate+ligament+reconstruction%3A+A+prospective+randomized+study&amp;stitle=J.+Int.+Med.+Res.&amp;title=Journal+of+International+Medical+Research&amp;volume=46&amp;issue=2&amp;spage=785&amp;epage=791&amp;aulast=Sta%C5%84czak&amp;aufirst=Katarzyna&amp;auinit=K.&amp;aufull=Sta%C5%84czak+K.&amp;coden=JIMRB&amp;isbn=&amp;pages=785-791&amp;date=2018&amp;auinit1=K&amp;auinitm=</t>
  </si>
  <si>
    <t>A Prospective Randomized Trial of Biologic Augmentation With Mesenchymal Stem Cells in Patients Undergoing Anterior Cruciate Ligament Reconstruction</t>
  </si>
  <si>
    <t>clinicaltrials.gov (2017). Date of Publication: 4 Dec 2017</t>
  </si>
  <si>
    <t>Brief SummaryThis study will evaluate the efficacy of biologic augmentation of ACL reconstruction with bone marrow derived mesenchymal stem cells as measured by magnetic resonance imaging to detect graft healing and integration. Secondary endpoints will include validated patient reported outcome measures, as well as functional outcome using objective examination findings.Detailed DescriptionIntroduction Anterior cruciate ligament (ACL) tears are a common and devastating injury among young athletes, and re-injury poses significant threats to both successful return to play and long term outcomes. Graft healing during ACL reconstruction (ACLR) is a slow biologic process, that involves graft incorporation into bone tunnel sites, as well as intra-articular graft remodeling . The intra-articular graft remodeling process is known as ligamentization, and occurs in three phases after ACLR. The first phase of early healing occurs between 0 and three months, the second phase occurs between 6 months and one year, and the final phase of maturation occurs after 1 year when the graft appears very similar to the native ACL. The studies that defined these time points biopsied human bone-patella tendon-bone (BTB) ACL autografts at different postoperative points, and described changes occurring over time in regards to vascularization, cellular aspects, and appearance of the extracellular matrix in comparison to control ACLs . Unlike animal models which display a necrotic stage, grafts in human models undergo an early vascular invasion, associated with fibroblasts that are converted to a hyper-cellular matrix with only focalized areas of necrosis . This process occurs as early as 3 weeks postoperatively, and increases over time as areas similar to the native patellar tendon with mature collagen and metabolically quiescent cells decrease . This process is the limiting factor in graft healing for bone-patella tendon-bone (BTB) grafts, as osteointegration occurs earlier . The processes of osteointegration and ligamentization are responses to the new intrasynovial milieu and physical forces that the new graft is exposed to. During these healing and restructuring processes, failure load and stiffness of grafts decreases by up to 24% at 7 weeks, before strengthening to their potential . This contributes to the long recovery period for ACLR, and the risk of re-rupture during this period. Advances in biologic adjuncts to accelerate and improve this healing process would have a significant impact on the management of ACL injuries. Recently, biologic preparations of various growth factors have been developed to safely and effectively treat a variety of musculoskeletal conditions, including tendinopathies and arthritis . Bone marrow aspirate concentrate (BMAC) consists of undifferentiated mesenchymal stem cells that are concentrated and applied to the injury site . Previous studies have demonstrated this treatment to offer the pluripotent potential of the cells to impact healing, regeneration, biomechanical strength, and reducing bone-tunnel enlargement . Investigators have demonstrated that mesenchymal stem cell reinforced grafts had a significantly higher failure load and stiffness as early as 8 week post-operation in a rabbit model, suggesting an added benefit of advanced healing . Using BMSCs can offer a novel method to enhance tendon graft osteointegration. While there have been numerous laboratory studies researching the effect of mesenchymal stem cells, there lacks evidence in translation to the clinical setting. Silva et al performed a study where they injected bone marrow derived stem cells (BMSCs) into patellar tendon grafts to examine for increased graft-to-bone tunnel integration. They did not find a significant difference of tunnel integration on MRI imaging, but they did not examine the intra-articular portions for the effect on the ligamentization process, nor did they examine the effect on clinical examination and patient reported outcomes . Quantitative MRI is a non-invasive method to interrogate tissue properties and evaluate the biochemical composition of tissues. The T2\* sequence gives information regarding tissue graft volume, water content, fiber alignment, and tissue density. Median grayscale values (a measure to determine tissue quality)can also be correlated to maximum failure load, yield load, and linear stiffness of grafts in a porcine model. Increases in MRI signals in ACL grafts have been found to be time dependent, becoming well established by three months, particularly at the distal intra-articular portion near the tibial tunnel . These changes have not been shown previously to be predictive of graft failure, but Investigators have recently also confirmed that normalized T2\* signal intensity values of ACL grafts have significant correlation with knee instability related to ligamentization and tunnel healing. A recent study examined intra-articular graft maturation after platelet-rich plasma gel (PRPG) application, with MRI at month intervals from 3-12 months postoperatively. The intra-articular segment was divided in a proximal, middle, and distal segment, on a scale from 0-3 ranging from completely homogenous to severely heterogeneous. The mean time to obtain completely homogenous bone-patella tendon-bone (BTB) graft was 109 days for the PRPG group, and 363 for the control group 8. We propose using quantitative magnetic resonance (MR) imaging with T2\* mapping to investigate if BMAC treatment at time of ACL reconstruction can accelerate the graft maturation and healing process. We will perform a randomized controlled trial of patients undergoing ACL reconstruction with bone-patellar tendon-bone allograft evaluating the T2\* weighted MRI changes of the graft at 3 and 9 months after surgical reconstruction. Additionally, we will obtain patient-reported outcome measures from this cohort to evaluate if BMAC treatment imparts a clinically-significant effect on ACL reconstruction. Study Rationale This study will evaluate the efficacy of biologic augmentation of ACL reconstruction with BMSCs as measured by magnetic resonance imaging to detect graft healing and integration. Secondary endpoints will include validated patient reported outcome measures, as well as functional outcome using objective examination findings. Hypothesis The hypotheses of this study are that there will be improved graft healing and integration at three and nine months as measured by decreased signal intensity and heterogeneity on T2\* MRI following administration of BMAC during ACL reconstruction compared to the control group. Additionally, patient reported outcomes and physical examination findings will be significantly improved at an earlier time in those who receive the BMAC treatment to their allograft compared to the control group. Study Plan This study will be a prospective randomized trial of patients undergoing arthroscopic reconstruction of full thickness anterior cruciate ligament (ACL) tears. All patients who sign consent and undergo full thickness ACL reconstruction will be enrolled in the study. Enrollment will continue until 32 patients, 16 in each group, are enrolled. Follow-up will take place at 6 weeks, 3 months, 6 months, 9 months, 12 months, and 24 months.</t>
  </si>
  <si>
    <t>LNCT04650568</t>
  </si>
  <si>
    <t>https://clinicaltrials.gov/study/NCT04650568</t>
  </si>
  <si>
    <t>https://www.embase.com/search/results?subaction=viewrecord&amp;id=LNCT04650568&amp;from=export</t>
  </si>
  <si>
    <t>Comparative Clinical Outcomes and Function Study Between MAKO Robotic-Arm Assisted UKA in ACL Intact and Deficient Knees</t>
  </si>
  <si>
    <t>clinicaltrials.gov (2017). Date of Publication: 20 Oct 2017</t>
  </si>
  <si>
    <t>Brief SummaryThis study represents a single-surgeon/institution, non-randomized, consecutive series, prospective and comparative cohort design. The Principal Investigator is anticipating 100 study patients in the INTACT group and 35 patients in the Anterior Cruciate Ligament-Deficient group.The schedule of events lists the imaging procedures and questionnaires to be completed at each visit. Subjects will be consented and enrolled within 28 days prior to surgery and participate in follow-up visits for two years following their Unicompartmental Knee Arthroplasty. A 3-year enrollment duration is anticipated to enroll a minimum and consecutive series of 25 patients in the experimental Anterior Cruciate Ligament-deficient group. Over the same enrollment duration, 100+ patients with intact Anterior Cruciate Ligaments are expected to be in the control group and undergo Unicompartmental Knee Arthroplasty. The enrollment duration (3 years) and total study duration (5 years) are based on patient volume estimates provided by the Principal Investigator.Detailed DescriptionTo compare functional and clinical outcomes in patients with and without intact Anterior Cruciate Ligament undergoing uni-compartmental knee arthroplasty with MAKOplasty Robotic-Arm Assisted Surgery. The primary outcome measurement tools utilized will be the Knee Society Score (KSS) and Knee Injury and Osteoarthritis Outcomes Score (KOOS,JR). Both the Knee Society Score and Knee Injury and Osteoarthritis Outcomes Score (KOOS,JR) are validated scoring systems. Patient-reported outcome data will be collected at the following study time points: * Preoperatively - Knee Society Score: Pre-Op, Knee Injury and Osteoarthritis Outcomes Score * 3 weeks (Â±1 week) - Knee Society Score: Post-Operative, Knee Injury and Osteoarthritis Outcomes Score , Subject Global Satisfaction Survey * 6 weeks (Â± 1 week) - Knee Society Score: Post-Operative, Knee Injury and Osteoarthritis Outcomes Score, Subject Global Satisfaction Survey * 3 months (Â± 2 weeks) - Knee Society Score: Post-Operative, Knee Injury and Osteoarthritis Outcomes Score, Subject Global Satisfaction Survey * 1 year (Â± 1 month) - Knee Society Score: Post-Operative, Knee Injury and Osteoarthritis Outcomes Score, Subject Global Satisfaction Survey * 2 years (Â± 2 months) - Knee Society Score: Post-Operative, Knee Injury and Osteoarthritis Outcomes Score, Subject Global Satisfaction Survey Subject Identification Each subject will be assigned a unique subject number. Subject numbers will not be re-assigned or re-used for any reason. Only assigned subject numbers and associated subject age, Anterior Cruciate Ligament integrity classification, pre/intra-operative imagery information, and temporal outcome data will be shared with Sponsor. Only subjects who meet the inclusion/exclusion criteria and sign the Inform Consent Form will be assigned a unique study identification number. Pre-Operative Anterior Cruciate Ligament Integrity The structural integrity of the Anterior Cruciate Ligament will be determined clinically and pre-operatively with the following: 1. Lachman's anterior drawer test: Performed while the patient is in the supine position with the knee in 20Â° of flexion. The distal femur is fixed with one hand, while the other hand holds the proximal tibia with the thumb on the anteromedial joint line. The tibia is pulled ventrally, and the examiner estimates the ventral displacement of the tibia with respect to the femur. There are three possible outcomes: graded as 1+ (0-5 mm of displacement), 2+ (6-10 mm of displacement) or 3+ (greater than 10 mm of displacement) A 2+ or 3+ Lachman's test grade will be indicative of ACL instability. 2. Anterior drawer test: Performed with the patient in the supine position with the hips flexed to 45Â°, the knees flexed to 90Â° and the feet flat on the table. The thumbs are placed along the joint line on either side of the patellar tendon and the tibia is drawn forward anteriorly. An increased amount of anterior tibial translation compared with the opposite limb or lack of a firm end point may be indicative of either a sprain of the anteromedial bundle or complete tear of the Anterior Cruciate Ligament. If the tibia pulls forward or backward more than normal, the test is considered positive. 3. Pivot-Shift Test: Test is performed with the patient lying in supine position with the hip passively flexed to 30Â°.The examiner stands lateral to the patient on the side of the knee that is being examined. The lower leg and ankle is grasped maintaining 20 degrees of internal tibial rotation. The knee is allowed to sag into complete extension. The opposite hand grasps the lateral portion of the leg at the level of the superior tibiofibular joint, increasing the force of internal rotation. While maintaining internal rotation, a valgus force is applied to the knee while it is slowly flexed. If the tibia's position on the femur reduces as the knee is flexed in the range of 30 to 40 degrees or if there is an anterior subluxation felt during extension the test is positive for instability. 4. Biodex knee laxity test: This quantitative evaluation of knee laxity will be performed in accordance with the standardized procedures utilized by the Department of Physical Therapy at Florida Orthopaedic Institute. Plain X-Ray Knee osteoarthritis will be diagnosed and subjectively graded by taking plain radiographs in accordance with the Principal Investigator's Standard of Care, which include a (1) weight-bearing (WB) postero-anterior (PA) view, (2) sunrise view, and (3) lateral view. Degenerative disease of the knees will be graded per the Ahlback - Grades 1-5, increasing in severity or Kellgren and Lawrence Grade 0-4, increasing in severity classification systems. The Principal Investigator also uses a subjective classification system of mild, moderate, or severe osteoarthritis, which is captured in the clinic note. Magnetic Resonance Imaging A standardized imaging protocol will be utilized for all Magnetic Resonance Imaging images. Specifically, a 3D-proton density non-fat suppressed fast spin echo sequence shall be used. Magnetic Resonance Imaging of the knee will be obtained prior to surgery using the parameters as requested by the Sponsor using Florida Orthopaedic Institute Siemens Aera 1.5T Magnetic Resonance Imaging scanner: TR/TE=1000/46, Flip angle=120Â°, repetition time=1000msec, echo time=46msec, bandwidth=97.3 Hz/pixel, matrix size= 320x300 pixels. The Sponsor has requested the use of a 3T magnet, but Florida Orthopaedic Institute currently has 1.5T magnets in their Magnetic Resonance Imaging scanners, so this request cannot be accommodated. We will perform a scan with the 1.5T magnet and share with Sponsor to confirm that the available imagery information is acceptable for their purposes. Computed Tomography (CT) Scans A Computed Tomography scan of the knee will be obtained prior to surgery using the standardized partial knee arthroplasty Computed Tomography scanning protocol with bone mineral density (BMD) phantom protocol as provided by the Sponsor. Sponsor will provide the phantom for use during scanning. A pre-operative Computed Tomography scan is required as the Standard of Care for robotic-arm assisted knee procedures. Each patient's Computed Tomography scan is used to create a 3D model of the patient's anatomy for accurate implant planning, bone resection and implant placement. KOOS-JR The abbreviated version of the Knee Injury and Osteoarthritis Outcome Score (KOOS) survey is a validated and self-reported questionnaire (7 questions) designed to measure "knee health" as it reflects aspects of pain, symptom severity, and activities of daily living (ADL) including movement or activities that are directly relevant and difficult for patients with knee Osteoarthritis.The Knee Injury- Osteoarthritis Outcomes Score-JR knee survey consists of 7 questions pertaining to knee stiffness, knee pain, and physical function. The survey will be administered to all patients at baseline, 3 weeks, 6 weeks, 3 months, 1 year and 2 years. KSS The knee society score has been in use for over 20 years and is a simple, objective means to measure a patient's functional ability before and after surgery (11-13). It includes ROM assessment. The Principal Investigator will utilize the updated Knee Society Score (2011), which has been modified to include both an objective physician-derived component with a subjective patient-derived component that evaluates pain relief, functional abilities, satisfaction, and fulfillment of expectations. This updated scoring system prioritizes the patient perspective, to better track patient expectations, satisfaction, and activity levels than was possible with its predecessor. Patients will complete this survey with the Principal Investigator at all study time points. Global Satisfaction Survey This custom, 2-page survey has been designed by the study team to track patient satisfaction after their Unicompartmental Knee Arthroplasty over time. It's a simple, seven-item survey that also includes a Visual Analogue Scale for knee pain. The survey will be administered to all patients at all post-operative visits. Intra-Operative Anterior Cruciate Ligament Integrity During surgery, the Anterior Cruciate Ligament will be inspected, manually stressed and probed following standard techniques to assess its structure and function.The state of the Anterior Cruciate Ligament will be recorded and classified into one of four categories per these intra-operative examinations and available pre-operative Magnetic Resonance Imaging data: Group 1 - intact Anterior Cruciate Ligament Group 2 - intact but fibrillated (frayed) ligament) Group 3 - nearly completely torn ligament (\&gt;50% and disrupted) Assessment will be performed by the Principal Investigator. Knees with Anterior Cruciate Ligaments classified as Group 1 and Group 2 will be accepted as functionally intact. Those classified as Group 3 will be deemed as having functionally absent Anterior Cruciate Ligaments.</t>
  </si>
  <si>
    <t>LNCT03354195</t>
  </si>
  <si>
    <t>https://clinicaltrials.gov/study/NCT03354195</t>
  </si>
  <si>
    <t>https://www.embase.com/search/results?subaction=viewrecord&amp;id=LNCT03354195&amp;from=export</t>
  </si>
  <si>
    <t>Iliopoulos E., Galanis N., Zafeiridis A., Iosifidis M., Papadopoulos P., Potoupnis M., Geladas N., Vrabas I.S., Kirkos J.</t>
  </si>
  <si>
    <t>(Iliopoulos E.; Potoupnis M.; Kirkos J.) Division of Sports Medicine, Department of Orthopaedics, Papageorgiou General Hospital, Medical School, Aristotle University of Thessaloniki, Ring Road, 56403, Thessaloniki, Greece, (Galanis N.) Division of Sports Medicine, Department of Orthopaedics, Papageorgiou General Hospital, Medical School, Aristotle University of Thessaloniki, Ring Road, 56403, Thessaloniki, Greece. kyros@med.auth.gr, (Zafeiridis A.; Vrabas I.S.) Department of Physical Education and Sports Science at Serres, Aristotle University of Thessaloniki, Serres, Greece, (Iosifidis M.) Sports Medicine Unit, 2nd Orthopaedic Department, Papageorgiou General Hospital, Thessaloniki, Greece, (Papadopoulos P.) 1st Department of Orthopaedics, Papanikolaou General Hospital, Medical School, Aristotle University of Thessaloniki, Thessaloniki, Greece, (Geladas N.) Department of Sport Medicine and Biology of Exercise, School of Physical Education and Sport Science, University of Athens, Athens, Greece</t>
  </si>
  <si>
    <t>Knee surgery, sports traumatology, arthroscopy : official journal of the ESSKA (2017) 25:10 (3155-3162). Date of Publication: 1 Oct 2017</t>
  </si>
  <si>
    <t>Knee surgery, sports traumatology, arthroscopy : official journal of the ESSKA</t>
  </si>
  <si>
    <t>1433-7347 (electronic)</t>
  </si>
  <si>
    <t>PURPOSE: Anterior cruciate ligament (ACL) injury is associated with a pathologic gait pattern and increased energy cost during locomotion. ACL reconstruction could improve the gait pattern. Hamstrings tendon (HAM) and bone-patellar tendon-bone (BPTB) grafts are usually used for reconstruction. The aim of this study was to compare the efficacy of anatomic ACL reconstruction with HAM and BPTB grafts on improving and normalizing the energy cost and physiologic reserves during flat, uphill, and downhill walking.METHODS: Twenty male subjects with unilateral ACL injuries were randomly assigned to ACL reconstruction with a HAM (n = 10) or BPTB (n = 10) graft. Ten matched controls were also enrolled. All participants performed three 8-min walking tasks at 0, +10, and -10 % gradients before and 9 months after surgery. Energy cost (oxygen consumption, VO2), heart rate (HR), and ventilation (VE) were measured. Lysholm/IKDC scores were recorded.RESULTS: Pre-operatively, VO2, HR, and VE were higher in the HAM and BPTB groups than in controls during walking at 0, +10, and -10 % gradients (p &lt; 0.001-0.01). Post-operatively, both HAM and BPTB groups showed reduced VO2, HR, and VE during the three walking tasks (p &lt; 0.001-0.01). Although the post-operative VO2 in both surgical groups reached 90-95 % of the normative (control) value during walking, it remained elevated against the value observed in controls (p &lt; 0.001-0.01). The HAM and BPTB groups showed no differences in post-surgical VO2 or HR during walking at all three gradients.CONCLUSION: Anatomic ACL reconstruction with either HAM or BPTB graft resulted in similar short-term improvements in energy cost and nearly normalized locomotion economy and cardiorespiratory reserves during flat, uphill, and downhill walking. The improved locomotion economy is an additional benefit of anatomic ACL reconstruction, irrespective of the type of graft used, that the orthopaedic surgeons should consider.II.</t>
  </si>
  <si>
    <t>L622298479</t>
  </si>
  <si>
    <t>http://dx.doi.org/10.1007/s00167-016-4229-4</t>
  </si>
  <si>
    <t>https://www.embase.com/search/results?subaction=viewrecord&amp;id=L622298479&amp;from=export</t>
  </si>
  <si>
    <t>https://catalyst.library.jhu.edu/openurl/01JHU_INST/01JHU_INST:JHU?sid=EMBASE&amp;sid=EMBASE&amp;issn=14337347&amp;id=doi:10.1007%2Fs00167-016-4229-4&amp;atitle=Anatomic+single-bundle+anterior+cruciate+ligament+reconstruction+improves+walking+economy%3A+hamstrings+tendon+versus+patellar+tendon+grafts&amp;stitle=Knee+Surg+Sports+Traumatol+Arthrosc&amp;title=Knee+surgery%2C+sports+traumatology%2C+arthroscopy+%3A+official+journal+of+the+ESSKA&amp;volume=25&amp;issue=10&amp;spage=3155&amp;epage=3162&amp;aulast=Iliopoulos&amp;aufirst=Efthymios&amp;auinit=E.&amp;aufull=Iliopoulos+E.&amp;coden=&amp;isbn=&amp;pages=3155-3162&amp;date=2017&amp;auinit1=E&amp;auinitm=</t>
  </si>
  <si>
    <t>This record is sourced from MEDLINEÂ®/PubMedÂ®, a database of the U.S. National Library of Medicine</t>
  </si>
  <si>
    <t>Comparison of patellar versus hamstring tendon autografts in arthroscopic anterior cruciate ligament reconstruction: A 6-month follow-up of a randomized clinical trial</t>
  </si>
  <si>
    <t>Sadeghpour A., Ebrahimpour A., Attar B., Azizian Z.</t>
  </si>
  <si>
    <t>(Sadeghpour A.; Attar B.) Department of Orthopaedic Surgery, Shohada Hospital, Tabriz University of Medical Sciences, Tabriz, Iran. , (Ebrahimpour A., Adelebrahimpour@gmail.com) Department of Orthopaedic Surgery, Shahid Beheshti University of Medical Sciences, Tehran, Iran. , (Azizian Z.) Iran University of Medical Sciences, Tehran, Iran.</t>
  </si>
  <si>
    <t>A. Ebrahimpour, Department of Orthopaedic Surgery, Shahid Beheshti University of Medical Sciences, Tehran, Iran. Email: Adelebrahimpour@gmail.com</t>
  </si>
  <si>
    <t>Journal of Research in Medical Sciences (2017) 22:9 Article Number: 105. Date of Publication: 1 Sep 2017</t>
  </si>
  <si>
    <t>Journal of Research in Medical Sciences</t>
  </si>
  <si>
    <t>1735-7136 (electronic),1735-1995</t>
  </si>
  <si>
    <t>Isfahan University of Medical Sciences(IUMS), Hezar Jerib Avenue, P.O. Box 81745-319, Isfahan, Iran.</t>
  </si>
  <si>
    <t>Background: The purpose of this study was to compare the outcomes of anterior cruciate ligament (ACL) reconstruction using the patellar versus hamstring tendon (HT) autograft. Materials and Methods: In this randomized clinical trial, fifty patients undergoing arthroscopic ACL reconstruction were randomized into two equal groups: Those treated with either autogenous patellar tendon grafts (PT group) or HT group grafts. All patients were reviewed immediately after surgery, at 6 and 12 weeks after surgery, and then at 6 months using the International Knee Documentation Committee evaluation form. Infection, severity of pain (visual analog scale), duration of rehabilitation, and clinical and magnetic resonance imaging (MRI) findings were assessed at the 6-month follow-up. Positive pivot shift and Lachman test were considered clinical signs and symptoms of treatment failure. In addition, the absence of the ACL or transverse ACL rather than the posterior oblique ligament is an MRI finding that indicates treatment failure. Results: Comparing changes in pain and range of motion (ROM) in patients first and 6 months after therapy show that pain had been relief significantly (P &lt; 0.001) and ROM dramatically changes (P &lt; 0.001). The average rehabilitation period in the PT group was 13.2 Â± 2.08 weeks whereas in the HT group, it was 9.28 Â± 2.26 weeks. A significant difference was seen between the two groups in terms of the rehabilitation period (P &lt; 0.001). No significant difference was found in the normal ROM between the groups (P = 0.32). When the pain severity was considered, a significant difference was found between the PT group and the HT group (P &lt; 0.001). The HT group patients had less knee pain than did the PT group patients. No significant difference in infection rates was seen between two groups (P = 0.66). Conclusion: Considering the better outcomes of HT reconstructions for the two parameters of pain severity and rehabilitation period, we consider HTs to be the ideal graft choice for ACL reconstructions.</t>
  </si>
  <si>
    <t>L619449402</t>
  </si>
  <si>
    <t>10.4103/jrms.JRMS_939_16</t>
  </si>
  <si>
    <t>http://dx.doi.org/10.4103/jrms.JRMS_939_16</t>
  </si>
  <si>
    <t>https://www.embase.com/search/results?subaction=viewrecord&amp;id=L619449402&amp;from=export</t>
  </si>
  <si>
    <t>https://catalyst.library.jhu.edu/openurl/01JHU_INST/01JHU_INST:JHU?sid=EMBASE&amp;sid=EMBASE&amp;issn=17357136&amp;id=doi:10.4103%2Fjrms.JRMS_939_16&amp;atitle=Comparison+of+patellar+versus+hamstring+tendon+autografts+in+arthroscopic+anterior+cruciate+ligament+reconstruction%3A+A+6-month+follow-up+of+a+randomized+clinical+trial&amp;stitle=J.+Res.+Med.+Sci.&amp;title=Journal+of+Research+in+Medical+Sciences&amp;volume=22&amp;issue=9&amp;spage=&amp;epage=&amp;aulast=Sadeghpour&amp;aufirst=Alireza&amp;auinit=A.&amp;aufull=Sadeghpour+A.&amp;coden=&amp;isbn=&amp;pages=-&amp;date=2017&amp;auinit1=A&amp;auinitm=</t>
  </si>
  <si>
    <t>Copyright 2017 Elsevier B.V., All rights reserved.</t>
  </si>
  <si>
    <t>Mei X., Zhang Z., Yang J.</t>
  </si>
  <si>
    <t>(Mei X.; Zhang Z.; Yang J., jingwenyang1982@126.com) Orthopedic Department, The Affiliated Taizhou peopleâ€™s Hospital of Nantong University, Taizhou, Jiangsu, China.</t>
  </si>
  <si>
    <t>J. Yang, Orthopedic Department, The Affiliated Taizhou peopleâ€™s Hospital of Nantong University, Taizhou, Jiangsu, China. Email: jingwenyang1982@126.com</t>
  </si>
  <si>
    <t>Archives of Orthopaedic and Trauma Surgery (2016) 136:12 (1733-1739). Date of Publication: 1 Dec 2016</t>
  </si>
  <si>
    <t>Springer Verlag, service@springer.de</t>
  </si>
  <si>
    <t>Purpose: To evaluate the clinical results of a randomized controlled trial of single-layer versus double-layer bone-patellar tendon-bone (BPTB) anterior cruciate ligament (ACL) reconstruction. Methods: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Results: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Conclusions: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</si>
  <si>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L611902043</t>
  </si>
  <si>
    <t>http://dx.doi.org/10.1007/s00402-016-2548-z</t>
  </si>
  <si>
    <t>https://www.embase.com/search/results?subaction=viewrecord&amp;id=L611902043&amp;from=export</t>
  </si>
  <si>
    <t>https://catalyst.library.jhu.edu/openurl/01JHU_INST/01JHU_INST:JHU?sid=EMBASE&amp;sid=EMBASE&amp;issn=14343916&amp;id=doi:10.1007%2Fs00402-016-2548-z&amp;atitle=Double-layer+versus+single-layer+bone-patellar+tendon-bone+anterior+cruciate+ligament+reconstruction%3A+a+prospective+randomized+study+with+3-year+follow-up&amp;stitle=Arch.+Orthop.+Trauma+Surg.&amp;title=Archives+of+Orthopaedic+and+Trauma+Surgery&amp;volume=136&amp;issue=12&amp;spage=1733&amp;epage=1739&amp;aulast=Mei&amp;aufirst=Xiaoliang&amp;auinit=X.&amp;aufull=Mei+X.&amp;coden=AOTSE&amp;isbn=&amp;pages=1733-1739&amp;date=2016&amp;auinit1=X&amp;auinitm=</t>
  </si>
  <si>
    <t>Assessment of the Results of Combined Anterolateral Ligament (ALL) + Antero Crusader Ligament (ACL) Plasty Compared to Classical KJ Plasty in Isolated ACL Ruptures</t>
  </si>
  <si>
    <t>clinicaltrials.gov (2016). Date of Publication: 29 Nov 2016</t>
  </si>
  <si>
    <t>Brief SummaryThe aim of the study is to show a reduction of a re-rupture rate with an ACL (antero crusader ligament) + ALL (anterolateral ligament) combined technique compared to a classical Kenneth-Jones ACL (antero crusader ligament) reconstruction technique.Detailed DescriptionThe aim is to evaluate the rate of re-rupture and to analyze knee function through scores analysis as International Knee Documentation Committee Subjective Knee (IKDC), Knee injury and osteoarthritis outcome score (KOOS), Lysholm-Tegner, and by objective measurements of laximetry and rotation. This study should include 2 groups of 296 patients with isolated ACL (antero crusader ligament) with clinical rotation : * operated by a conventional patellar tendon technique (first group) * operated by a technique combining a ALL (anterolateral ligament) and ACL plasty for the second group</t>
  </si>
  <si>
    <t>LNCT03740022</t>
  </si>
  <si>
    <t>https://clinicaltrials.gov/study/NCT03740022</t>
  </si>
  <si>
    <t>https://www.embase.com/search/results?subaction=viewrecord&amp;id=LNCT03740022&amp;from=export</t>
  </si>
  <si>
    <t>Bone-Albumin filling decreases donor site morbidity and enhances bone formation after anterior cruciate ligament reconstruction with bone-patellar tendon-bone autografts</t>
  </si>
  <si>
    <t>Schandl K., HorvÃ¡thy D.B., Doros A., Majzik E., Schwarz C.M., CsÃ¶nge L., Abkarovits G., Bucsi L., Lacza Z.</t>
  </si>
  <si>
    <t>(Schandl K.; HorvÃ¡thy D.B.; Schwarz C.M.; Lacza Z., zlacza@mac.com) Institute of Clinical Experimental Research, Semmelweis University, TÅ±zoltÃ³ u. 37-47, Budapest, Hungary. , (Schandl K.; Majzik E.; Abkarovits G.; Bucsi L.) Saint George University Teaching Hospital of County-FejÃ©r, SeregÃ©lyesi u. 3., SzÃ©kesfehÃ©rvÃ¡r, Hungary. , (Doros A.) Department of Transplantation and Surgery, Semmelweis University, Baross u. 23-26, Budapest, Hungary. , (CsÃ¶nge L.) West Hungarian Regional Tissue Bank, Petz AladÃ¡r County Hospital, VasvÃ¡ri PÃ¡l u. 2-4, GyÅ‘r, Hungary.</t>
  </si>
  <si>
    <t>Z. Lacza, Institute of Clinical Experimental Research, Semmelweis University, TÅ±zoltÃ³ u. 37-47, Budapest, Hungary. Email: zlacza@mac.com</t>
  </si>
  <si>
    <t>International Orthopaedics (2016) 40:10 (2097-2104). Date of Publication: 1 Oct 2016</t>
  </si>
  <si>
    <t>International Orthopaedics</t>
  </si>
  <si>
    <t>1432-5195 (electronic),0341-2695</t>
  </si>
  <si>
    <t>Purpose: Donor site pain affects 32â€“43 % of patients after anterior cruciate ligament surgery when the autograft is freshly harvested bone-patellar tendon-bone tissue. Our aim was to compare functional and morphological differences between donor sites with and without serum albumin-coated bone allograft filling. Methods: After harvesting and implanting the graft, the tibia site was filled with either fresh autologous cancellous bone enhanced with albumin-coated allograft or autologous bone alone. The patella site was filled either with albumin-coated allograft or with blood clot. Knee function was evaluated by the VISA, Lysholm and IKDC scores and a visual analog scale of pain during standing, kneeling and crouching after six weeks and six months. Computed tomography was performed at six months for morphological evaluation. Results: At six weeks, both groups were still recovering from surgery and the overall knee function was still impaired but the functional scores were significantly higher in the Bone-Albumin group. The pain with crouching and kneeling was also lower as compared to controls. At six months, the knee function scores were close to normal, with a slight decrease in the controls. Pain at kneeling was still prominent in the controls, but significantly lower in the Bone-Albumin group. Computed tomography showed significantly smaller bone defects and higher bone density in the Bone-Albumin group. Conclusions: Results from the present study indicate that donor site pain, a disturbing long-term side effect of bone-patellar tendon-bone surgery, is significantly reduced if bone buildup in the patella and the tibia is augmented by serum albumin-coated bone allografts.</t>
  </si>
  <si>
    <t>serum albumin (9048-46-8)</t>
  </si>
  <si>
    <t>L611028550</t>
  </si>
  <si>
    <t>10.1007/s00264-016-3246-8</t>
  </si>
  <si>
    <t>http://dx.doi.org/10.1007/s00264-016-3246-8</t>
  </si>
  <si>
    <t>https://www.embase.com/search/results?subaction=viewrecord&amp;id=L611028550&amp;from=export</t>
  </si>
  <si>
    <t>https://catalyst.library.jhu.edu/openurl/01JHU_INST/01JHU_INST:JHU?sid=EMBASE&amp;sid=EMBASE&amp;issn=14325195&amp;id=doi:10.1007%2Fs00264-016-3246-8&amp;atitle=Bone-Albumin+filling+decreases+donor+site+morbidity+and+enhances+bone+formation+after+anterior+cruciate+ligament+reconstruction+with+bone-patellar+tendon-bone+autografts&amp;stitle=Int.+Orthop.&amp;title=International+Orthopaedics&amp;volume=40&amp;issue=10&amp;spage=2097&amp;epage=2104&amp;aulast=Schandl&amp;aufirst=K%C3%A1roly&amp;auinit=K.&amp;aufull=Schandl+K.&amp;coden=IORTD&amp;isbn=&amp;pages=2097-2104&amp;date=2016&amp;auinit1=K&amp;auinitm=</t>
  </si>
  <si>
    <t>Copyright 2016 Elsevier B.V., All rights reserved.</t>
  </si>
  <si>
    <t>BjÃ¶rnsson H., Samuelsson K., Sundemo D., Desai N., Sernert N., RostgÃ¥rd-Christensen L., Karlsson J., Kartus J.</t>
  </si>
  <si>
    <t>(BjÃ¶rnsson H., haukurbj@hotmail.com; Samuelsson K.; Sundemo D.; Desai N.; Karlsson J.) Department of Orthopaedics, Sahlgrenska University Hospital, MÃ¶lndal, Sweden Department of Orthopaedics, Institute of Clinical Sciences, Sahlgrenska Academy, University of Gothenburg, Gothenburg, Sweden, (Sernert N.; Kartus J.) Department of Orthopaedics, Institute of Clinical Sciences, Sahlgrenska Academy, University of Gothenburg, Gothenburg, Sweden Department of Research and Development, NU-Hospital Group, TrollhÃ¤ttan/Uddevalla, Sweden Department of Orthopaedics, NU-Hospital Group, TrollhÃ¤ttan/Uddevalla, Sweden, (RostgÃ¥rd-Christensen L.) Department of Radiology, Skaraborg Hospital, LidkÃ¶ping, Sweden</t>
  </si>
  <si>
    <t>The American journal of sports medicine (2016) 44:9 (2304-2313). Date of Publication: 1 Sep 2016</t>
  </si>
  <si>
    <t>BACKGROUND: There is no consensus in the current literature on which surgical options render the best long-term results after anterior cruciate ligament (ACL) reconstruction in terms of clinical outcomes and the development of radiographic osteoarthritis (OA).PURPOSE: To investigate the long-term clinical and radiographic results after ACL reconstruction using either a patellar tendon (PT) autograft or a hamstring tendon (HT) autograft.STUDY DESIGN: Randomized controlled trial; Level of evidence, 2.METHODS: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examination.RESULTS: At the long-term follow-up, 147 (76%) patients were examined: 61 in the PT group and 86 in the HT group. The mean (Â±SD) follow-up time was 191.9 Â±15.1 months for the HT group and 202.6 Â±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</si>
  <si>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L618335230</t>
  </si>
  <si>
    <t>http://dx.doi.org/10.1177/0363546516646378</t>
  </si>
  <si>
    <t>https://www.embase.com/search/results?subaction=viewrecord&amp;id=L618335230&amp;from=export</t>
  </si>
  <si>
    <t>https://catalyst.library.jhu.edu/openurl/01JHU_INST/01JHU_INST:JHU?sid=EMBASE&amp;sid=EMBASE&amp;issn=15523365&amp;id=doi:10.1177%2F0363546516646378&amp;atitle=A+Randomized+Controlled+Trial+With+Mean+16-Year+Follow-up+Comparing+Hamstring+and+Patellar+Tendon+Autografts+in+Anterior+Cruciate+Ligament+Reconstruction&amp;stitle=Am+J+Sports+Med&amp;title=The+American+journal+of+sports+medicine&amp;volume=44&amp;issue=9&amp;spage=2304&amp;epage=2313&amp;aulast=Bj%C3%B6rnsson&amp;aufirst=Haukur&amp;auinit=H.&amp;aufull=Bj%C3%B6rnsson+H.&amp;coden=&amp;isbn=&amp;pages=2304-2313&amp;date=2016&amp;auinit1=H&amp;auinitm=</t>
  </si>
  <si>
    <t>Copyright 2017 Medline is the source for the citation and abstract of this record.</t>
  </si>
  <si>
    <t>Akelman M.R., Fadale P.D., Hulstyn M.J., Shalvoy R.M., Garcia A., Chin K.E., Duryea J., Badger G.J., Tung G.A., Fleming B.C.</t>
  </si>
  <si>
    <t>(Akelman M.R.) College of Medicine, Medical University of South Carolina, Charleston, South Carolina, USA, (Fadale P.D.; Hulstyn M.J.; Garcia A.; Chin K.E.; Fleming B.C., Braden_Fleming@brown.edu) Department of Orthopaedics, Rhode Island Hospital, Brown University, Providence, Rhode Island, USA, (Shalvoy R.M.) Department of Orthopaedics, Memorial Hospital of Rhode Island, Brown University, Pawtucket, Rhode Island, USA, (Duryea J.) Department of Radiology, Brigham and Women's Hospital, Harvard University, Boston, Massachusetts, USA, (Badger G.J.) Department of Medical Biostatistics, University of Vermont, Burlington, Vermont, USA, (Tung G.A.) Department of Diagnostic Imaging, Rhode Island Hospital, Brown University, Providence, Rhode Island, USA</t>
  </si>
  <si>
    <t>The American journal of sports medicine (2016) 44:7 (1660-1670). Date of Publication: 1 Jul 2016</t>
  </si>
  <si>
    <t>BACKGROUND: The "initial graft tension" applied at the time of graft fixation during anterior cruciate ligament (ACL) reconstruction surgery modulates joint contact mechanics, which in turn may promote posttraumatic osteoarthritis (OA).PURPOSE/HYPOTHESES: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knees.STUDY DESIGN: Randomized controlled trial; Level of evidence, 1.METHODS: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â‰¤ .017), KOOS quality of life and symptoms subscales (P &lt; .03), and OARSI radiographic score (P â‰¤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similar.REGISTRATION: NCT00434837.</t>
  </si>
  <si>
    <t>ClinicalTrials.gov (NCT00434837)</t>
  </si>
  <si>
    <t>L618900641</t>
  </si>
  <si>
    <t>http://dx.doi.org/10.1177/0363546516638387</t>
  </si>
  <si>
    <t>https://www.embase.com/search/results?subaction=viewrecord&amp;id=L618900641&amp;from=export</t>
  </si>
  <si>
    <t>https://catalyst.library.jhu.edu/openurl/01JHU_INST/01JHU_INST:JHU?sid=EMBASE&amp;sid=EMBASE&amp;issn=15523365&amp;id=doi:10.1177%2F0363546516638387&amp;atitle=Effect+of+Matching+or+Overconstraining+Knee+Laxity+During+Anterior+Cruciate+Ligament+Reconstruction+on+Knee+Osteoarthritis+and+Clinical+Outcomes%3A+A+Randomized+Controlled+Trial+With+84-Month+Follow-up&amp;stitle=Am+J+Sports+Med&amp;title=The+American+journal+of+sports+medicine&amp;volume=44&amp;issue=7&amp;spage=1660&amp;epage=1670&amp;aulast=Akelman&amp;aufirst=Matthew+R.&amp;auinit=M.R.&amp;aufull=Akelman+M.R.&amp;coden=&amp;isbn=&amp;pages=1660-1670&amp;date=2016&amp;auinit1=M&amp;auinitm=R</t>
  </si>
  <si>
    <t>Konrads C., Reppenhagen S., Plumhoff P., Hoberg M., Rudert M., Barthel T.</t>
  </si>
  <si>
    <t>(Konrads C., christian.konrads@gmail.com; Reppenhagen S.; Plumhoff P.; Hoberg M.; Rudert M.; Barthel T.) Department of Orthopaedic Surgery, KÃ¶nig-Ludwig-Haus, Julius-Maximilians-University Wuerzburg, Brettreichstr. 11, WÃ¼rzburg, Germany.</t>
  </si>
  <si>
    <t>C. Konrads, Department of Orthopaedic Surgery, KÃ¶nig-Ludwig-Haus, Julius-Maximilians-University Wuerzburg, Brettreichstr. 11, WÃ¼rzburg, Germany. Email: christian.konrads@gmail.com</t>
  </si>
  <si>
    <t>Archives of Orthopaedic and Trauma Surgery (2016) 136:4 (521-525). Date of Publication: 1 Apr 2016</t>
  </si>
  <si>
    <t>Introduction: 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Methods: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Results: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Conclusions: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</si>
  <si>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L607490183</t>
  </si>
  <si>
    <t>http://dx.doi.org/10.1007/s00402-015-2386-4</t>
  </si>
  <si>
    <t>https://www.embase.com/search/results?subaction=viewrecord&amp;id=L607490183&amp;from=export</t>
  </si>
  <si>
    <t>https://catalyst.library.jhu.edu/openurl/01JHU_INST/01JHU_INST:JHU?sid=EMBASE&amp;sid=EMBASE&amp;issn=14343916&amp;id=doi:10.1007%2Fs00402-015-2386-4&amp;atitle=No+significant+difference+in+clinical+outcome+and+knee+stability+between+patellar+tendon+and+semitendinosus+tendon+in+anterior+cruciate+ligament+reconstruction&amp;stitle=Arch.+Orthop.+Trauma+Surg.&amp;title=Archives+of+Orthopaedic+and+Trauma+Surgery&amp;volume=136&amp;issue=4&amp;spage=521&amp;epage=525&amp;aulast=Konrads&amp;aufirst=Christian&amp;auinit=C.&amp;aufull=Konrads+C.&amp;coden=AOTSE&amp;isbn=&amp;pages=521-525&amp;date=2016&amp;auinit1=C&amp;auinitm=</t>
  </si>
  <si>
    <t>Sasaki S., Tsuda E., Hiraga Y., Yamamoto Y., Maeda S., Sasaki E., Ishibashi Y.</t>
  </si>
  <si>
    <t>(Sasaki S.) Department of Orthopaedic Surgery, Hirosaki University Graduate School of Medicine, Hirosaki, Japan ss422412@rmail.plala.or.jp, (Tsuda E.; Hiraga Y.; Yamamoto Y.; Maeda S.; Sasaki E.; Ishibashi Y.) Department of Orthopaedic Surgery, Hirosaki University Graduate School of Medicine, Hirosaki, Japan</t>
  </si>
  <si>
    <t>The American journal of sports medicine (2016) 44:4 (855-864). Date of Publication: 1 Apr 2016</t>
  </si>
  <si>
    <t>BACKGROUND: There is controversy as to whether double-bundle anterior cruciate ligament (ACL) reconstruction with hamstring tendon graft (DB-HT) or single-bundle ACL reconstruction with patellar tendon graft (SB-PT) obtains the best clinical outcomes.PURPOSE: To compare the short-term clinical outcomes of DB-HT with those of rectangular-tunnel SB-PT (RTSB-PT) at 2-year follow-up and to identify the factors that affect subjective knee functional score.STUDY DESIGN: Randomized controlled trial. Level of evidence, 1.METHODS: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</si>
  <si>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L616093791</t>
  </si>
  <si>
    <t>http://dx.doi.org/10.1177/0363546515624471</t>
  </si>
  <si>
    <t>https://www.embase.com/search/results?subaction=viewrecord&amp;id=L616093791&amp;from=export</t>
  </si>
  <si>
    <t>https://catalyst.library.jhu.edu/openurl/01JHU_INST/01JHU_INST:JHU?sid=EMBASE&amp;sid=EMBASE&amp;issn=15523365&amp;id=doi:10.1177%2F0363546515624471&amp;atitle=Prospective+Randomized+Study+of+Objective+and+Subjective+Clinical+Results+Between+Double-Bundle+and+Single-Bundle+Anterior+Cruciate+Ligament+Reconstruction&amp;stitle=Am+J+Sports+Med&amp;title=The+American+journal+of+sports+medicine&amp;volume=44&amp;issue=4&amp;spage=855&amp;epage=864&amp;aulast=Sasaki&amp;aufirst=Shizuka&amp;auinit=S.&amp;aufull=Sasaki+S.&amp;coden=&amp;isbn=&amp;pages=855-864&amp;date=2016&amp;auinit1=S&amp;auinitm=</t>
  </si>
  <si>
    <t>Reruptures, reinjuries, and revisions at a minimum 2-year follow-up: A randomized clinical trial comparing 3 graft types for ACL reconstruction</t>
  </si>
  <si>
    <t>Mohtadi N., Chan D., Barber R., Paolucci E.O.</t>
  </si>
  <si>
    <t>(Mohtadi N., mohtadi@ucalgary.ca; Chan D.; Barber R.) Sport Medicine Centre, Faculty of Kinesiology, University of Calgary, 2500 University Drive NW, Calgary, AB, Canada. , (Paolucci E.O.) Departments of Surgery and Community Health Sciences, Cumming School of Medicine, University of Calgary, Calgary, AB, Canada.</t>
  </si>
  <si>
    <t>N. Mohtadi, Sport Medicine Centre, Faculty of Kinesiology, University of Calgary, 2500 University Drive NW, Calgary, AB, Canada. Email: mohtadi@ucalgary.ca</t>
  </si>
  <si>
    <t>Clinical Journal of Sport Medicine (2016) 26:2 (96-107). Date of Publication: 2016</t>
  </si>
  <si>
    <t>Clinical Journal of Sport Medicine</t>
  </si>
  <si>
    <t>1536-3724 (electronic),1050-642X</t>
  </si>
  <si>
    <t>Lippincott Williams and Wilkins, kathiest.clai@apta.org</t>
  </si>
  <si>
    <t>Objective: To evaluate the predictive factors for traumatic rerupture, reinjury, and atraumatic graft failure of anterior cruciate ligament (ACL) reconstruction at a minimum 2-year follow-up. Design: Double-blind randomized clinical trial (RCT) with intraoperative computer-generated allocation. Setting: University-based orthopedic referral practice. Patients: Three hundred thirty patients with isolated ACL defi-ciency were equally randomized to (1) patellar tendon (PT; mean, 29.2 years), (2) quadruple-stranded hamstring tendon (HT; mean, 29.0 years), and (3) double bundle using HT (DB; mean, 28.8 years). Three hundred twenty-two patients completed 2-year follow-up. Interventions: Anatomically positioned primary ACL reconstruction with PT, HT, and DB autografts. Main Outcome Measures: Proportions of complete traumatic reruptures, traumatic reinjuries (complete reruptures and partial tears), atraumatic graft failures, and contralateral ACL tears. Logistic regression assessed 5 a priori determined independent predictors: chronicity, graft type, age, sex, and Tegner level. Results: More complete traumatic reruptures occurred in the HT and DB groups: PT = 3; HT = 7; DB = 7 (P = 0.37). Traumatic reinjuries statistically favored PT reconstructions: (PT = 3; HT = 12; DB = 11; P = 0.05). Atraumatic graft failures were not different: PT = 16; HT = 17; DB = 20 (P = 0.75). Younger age was a significant predictor of complete traumatic reruptures and traumatic reinjuries (P, 0.01). Higher activity level, males, and patients with HT, DB, and acute reconstructions had greater odds of reinjury. None of these factors reached statistical significance. Contralateral ACL tears were not different between groups, but trends suggested that younger females were more likely to have a contralateral ACL tear. Conclusions: More traumatic reinjuries occurred with HT and DB grafts. Younger age was a predictor of complete traumatic rerupture and traumatic reinjury, irrespective of graft type.</t>
  </si>
  <si>
    <t>L608942904</t>
  </si>
  <si>
    <t>http://dx.doi.org/10.1097/JSM.0000000000000209</t>
  </si>
  <si>
    <t>https://www.embase.com/search/results?subaction=viewrecord&amp;id=L608942904&amp;from=export</t>
  </si>
  <si>
    <t>https://catalyst.library.jhu.edu/openurl/01JHU_INST/01JHU_INST:JHU?sid=EMBASE&amp;sid=EMBASE&amp;issn=15363724&amp;id=doi:10.1097%2FJSM.0000000000000209&amp;atitle=Reruptures%2C+reinjuries%2C+and+revisions+at+a+minimum+2-year+follow-up%3A+A+randomized+clinical+trial+comparing+3+graft+types+for+ACL+reconstruction&amp;stitle=Clin.+J.+Sport+Med.&amp;title=Clinical+Journal+of+Sport+Medicine&amp;volume=26&amp;issue=2&amp;spage=96&amp;epage=107&amp;aulast=Mohtadi&amp;aufirst=Nicholas&amp;auinit=N.&amp;aufull=Mohtadi+N.&amp;coden=CJSME&amp;isbn=&amp;pages=96-107&amp;date=2016&amp;auinit1=N&amp;auinitm=</t>
  </si>
  <si>
    <t>Webster K.E., Feller J.A., Hartnett N., Leigh W.B., Richmond A.K.</t>
  </si>
  <si>
    <t>(Webster K.E.) School of Allied Health, La Trobe University, Melbourne, Australia k.webster@latrobe.edu.au, (Feller J.A.) OrthoSport Victoria, Epworth HealthCare, Melbourne, Australia, (Hartnett N.) OrthoSport Victoria, Epworth HealthCare, Melbourne, Australia, (Leigh W.B.) OrthoSport Victoria, Epworth HealthCare, Melbourne, Australia, (Richmond A.K.) OrthoSport Victoria, Epworth HealthCare, Melbourne, Australia</t>
  </si>
  <si>
    <t>The American journal of sports medicine (2016) 44:1 (83-90). Date of Publication: 1 Jan 2016</t>
  </si>
  <si>
    <t>BACKGROUND: Numerous studies have compared patellar tendon (PT) and hamstring tendon (HS) anterior cruciate ligament (ACL) reconstructions in the short to midterm, but fewer long-term results have been published.HYPOTHESIS: There will be no difference in functional outcome between ACL reconstruction performed with PT and HS grafts, but PT grafts will have more donor site morbidity.STUDY DESIGN: Randomized controlled trial; Level of evidence, 1.METHODS: Sixty-five patients undergoing ACL reconstruction were randomized to receive either a PT graft or a 4-strand HS graft. Early results were reported at 4, 8, 12, 24, and 36 months. Forty-seven patients (22 of 31 PT and 25 of 34 HS) were reviewed at a mean of 15.3 years.RESULTS: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</si>
  <si>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L611394429</t>
  </si>
  <si>
    <t>http://dx.doi.org/10.1177/0363546515611886</t>
  </si>
  <si>
    <t>https://www.embase.com/search/results?subaction=viewrecord&amp;id=L611394429&amp;from=export</t>
  </si>
  <si>
    <t>https://catalyst.library.jhu.edu/openurl/01JHU_INST/01JHU_INST:JHU?sid=EMBASE&amp;sid=EMBASE&amp;issn=15523365&amp;id=doi:10.1177%2F0363546515611886&amp;atitle=Comparison+of+Patellar+Tendon+and+Hamstring+Tendon+Anterior+Cruciate+Ligament+Reconstruction%3A+A+15-Year+Follow-up+of+a+Randomized+Controlled+Trial&amp;stitle=Am+J+Sports+Med&amp;title=The+American+journal+of+sports+medicine&amp;volume=44&amp;issue=1&amp;spage=83&amp;epage=90&amp;aulast=Webster&amp;aufirst=Kate+E.&amp;auinit=K.E.&amp;aufull=Webster+K.E.&amp;coden=&amp;isbn=&amp;pages=83-90&amp;date=2016&amp;auinit1=K&amp;auinitm=E</t>
  </si>
  <si>
    <t>Copyright 2016 Medline is the source for the citation and abstract of this record.</t>
  </si>
  <si>
    <t>Mohtadi N., Chan D., Barber R., Oddone Paolucci E.</t>
  </si>
  <si>
    <t>(Mohtadi N., mohtadi@ucalgary.ca; Chan D.; Barber R.) Sport Medicine Centre, University of Calgary, Calgary, AB, Canada. , (Mohtadi N., mohtadi@ucalgary.ca) Department of Surgery, Faculty of Medicine, University of Calgary, Calgary, AB, Canada. , (Oddone Paolucci E.) Departments of Surgery and Community Health Sciences, Faculty of Medicine, University of Calgary, Calgary, AB, Canada.</t>
  </si>
  <si>
    <t>N. Mohtadi, Sport Medicine Centre, University of Calgary, Calgary, AB, Canada.</t>
  </si>
  <si>
    <t>Clinical Journal of Sport Medicine (2015) 25:4 (321-331). Date of Publication: 8 Jul 2015</t>
  </si>
  <si>
    <t>Objective: To compare 3 anatomically positioned autografts for anterior cruciate ligament (ACL) reconstruction, by measuring patient-reported disease-specific quality of life at 2 years postoperatively. Design: Double-blinded, randomized clinical trial with intraoperative computer-generated treatment allocation. Patients and an independent trained evaluator were blinded. Setting: University-based orthopedic referral practice. Patients: 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 Intervention: Anterior cruciate ligament reconstruction using PT, HT, or DB autografts. Main Outcome Measures: Measured at baseline, 1 and 2 years postoperatively - 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 Results: 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 Conclusions: Two-year disease-specific quality-of-life outcome was not different between the ACL reconstruction techniques. The PT reconstructions had significantly lower side-to-side differences on static stability measures. Patient and evaluator blinding was achieved. Level of Evidence: Level 1 (Therapeutic Studies). Clinical Relevance: 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</si>
  <si>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L600881138</t>
  </si>
  <si>
    <t>http://dx.doi.org/10.1097/JSM.0000000000000165</t>
  </si>
  <si>
    <t>https://www.embase.com/search/results?subaction=viewrecord&amp;id=L600881138&amp;from=export</t>
  </si>
  <si>
    <t>https://catalyst.library.jhu.edu/openurl/01JHU_INST/01JHU_INST:JHU?sid=EMBASE&amp;sid=EMBASE&amp;issn=15363724&amp;id=doi:10.1097%2FJSM.0000000000000165&amp;atitle=A+Randomized+Clinical+Trial+Comparing+Patellar+Tendon%2C+Hamstring+Tendon%2C+and+Double-Bundle+ACL+Reconstructions%3A+Patient-Reported+and+Clinical+Outcomes+at+a+Minimal+2-Year+Follow-up&amp;stitle=Clin.+J.+Sport+Med.&amp;title=Clinical+Journal+of+Sport+Medicine&amp;volume=25&amp;issue=4&amp;spage=321&amp;epage=331&amp;aulast=Mohtadi&amp;aufirst=Nicholas&amp;auinit=N.&amp;aufull=Mohtadi+N.&amp;coden=CJSME&amp;isbn=&amp;pages=321-331&amp;date=2015&amp;auinit1=N&amp;auinitm=</t>
  </si>
  <si>
    <t>Papalia R., Franceschi F., Tecame A., Dâ€™Adamio S., Maffulli N., Denaro V.</t>
  </si>
  <si>
    <t>(Papalia R.; Franceschi F.; Tecame A.; Dâ€™Adamio S.; Denaro V.) Department of Orthopaedic and Trauma Surgery, Campus Bio-Medico University of Rome, Via Alvaro del Portillo 200, Rome, Italy. , (Maffulli N., n.maffulli@qmul.ac.uk) Department of Musculoskeletal Disorders, Faculty of Medicine and Surgery, University of Salerno, Baronissi, Salerno, Italy. , (Maffulli N., n.maffulli@qmul.ac.uk) Centre for Sports and Exercise Medicine, Barts and The London School of Medicine and Dentistry, Mile End Hospital, 275 Bancroft Road, London, United Kingdom.</t>
  </si>
  <si>
    <t>N. Maffulli, Department of Musculoskeletal Disorders, Faculty of Medicine and Surgery, University of Salerno, Baronissi, Salerno, Italy. Email: n.maffulli@qmul.ac.uk</t>
  </si>
  <si>
    <t>International Orthopaedics (2015) 39:3 (527-534). Date of Publication: 1 Mar 2015</t>
  </si>
  <si>
    <t>Springer Verlag</t>
  </si>
  <si>
    <t>Purpose: The risk for re-tear following anterior cruciate ligament (ACL) reconstruction is influenced by several hormonal, neuromuscular, biomechanical and anatomic factors. One of the most important negative prognostic factors that markedly increase the risk for ACL re-tear is the presence of high knee-abduction moment (KAM), which can be measured immediately by landing on both feet after a vertical jump. We evaluated the effect in postoperative values for KAM according to the type of graft used for ACL reconstruction (hamstring vs patellar tendon) and a specific rehabilitation protocol focusing on recovery of muscular strength, proprioception and joint stabilisation.Methods: From November 2010 to September 2012, we enrolled 40 female recreational athletes with clinical and imaging evidence of ACL tear and randomised them in two groups. One group of patients underwent reconstruction with a hamstring-tendon graft and the second with a patellar-tendon graft. A custom rehabilitation programme focusing on proprioception was adopted. Clinical outcomes [International Knee Documentation Committee (IKDC) and Lysholm scores] and performance in functional test for stability (single-leg hop, timed hop, crossover triple hop, KAM test) were assessed preoperatively at three and six months postoperatively.Results: All patients showed statistically significant clinical improvements postoperatively when compared with preoperative values (P &lt; 0.0001). No significant intergroup difference was observed in all clinical scores and functional tests, with the exception of the value registered for the KAM test (P &lt; 0.0001).Conclusions: ACL reconstruction using patellar-tendon graft followed by rehabilitation centred on strength, proprioception and stability restoration can produce satisfactory values for KAM within the physiological range. The surgical strategies should be adapted to the patient on the basis of a multidisciplinary approach.</t>
  </si>
  <si>
    <t>L602556436</t>
  </si>
  <si>
    <t>http://dx.doi.org/10.1007/s00264-014-2513-9</t>
  </si>
  <si>
    <t>https://www.embase.com/search/results?subaction=viewrecord&amp;id=L602556436&amp;from=export</t>
  </si>
  <si>
    <t>https://catalyst.library.jhu.edu/openurl/01JHU_INST/01JHU_INST:JHU?sid=EMBASE&amp;sid=EMBASE&amp;issn=14325195&amp;id=doi:10.1007%2Fs00264-014-2513-9&amp;atitle=Anterior+cruciate+ligament+reconstruction+and+return+to+sport+activity%3A+postural+control+as+the+key+to+success&amp;stitle=Int.+Orthop.&amp;title=International+Orthopaedics&amp;volume=39&amp;issue=3&amp;spage=527&amp;epage=534&amp;aulast=Papalia&amp;aufirst=Rocco&amp;auinit=R.&amp;aufull=Papalia+R.&amp;coden=IORTD&amp;isbn=&amp;pages=527-534&amp;date=2015&amp;auinit1=R&amp;auinitm=</t>
  </si>
  <si>
    <t>Stensbirk F., Thorborg K., Konradsen L., JÃ¸rgensen U., HÃ¶lmich P.</t>
  </si>
  <si>
    <t>(Stensbirk F., frederikstensbirk@gmail.com; Thorborg K.; Konradsen L.; JÃ¸rgensen U.; HÃ¶lmich P.) Arthroscopic Centre Amager, Amager Hospital, Copenhagen University Hospital, Italiensvej 1, 2300, Copenhagen S, Denmark,</t>
  </si>
  <si>
    <t>Knee surgery, sports traumatology, arthroscopy : official journal of the ESSKA (2014) 22:9 (2094-2101). Date of Publication: 1 Sep 2014</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</si>
  <si>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reconstruction.LEVEL OF EVIDENCE: Therapeutic studies, Level I.</t>
  </si>
  <si>
    <t>L603535974</t>
  </si>
  <si>
    <t>http://dx.doi.org/10.1007/s00167-013-2630-9</t>
  </si>
  <si>
    <t>https://www.embase.com/search/results?subaction=viewrecord&amp;id=L603535974&amp;from=export</t>
  </si>
  <si>
    <t>https://catalyst.library.jhu.edu/openurl/01JHU_INST/01JHU_INST:JHU?sid=EMBASE&amp;sid=EMBASE&amp;issn=14337347&amp;id=doi:10.1007%2Fs00167-013-2630-9&amp;atitle=Iliotibial+band+autograft+versus+bone-patella-tendon-bone+autograft%2C+a+possible+alternative+for+ACL+reconstruction%3A+a+15-year+prospective+randomized+controlled+trial&amp;stitle=Knee+Surg+Sports+Traumatol+Arthrosc&amp;title=Knee+surgery%2C+sports+traumatology%2C+arthroscopy+%3A+official+journal+of+the+ESSKA&amp;volume=22&amp;issue=9&amp;spage=2094&amp;epage=2101&amp;aulast=Stensbirk&amp;aufirst=Frederik&amp;auinit=F.&amp;aufull=Stensbirk+F.&amp;coden=&amp;isbn=&amp;pages=2094-2101&amp;date=2014&amp;auinit1=F&amp;auinitm=</t>
  </si>
  <si>
    <t>Copyright 2015 Medline is the source for the citation and abstract of this record.</t>
  </si>
  <si>
    <t>Peterson L., Eklund U., EngstrÃ¶m B., Forssblad M., Saartok T., Valentin A.</t>
  </si>
  <si>
    <t>(Peterson L., peterson.lars@telia.com; Eklund U.; EngstrÃ¶m B.; Forssblad M.; Saartok T.; Valentin A.) The Sahlgrenska Academy, University of Gothenburg, Gothenburg, Sweden,</t>
  </si>
  <si>
    <t>Knee surgery, sports traumatology, arthroscopy : official journal of the ESSKA (2014) 22:9 (2109-2120). Date of Publication: 1 Sep 2014</t>
  </si>
  <si>
    <t>PURPOSE: The aim was to compare the outcome of anterior cruciate ligament (ACL) reconstruction with bone-patellar tendon-bone (BPTB) autograft, with and without a poly(urethane urea) augmentation device.METHODS: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swelling/hydrops.CONCLUSION: This study showed no significant difference in clinical outcome with use of an additional synthetic augmentation device in a single-bundle BPTB ACL reconstruction compared with non-augmentation, in short, intermediate, or long-term perspective.LEVEL OF EVIDENCE: Therapeutic study, Level I.</t>
  </si>
  <si>
    <t>polyurethan (61789-63-7)</t>
  </si>
  <si>
    <t>L603536094</t>
  </si>
  <si>
    <t>http://dx.doi.org/10.1007/s00167-013-2636-3</t>
  </si>
  <si>
    <t>https://www.embase.com/search/results?subaction=viewrecord&amp;id=L603536094&amp;from=export</t>
  </si>
  <si>
    <t>https://catalyst.library.jhu.edu/openurl/01JHU_INST/01JHU_INST:JHU?sid=EMBASE&amp;sid=EMBASE&amp;issn=14337347&amp;id=doi:10.1007%2Fs00167-013-2636-3&amp;atitle=Long-term+results+of+a+randomized+study+on+anterior+cruciate+ligament+reconstruction+with+or+without+a+synthetic+degradable+augmentation+device+to+support+the+autograft&amp;stitle=Knee+Surg+Sports+Traumatol+Arthrosc&amp;title=Knee+surgery%2C+sports+traumatology%2C+arthroscopy+%3A+official+journal+of+the+ESSKA&amp;volume=22&amp;issue=9&amp;spage=2109&amp;epage=2120&amp;aulast=Peterson&amp;aufirst=Lars&amp;auinit=L.&amp;aufull=Peterson+L.&amp;coden=&amp;isbn=&amp;pages=2109-2120&amp;date=2014&amp;auinit1=L&amp;auinitm=</t>
  </si>
  <si>
    <t>Mayr H.O., StÃ¼eken P., MÃ¼nch E.-O., Wolter M., Bernstein A., Suedkamp N.P., Stoehr A.</t>
  </si>
  <si>
    <t>(Mayr H.O.; StÃ¼eken P.; MÃ¼nch E.-O.; Wolter M.; Bernstein A.; Suedkamp N.P.; Stoehr A.) Department of Orthopedic and Trauma Surgery, Albert Ludwig University of Freiburg, Hugstetter Str. 55, 79106, Freiburg, Germany, hermann.mayr.ocm@gmx.de</t>
  </si>
  <si>
    <t>Knee surgery, sports traumatology, arthroscopy : official journal of the ESSKA (2014) 22:5 (1156-1162). Date of Publication: 1 May 2014</t>
  </si>
  <si>
    <t>PURPOSE: A controversial discussion is held on using stabilizing knee braces after anterior cruciate ligament (ACL) surgery. The current study investigated the influence of a stabilizing knee brace on results after ACL reconstruction using patellar tendon autografts.METHODS: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classification.RESULTS: Eighty-one per cent of the patients were examined 4 years post-operatively. IKDC 2000 subjective (brace group 90.5 Â± 8.9, braceless group 93.2 Â± 6.1) and objective results (brace A 30%, B 56%, C 16%; braceless A 32%, B 48%, C 20%) and instrumental measurement of anteroposterior laxity with KT1000 (brace 0.6 Â± 2.4 mm, braceless 1.8 Â± 3.4 mm) showed no significant differences. VAS pain results were significantly better in the braceless group at 1.0 Â± 1.2 versus 1.9 Â± 1.4 under sports activity or heavy physical work (p = 0.015). There were no radiographic differences concerning osteoarthritic findings and tunnel widening between the groups.CONCLUSION: Post-operative treatment with a stabilizing knee brace after ACL replacement showed no advantage over treatment without a brace at 4-year follow-up. The use of a knee-stabilizing brace after isolated ACL reconstruction with autologous patellar tendon graft is not recommended.II.</t>
  </si>
  <si>
    <t>L602096584</t>
  </si>
  <si>
    <t>http://dx.doi.org/10.1007/s00167-013-2564-2</t>
  </si>
  <si>
    <t>https://www.embase.com/search/results?subaction=viewrecord&amp;id=L602096584&amp;from=export</t>
  </si>
  <si>
    <t>https://catalyst.library.jhu.edu/openurl/01JHU_INST/01JHU_INST:JHU?sid=EMBASE&amp;sid=EMBASE&amp;issn=14337347&amp;id=doi:10.1007%2Fs00167-013-2564-2&amp;atitle=Brace+or+no-brace+after+ACL+graft%3F+Four-year+results+of+a+prospective+clinical+trial&amp;stitle=Knee+Surg+Sports+Traumatol+Arthrosc&amp;title=Knee+surgery%2C+sports+traumatology%2C+arthroscopy+%3A+official+journal+of+the+ESSKA&amp;volume=22&amp;issue=5&amp;spage=1156&amp;epage=1162&amp;aulast=Mayr&amp;aufirst=Hermann+O.&amp;auinit=H.O.&amp;aufull=Mayr+H.O.&amp;coden=&amp;isbn=&amp;pages=1156-1162&amp;date=2014&amp;auinit1=H&amp;auinitm=O</t>
  </si>
  <si>
    <t>Increased risk of osteoarthritis after anterior cruciate ligament reconstruction: a 14-year follow-up study of a randomized controlled trial.</t>
  </si>
  <si>
    <t>Barenius B., Ponzer S., Shalabi A., Bujak R., NorlÃ©n L., Eriksson K.</t>
  </si>
  <si>
    <t>(Barenius B., bjorn.barenius@sodersjukhuset.se) BjÃ¶rn Barenius, Orthopaedics Section, Department of Clinical Science and Education, SÃ¶dersjukhuset, Karolinska Institutet, SE-118 83 Stockholm, Sweden., (Ponzer S.; Shalabi A.; Bujak R.; NorlÃ©n L.; Eriksson K.)</t>
  </si>
  <si>
    <t>B. Barenius, Email: bjorn.barenius@sodersjukhuset.se</t>
  </si>
  <si>
    <t>The American journal of sports medicine (2014) 42:5 (1049-1057). Date of Publication: May 2014</t>
  </si>
  <si>
    <t>The reported prevalence of radiological osteoarthritis (OA) after anterior cruciate ligament (ACL) reconstruction varies from 10% to 90%. Purpose/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Randomized controlled trial; Level of evidence, 1.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â‰¥2. Using regression analysis, graft type, sex, age, overweight, time between injury and reconstruction, additional meniscus injury, and a number of other variables were assessed as risk factors for OA 14 years after ACL reconstruction.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</si>
  <si>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L373981905</t>
  </si>
  <si>
    <t>https://www.embase.com/search/results?subaction=viewrecord&amp;id=L373981905&amp;from=export</t>
  </si>
  <si>
    <t>https://catalyst.library.jhu.edu/openurl/01JHU_INST/01JHU_INST:JHU?sid=EMBASE&amp;sid=EMBASE&amp;issn=15523365&amp;id=doi:&amp;atitle=Increased+risk+of+osteoarthritis+after+anterior+cruciate+ligament+reconstruction%3A+a+14-year+follow-up+study+of+a+randomized+controlled+trial.&amp;stitle=Am+J+Sports+Med&amp;title=The+American+journal+of+sports+medicine&amp;volume=42&amp;issue=5&amp;spage=1049&amp;epage=1057&amp;aulast=Barenius&amp;aufirst=Bj%C3%B6rn&amp;auinit=B.&amp;aufull=Barenius+B.&amp;coden=&amp;isbn=&amp;pages=1049-1057&amp;date=2014&amp;auinit1=B&amp;auinitm=</t>
  </si>
  <si>
    <t>Copyright 2014 Medline is the source for the citation and abstract of this record.</t>
  </si>
  <si>
    <t>Is quadriceps tendon a better graft choice than patellar tendon? A prospective randomized study</t>
  </si>
  <si>
    <t>Lund B., Nielsen T., FaunÃ¸ P., Christiansen S.E., Lind M.</t>
  </si>
  <si>
    <t>(Lund B.; Nielsen T.; FaunÃ¸ P.; Christiansen S.E.; Lind M., martinlind@dadlnet.dk) Division of Sports Trauma, Aarhus University Hospital, Tage Hansens Gade 2, DK 8000 Aarhus, Denmark.</t>
  </si>
  <si>
    <t>M. Lind, Division of Sports Trauma, Aarhus University Hospital, Tage Hansens Gade 2, DK 8000 Aarhus, Denmark. Email: martinlind@dadlnet.dk</t>
  </si>
  <si>
    <t>Arthroscopy - Journal of Arthroscopic and Related Surgery (2014) 30:5 (593-598). Date of Publication: May 2014</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</si>
  <si>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Â± 1.4 mm and 0.8 Â± 1.7 mm standard deviation (SD) at follow-up in QTB and BPTB groups, respectively (P =.65), whereas positive pivot shift test results were seen less frequently (14% compared with 38%, respectively; P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Â± 13 patients and 76 Â± 16 SD at 1-year follow-up in QTB and BPTB groups, respectively (P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 Â© 2014 by the Arthroscopy Association of North America.</t>
  </si>
  <si>
    <t>L53053519</t>
  </si>
  <si>
    <t>http://dx.doi.org/10.1016/j.arthro.2014.01.012</t>
  </si>
  <si>
    <t>https://www.embase.com/search/results?subaction=viewrecord&amp;id=L53053519&amp;from=export</t>
  </si>
  <si>
    <t>https://catalyst.library.jhu.edu/openurl/01JHU_INST/01JHU_INST:JHU?sid=EMBASE&amp;sid=EMBASE&amp;issn=15263231&amp;id=doi:10.1016%2Fj.arthro.2014.01.012&amp;atitle=Is+quadriceps+tendon+a+better+graft+choice+than+patellar+tendon%3F+A+prospective+randomized+study&amp;stitle=Arthroscopy+J.+Arthroscopic++Relat.+Surg.&amp;title=Arthroscopy+-+Journal+of+Arthroscopic+and+Related+Surgery&amp;volume=30&amp;issue=5&amp;spage=593&amp;epage=598&amp;aulast=Lund&amp;aufirst=Bent&amp;auinit=B.&amp;aufull=Lund+B.&amp;coden=ARTHE&amp;isbn=&amp;pages=593-598&amp;date=2014&amp;auinit1=B&amp;auinitm=</t>
  </si>
  <si>
    <t>Copyright 2014 Elsevier B.V., All rights reserved.</t>
  </si>
  <si>
    <t>ACL reconstruction using bone-patella tendon-bone autograft: Press-fit technique vs. interference screw fixation</t>
  </si>
  <si>
    <t>Sarzaeem M.M., Najafi F., Razi M., Najafi M.A.</t>
  </si>
  <si>
    <t>(Sarzaeem M.M., mmsarzaeem@yahoo.com; Najafi F., faridehnajafi1@gmail.com) Department of Orthopedic Surgery, Imam Hossein Hospital, Shahid Beheshti University of Medical Sciences, Tehran, Iran. , (Razi M., mrazi_md@yahoo.com) Department of Orthopaedic and Sport Medicine, Rassole Akram Hospital, Iran University of Medical Sciences, Tehran, Iran. , (Najafi M.A.) Faculty of Medicine, Isfahan University of Medical Sciences, Esfahan, Iran.</t>
  </si>
  <si>
    <t>F. Najafi, Department of Orthopedic Surgery, Imam Hossein Hospital, Shahid Beheshti University of Medical Sciences, Tehran, Iran. Email: faridehnajafi1@gmail.com</t>
  </si>
  <si>
    <t>Archives of Orthopaedic and Trauma Surgery (2014) 134:7 (955-962). Date of Publication: July 2014</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</si>
  <si>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 Â© 2014 Springer-Verlag.</t>
  </si>
  <si>
    <t>L53171249</t>
  </si>
  <si>
    <t>http://dx.doi.org/10.1007/s00402-014-1999-3</t>
  </si>
  <si>
    <t>https://www.embase.com/search/results?subaction=viewrecord&amp;id=L53171249&amp;from=export</t>
  </si>
  <si>
    <t>https://catalyst.library.jhu.edu/openurl/01JHU_INST/01JHU_INST:JHU?sid=EMBASE&amp;sid=EMBASE&amp;issn=14343916&amp;id=doi:10.1007%2Fs00402-014-1999-3&amp;atitle=ACL+reconstruction+using+bone-patella+tendon-bone+autograft%3A+Press-fit+technique+vs.+interference+screw+fixation&amp;stitle=Arch.+Orthop.+Trauma+Surg.&amp;title=Archives+of+Orthopaedic+and+Trauma+Surgery&amp;volume=134&amp;issue=7&amp;spage=955&amp;epage=962&amp;aulast=Sarzaeem&amp;aufirst=M.M.&amp;auinit=M.M.&amp;aufull=Sarzaeem+M.M.&amp;coden=AOTSE&amp;isbn=&amp;pages=955-962&amp;date=2014&amp;auinit1=M&amp;auinitm=M</t>
  </si>
  <si>
    <t>AzcÃ¡rate A.V., Lamo-Espinosa J., Beola J.D.A., Gonzalez M.H., Gasque G.M., Nin J.R.V.</t>
  </si>
  <si>
    <t>(AzcÃ¡rate A.V., avalazc@gmail.com; Lamo-Espinosa J.; Gasque G.M.; Nin J.R.V.) Orthopedic Surgery and Traumatology, ClÃ­nica Universidad de Navarra, Av. Pio XII, 36, Pamplona, Spain. , (Beola J.D.A.) Radiologic Department, ClÃ­nica Universidad de Navarra, Pamplona, Spain. , (Gonzalez M.H.) Haematology Department, ClÃ­nica Universidad de Navarra, Pamplona, Spain.</t>
  </si>
  <si>
    <t>A.V. AzcÃ¡rate, Orthopedic Surgery and Traumatology, ClÃ­nica Universidad de Navarra, Av. Pio XII, 36, Pamplona, Spain.</t>
  </si>
  <si>
    <t>Injury (2014) 45:S4 (S36-S41). Date of Publication: 1 Oct 2014</t>
  </si>
  <si>
    <t>S4</t>
  </si>
  <si>
    <t>S36</t>
  </si>
  <si>
    <t>S41</t>
  </si>
  <si>
    <t>1879-0267 (electronic),0020-1383</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</si>
  <si>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EndoretÂ®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t>
  </si>
  <si>
    <t>L602004681</t>
  </si>
  <si>
    <t>http://dx.doi.org/10.1016/S0020-1383(14)70008-7</t>
  </si>
  <si>
    <t>https://www.embase.com/search/results?subaction=viewrecord&amp;id=L602004681&amp;from=export</t>
  </si>
  <si>
    <t>https://catalyst.library.jhu.edu/openurl/01JHU_INST/01JHU_INST:JHU?sid=EMBASE&amp;sid=EMBASE&amp;issn=18790267&amp;id=doi:10.1016%2FS0020-1383%2814%2970008-7&amp;atitle=Comparison+between+two+different+platelet-rich+plasma+preparations+and+control+applied+during+anterior+cruciate+ligament+reconstruction.+Is+there+any+evidence+to+support+their+use%3F&amp;stitle=Injury&amp;title=Injury&amp;volume=45&amp;issue=S4&amp;spage=S36&amp;epage=S41&amp;aulast=Azc%C3%A1rate&amp;aufirst=Andr%C3%A9s+Valent%C3%AD&amp;auinit=A.V.&amp;aufull=Azc%C3%A1rate+A.V.&amp;coden=INJUB&amp;isbn=&amp;pages=S36-S41&amp;date=2014&amp;auinit1=A&amp;auinitm=V</t>
  </si>
  <si>
    <t>Copyright 2015 Elsevier B.V., All rights reserved.</t>
  </si>
  <si>
    <t>Gifstad T., Sole A., Strand T., Uppheim G., GrÃ¸ntvedt T., Drogset J.O.</t>
  </si>
  <si>
    <t>(Gifstad T., tgifstad@gmail.com; Drogset J.O.) Department of Orthopaedics, St. Olavs Hospital, 7006 Trondheim, Norway. , (Gifstad T., tgifstad@gmail.com; Sole A.; Drogset J.O.) Norwegian University of Science and Technology, Trondheim, Norway. , (Strand T.) Department of Orthopaedics, Bergen Deaconal Hospital, Bergen, Norway. , (Uppheim G.) Department of Orthopaedics, Lovisenberg Deaconal Hospital, Oslo, Norway. , (GrÃ¸ntvedt T.) Rosenborg Clinic, Trondheim, Norway.</t>
  </si>
  <si>
    <t>T. Gifstad, Department of Orthopaedics, St. Olavs Hospital, 7006 Trondheim, Norway. Email: tgifstad@gmail.com</t>
  </si>
  <si>
    <t>Knee Surgery, Sports Traumatology, Arthroscopy (2013) 21:3 (576-583). Date of Publication: 2013</t>
  </si>
  <si>
    <t>Knee Surgery, Sports Traumatology, Arthroscopy</t>
  </si>
  <si>
    <t>0942-2056,1433-7347 (electronic)</t>
  </si>
  <si>
    <t>Springer Verlag, Tiergartenstrasse 17, Heidelberg, Germany.</t>
  </si>
  <si>
    <t>Purpose: Several studies compare the short- and long-term results of anterior cruciate ligament (ACL) reconstruction using bone-patellar tendon-bone (BPTB) graft or double-looped semitendinosus and gracilis (DLSG) graft. However, no studies evaluate the long-term results of BPTB grafts fixed with metal interference screws and DLSG grafts fixed with the Bone Mulch Screw and the Washer Loc. This prospective randomized multicentre study has the null hypothesis that there is no difference in long-term outcome between the two procedures. Methods: A total of 114 patients with a symptomatic ACL rupture were randomized to reconstruction with either a BPTB graft (N = 58) or a DLSG graft (N = 56). Follow-up was conducted after one, two and seven years. At the seven-year follow-up, 102 of the 114 patients (89%) were available for evaluation; however, 16 of these by telephone-interview only. Results: Ten patients in the BPTB group and 19 patients in the DLSG group underwent additional knee surgery (P = 0. 048), two and three, respectively, of these were ACL revisions (n. s.). The total flexion work was lower in the DLSG group (P = 0. 001). The mean peak flexion torque and extension work, however, showed no difference between the groups. No significant differences were found between the groups regarding the Tegner activity score, the Lysholm functional score, the Knee injury and osteoarthritis outcome score (KOOS), subjective knee function, anterior knee pain or mobility. There was no significant difference in laxity between the groups on the Lachman test or the KT-1,000 maximum manual force test. Conclusions: Both grafts and fixation methods resulted in satisfactory subjective outcome and objective stability. Both these methods can therefore be considered as suitable alternatives for ACL reconstructions. Level of evidence: II. Â© 2012 Springer-Verlag.</t>
  </si>
  <si>
    <t>L51904663</t>
  </si>
  <si>
    <t>http://dx.doi.org/10.1007/s00167-012-1947-0</t>
  </si>
  <si>
    <t>https://www.embase.com/search/results?subaction=viewrecord&amp;id=L51904663&amp;from=export</t>
  </si>
  <si>
    <t>https://catalyst.library.jhu.edu/openurl/01JHU_INST/01JHU_INST:JHU?sid=EMBASE&amp;sid=EMBASE&amp;issn=09422056&amp;id=doi:10.1007%2Fs00167-012-1947-0&amp;atitle=Long-term+follow-up+of+patellar+tendon+grafts+or+hamstring+tendon+grafts+in+endoscopic+ACL+reconstructions&amp;stitle=Knee+Surg.+Sports+Traumatol.+Arthroscopy&amp;title=Knee+Surgery%2C+Sports+Traumatology%2C+Arthroscopy&amp;volume=21&amp;issue=3&amp;spage=576&amp;epage=583&amp;aulast=Gifstad&amp;aufirst=Tone&amp;auinit=T.&amp;aufull=Gifstad+T.&amp;coden=&amp;isbn=&amp;pages=576-583&amp;date=2013&amp;auinit1=T&amp;auinitm=</t>
  </si>
  <si>
    <t>MEDLINEÂ® is the source for the citation and abstract of this record.</t>
  </si>
  <si>
    <t>Aseptically processed and chemically sterilized BTB allografts for anterior cruciate ligament reconstruction: A prospective randomized study</t>
  </si>
  <si>
    <t>Indelicato P.A., Ciccotti M.G., Boyd J., Higgins L.D., Shaffer B.S., Vangsness Jr. C.T.</t>
  </si>
  <si>
    <t>(Indelicato P.A., indelpa@ortho.ufl.edu) Department of Orthopaedics and Rehabilitation, University of Florida, 3450 Hull Road, Gainesville, FL, 32607, United States. , (Ciccotti M.G.) Rothman Institute, Department of Orthopaedic Surgery, Thomas Jefferson University, Philadelphia, PA, United States. , (Boyd J.) TRIA Orthopaedic Center, Minneapolis, MN, United States. , (Higgins L.D.) Department of Orthopedic Surgery, Brigham and Women's Hospital-Ortho, Boston, MA, United States. , (Shaffer B.S.) Washington Orthopaedic and Sports Surgery Center, Clinical Orthopedics, George Washington University, WA, DC, United States. , (Vangsness Jr. C.T.) Department of Orthopaedic Surgery, University of Southern California, Los Angeles, CA, United States.</t>
  </si>
  <si>
    <t>P. A. Indelicato, Email: indelpa@ortho.ufl.edu</t>
  </si>
  <si>
    <t>Knee Surgery, Sports Traumatology, Arthroscopy (2013) 21:9 (2107-2112). Date of Publication: September 2013</t>
  </si>
  <si>
    <t>1433-7347 (electronic),0942-2056</t>
  </si>
  <si>
    <t>Purpose: To compare the clinical outcomes of bone-patellar tendon-bone (BTB) allografts processed via a novel sterilization system with the traditional aseptically processed BTB allografts for anterior cruciate ligament (ACL) reconstruction. Methods: A total of 67 patients undergoing ACL reconstruction at 6 independent investigation sites were randomized into one of two intervention groups, BioCleanse-sterilized or aseptic BTB allografts. Inclusion criteria included an acute, isolated, unilateral ACL tear, and exclusion criteria included prior ACL injury, multi-ligament reconstruction, and signs of degenerative joint disease. Post-op examiners and patients were blinded to graft type. Patients were evaluated at 6, 12, and 24 months. Clinical outcomes were compared using the IKDC, a KT-1000 knee arthrometer, level of effusion, and ranges of motion (ROM). Results: After randomization, 24 patients received aseptic BTB allografts and 43 patients received BioCleanse-sterilized allografts. Significant improvement in IKDC scores (P &lt; 0.0001) as well as KT-1000 results (P &lt; 0.0001) was noted over the 24-month period for both groups. IKDC or KT-1000 results were not significantly different between groups at any time point. Active flexion ROM significantly improved from pre-op to 24-month follow-up (P &lt; 0.0001) with no difference between groups at any time point. Active extension ROM did not differ significantly between the two groups. Conclusions: These results indicate that the sterilization process, BioCleanse, did not demonstrate a statistical difference in clinical outcomes for the BTB allograft at 2 years. The BioCleanse process may provide surgeons with allografts clinically similar to aseptically processed allograft tissue with the benefit of addressing donor-to-recipient disease. Level of evidence: II. Â© 2012 The Author(s).</t>
  </si>
  <si>
    <t>L1052332114</t>
  </si>
  <si>
    <t>http://dx.doi.org/10.1007/s00167-012-2309-7</t>
  </si>
  <si>
    <t>https://www.embase.com/search/results?subaction=viewrecord&amp;id=L1052332114&amp;from=export</t>
  </si>
  <si>
    <t>https://catalyst.library.jhu.edu/openurl/01JHU_INST/01JHU_INST:JHU?sid=EMBASE&amp;sid=EMBASE&amp;issn=14337347&amp;id=doi:10.1007%2Fs00167-012-2309-7&amp;atitle=Aseptically+processed+and+chemically+sterilized+BTB+allografts+for+anterior+cruciate+ligament+reconstruction%3A+A+prospective+randomized+study&amp;stitle=Knee+Surg.+Sports+Traumatol.+Arthroscopy&amp;title=Knee+Surgery%2C+Sports+Traumatology%2C+Arthroscopy&amp;volume=21&amp;issue=9&amp;spage=2107&amp;epage=2112&amp;aulast=Indelicato&amp;aufirst=Peter+A.&amp;auinit=P.A.&amp;aufull=Indelicato+P.A.&amp;coden=&amp;isbn=&amp;pages=2107-2112&amp;date=2013&amp;auinit1=P&amp;auinitm=A</t>
  </si>
  <si>
    <t>Ipsilateral versus contralateral hamstring grafts in anterior cruciate ligament reconstruction: a prospective randomized trial.</t>
  </si>
  <si>
    <t>McRae S., Leiter J., McCormack R., Old J., MacDonald P.</t>
  </si>
  <si>
    <t>(McRae S., pmacdonald@panamclinic.com) Peter MacDonald, FRCS, Section of Orthopaedics, Department of Surgery, Pan Am Clinic/University of Manitoba, 75 Poseidon Bay, Winnipeg, MB, R3M 3E4, Canada., (Leiter J.; McCormack R.; Old J.; MacDonald P.)</t>
  </si>
  <si>
    <t>S. McRae, Email: pmacdonald@panamclinic.com</t>
  </si>
  <si>
    <t>The American journal of sports medicine (2013) 41:11 (2492-2499). Date of Publication: Nov 2013</t>
  </si>
  <si>
    <t>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To evaluate if ACLR using a hamstring tendon autograft results in better patient quality of life if the graft is harvested from the leg contralateral to the ACL rupture compared with the ipsilateral leg. Randomized controlled trial; Level of evidence, 1.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</si>
  <si>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L563069668</t>
  </si>
  <si>
    <t>https://www.embase.com/search/results?subaction=viewrecord&amp;id=L563069668&amp;from=export</t>
  </si>
  <si>
    <t>https://catalyst.library.jhu.edu/openurl/01JHU_INST/01JHU_INST:JHU?sid=EMBASE&amp;sid=EMBASE&amp;issn=15523365&amp;id=doi:&amp;atitle=Ipsilateral+versus+contralateral+hamstring+grafts+in+anterior+cruciate+ligament+reconstruction%3A+a+prospective+randomized+trial.&amp;stitle=Am+J+Sports+Med&amp;title=The+American+journal+of+sports+medicine&amp;volume=41&amp;issue=11&amp;spage=2492&amp;epage=2499&amp;aulast=McRae&amp;aufirst=Sheila&amp;auinit=S.&amp;aufull=McRae+S.&amp;coden=&amp;isbn=&amp;pages=2492-2499&amp;date=2013&amp;auinit1=S&amp;auinitm=</t>
  </si>
  <si>
    <t>Lui P.P.Y., Cheng Y.Y., Yung S.H., Hung A.S.L., Chan K.M.</t>
  </si>
  <si>
    <t>(Lui P.P.Y., pauline@ort.cuhk.edu.hk; Cheng Y.Y.; Yung S.H.; Hung A.S.L.; Chan K.M.) Department of Orthopaedics and Traumatology, Faculty of Medicine, The Chinese University of Hong Kong, Hong Kong Special Administrative Region, China. , (Lui P.P.Y., pauline@ort.cuhk.edu.hk; Yung S.H.; Hung A.S.L.; Chan K.M.) The Hong Kong Jockey Club Sports Medicine and Health Sciences Centre, Faculty of Medicine, The Chinese University of Hong Kong, Hong Kong Special Administrative Region, China. , (Lui P.P.Y., pauline@ort.cuhk.edu.hk) Program of Stem Cell and Regeneration, School of Biomedical Science, The Chinese University of Hong Kong, Hong Kong Special Administrative Region, China.</t>
  </si>
  <si>
    <t>P.P.Y. Lui, Prince of Wales Hospital, Shatin, Hong Kong Special Administrative Region, Clinical Sciences Building, China. Email: pauline@ort.cuhk.edu.hk</t>
  </si>
  <si>
    <t>Knee (2012) 19:6 (779-785). Date of Publication: December 2012</t>
  </si>
  <si>
    <t>0968-0160,1873-5800 (electronic)</t>
  </si>
  <si>
    <t>Elsevier, P.O. Box 211, Amsterdam, Netherlands.</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</si>
  <si>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 Â© 2012 Elsevier B.V.</t>
  </si>
  <si>
    <t>ClinicalTrials.gov (NCT00418964)</t>
  </si>
  <si>
    <t>L51912914</t>
  </si>
  <si>
    <t>http://dx.doi.org/10.1016/j.knee.2012.02.005</t>
  </si>
  <si>
    <t>https://www.embase.com/search/results?subaction=viewrecord&amp;id=L51912914&amp;from=export</t>
  </si>
  <si>
    <t>https://catalyst.library.jhu.edu/openurl/01JHU_INST/01JHU_INST:JHU?sid=EMBASE&amp;sid=EMBASE&amp;issn=09680160&amp;id=doi:10.1016%2Fj.knee.2012.02.005&amp;atitle=A+randomized+controlled+trial+comparing+bone+mineral+density+changes+of+three+different+ACL+reconstruction+techniques&amp;stitle=Knee&amp;title=Knee&amp;volume=19&amp;issue=6&amp;spage=779&amp;epage=785&amp;aulast=Lui&amp;aufirst=Pauline+Po+Yee&amp;auinit=P.P.Y.&amp;aufull=Lui+P.P.Y.&amp;coden=KNEEF&amp;isbn=&amp;pages=779-785&amp;date=2012&amp;auinit1=P&amp;auinitm=P.Y.</t>
  </si>
  <si>
    <t>Copyright 2013 Elsevier B.V., All rights reserved.</t>
  </si>
  <si>
    <t>Quality of life and clinical outcome comparison of semitendinosus and gracilis tendon versus patellar tendon autografts for anterior cruciate ligament reconstruction: an 11-year follow-up of a randomized controlled trial.</t>
  </si>
  <si>
    <t>Sajovic M., Strahovnik A., Dernovsek M.Z., Skaza K.</t>
  </si>
  <si>
    <t>(Sajovic M.) General Hospital Celje, Celje, Slovenia., (Strahovnik A.; Dernovsek M.Z.; Skaza K.)</t>
  </si>
  <si>
    <t>M. Sajovic, General Hospital Celje, Celje, Slovenia. Email: sajovic@siol.com</t>
  </si>
  <si>
    <t>The American journal of sports medicine (2011) 39:10 (2161-2169). Date of Publication: Oct 2011</t>
  </si>
  <si>
    <t>There are still controversies about graft selection for primary anterior cruciate ligament reconstruction. Prospective, randomized long-term studies are needed to determine the differences between the graft materials.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Randomized controlled trial; Level of evidence, 2.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Both hamstring and patellar tendon autografts provided good subjective outcomes and objective stability at 11 years. Positive pivot-shift test (1+) was significantly more frequent in the PT group. No significant differences in the rate of graft failure were identified. Patients with patellar tendon graft had a greater prevalence of osteoarthritis at 11 years after surgery.</t>
  </si>
  <si>
    <t>L560045113</t>
  </si>
  <si>
    <t>https://www.embase.com/search/results?subaction=viewrecord&amp;id=L560045113&amp;from=export</t>
  </si>
  <si>
    <t>https://catalyst.library.jhu.edu/openurl/01JHU_INST/01JHU_INST:JHU?sid=EMBASE&amp;sid=EMBASE&amp;issn=15523365&amp;id=doi:&amp;atitle=Quality+of+life+and+clinical+outcome+comparison+of+semitendinosus+and+gracilis+tendon+versus+patellar+tendon+autografts+for+anterior+cruciate+ligament+reconstruction%3A+an+11-year+follow-up+of+a+randomized+controlled+trial.&amp;stitle=Am+J+Sports+Med&amp;title=The+American+journal+of+sports+medicine&amp;volume=39&amp;issue=10&amp;spage=2161&amp;epage=2169&amp;aulast=Sajovic&amp;aufirst=Matjaz&amp;auinit=M.&amp;aufull=Sajovic+M.&amp;coden=&amp;isbn=&amp;pages=2161-2169&amp;date=2011&amp;auinit1=M&amp;auinitm=</t>
  </si>
  <si>
    <t>Single-bundle patellar tendon versus non-anatomical double-bundle hamstrings ACL reconstruction: A prospective randomized study at 8-year minimum follow-up</t>
  </si>
  <si>
    <t>Zaffagnini S., Bruni D., Marcheggiani Muccioli G.M., Bonanzinga T., Lopomo N., Bignozzi S., Marcacci M.</t>
  </si>
  <si>
    <t>(Zaffagnini S., s.zaffagnini@biomec.ior.it; Bruni D.; Marcheggiani Muccioli G.M.; Bonanzinga T.; Lopomo N.; Bignozzi S.; Marcacci M.) Orthopaedic and Traumatology Clinic 3rd, Rizzoli Orthopaedic Institute, Bologna University, Bologna, Italy. , (Zaffagnini S., s.zaffagnini@biomec.ior.it; Bruni D.; Marcheggiani Muccioli G.M.; Bonanzinga T.; Lopomo N.; Bignozzi S.; Marcacci M.) Biomechanics and Technology Innovation Laboratory, Codivilla-Putti Research Center, Rizzoli Orthopaedic Institute, Bologna University, Bologna, Italy. , (Zaffagnini S., s.zaffagnini@biomec.ior.it) Laboratorio di Biomeccanica, Istituti Ortopedici Rizzoli, via di Barbiano, 1/10, 40100 Bologna, Italy.</t>
  </si>
  <si>
    <t>S. Zaffagnini, Laboratorio di Biomeccanica, Istituti Ortopedici Rizzoli, via di Barbiano, 1/10, 40100 Bologna, Italy. Email: s.zaffagnini@biomec.ior.it</t>
  </si>
  <si>
    <t>Knee Surgery, Sports Traumatology, Arthroscopy (2011) 19:3 (390-397). Date of Publication: 2011</t>
  </si>
  <si>
    <t>Purpose: The purpose of this study was to compare subjective, objective and radiographic outcome of the lateralized single-bundle bone-patellar tendon-bone autograft with a non-anatomical double-bundle hamstring tendons autograft anterior cruciate ligament (ACL) reconstruction technique at long-term follow-up. Methods: Seventy-nine non-consecutive randomized patients (42 men; 37 women) with unilateral ACL insufficiency were prospectively evaluated, before and after ACL reconstruction by means of the above-mentioned techniques, with a minimum follow-up of 8 years (range 8-10 years; mean 8.6 years). In the double-bundle hamstrings technique, we used one tibial and one femoral tunnel combined with one "over-the-top" passage, cortical staple's fixation and we left intact hamstrings' tibial insertion. Patients were evaluated subjectively and objectively, using IKDC score, Tegner level, manual maximum displacement test with KT-2000â„¢ arthrometer. Radiographic evaluation was performed according to IKDC grading system, and re-intervention rate for meniscal lesions was also recorded. Results: The subjective and objective IKDC were similar in both groups while double-bundle hamstrings group showed significantly higher Tegner level (P = 0.0007), higher passive range of motion recovery (P = 0.0014), faster sport resumption (P = 0.0052), lower glide pivot-shift phenomenon (P = 0.0302) and lower re-intervention rate (P = 0.0116) compared with patellar tendon group. Radiographic evaluation showed significant lower objective degenerative changes in double-bundle hamstrings group at final follow-up (P = 0.0056). Conclusion: Although both techniques provide satisfactory results, double-bundle ACL reconstruction shows better functional results, with a faster return to sport activity, a lower re-operation rate and lower degenerative knee changes. Â© 2010 Springer-Verlag.</t>
  </si>
  <si>
    <t>L51009801</t>
  </si>
  <si>
    <t>http://dx.doi.org/10.1007/s00167-010-1225-y</t>
  </si>
  <si>
    <t>https://www.embase.com/search/results?subaction=viewrecord&amp;id=L51009801&amp;from=export</t>
  </si>
  <si>
    <t>https://catalyst.library.jhu.edu/openurl/01JHU_INST/01JHU_INST:JHU?sid=EMBASE&amp;sid=EMBASE&amp;issn=09422056&amp;id=doi:10.1007%2Fs00167-010-1225-y&amp;atitle=Single-bundle+patellar+tendon+versus+non-anatomical+double-bundle+hamstrings+ACL+reconstruction%3A+A+prospective+randomized+study+at+8-year+minimum+follow-up&amp;stitle=Knee+Surg.+Sports+Traumatol.+Arthroscopy&amp;title=Knee+Surgery%2C+Sports+Traumatology%2C+Arthroscopy&amp;volume=19&amp;issue=3&amp;spage=390&amp;epage=397&amp;aulast=Zaffagnini&amp;aufirst=Stefano&amp;auinit=S.&amp;aufull=Zaffagnini+S.&amp;coden=&amp;isbn=&amp;pages=390-397&amp;date=2011&amp;auinit1=S&amp;auinitm=</t>
  </si>
  <si>
    <t>Anterior cruciate ligament reconstruction using patellar tendon versus hamstring tendon: A prospective comparative study with 9-year follow-up</t>
  </si>
  <si>
    <t>Wipfler B., Donner S., Zechmann C.M., Springer J., Siebold R., Paessler H.H.</t>
  </si>
  <si>
    <t>(Wipfler B.; Springer J.; Siebold R.; Paessler H.H., hans.paessler@atos.de) Center for Knee and Foot Surgery, Sports Traumatology, ATOS Hospital, Heidelberg, Germany. , (Donner S.) St. Josefs Hospital, Wiesbaden, Germany. , (Zechmann C.M.) Department of Radiology, German Cancer Research Center, Heidelberg, Germany. , (Zechmann C.M.) Department of Nuclear Medicine, University Heidelberg, Heidelberg, Germany. , (Paessler H.H., hans.paessler@atos.de) Bismarckstrasse 9-15, 69115, Heidelberg, Germany.</t>
  </si>
  <si>
    <t>H. H. Paessler, Bismarckstrasse 9-15, 69115, Heidelberg, Germany. Email: hans.paessler@atos.de</t>
  </si>
  <si>
    <t>Arthroscopy - Journal of Arthroscopic and Related Surgery (2011) 27:5 (653-665). Date of Publication: May 2011</t>
  </si>
  <si>
    <t>0749-8063</t>
  </si>
  <si>
    <t>W.B. Saunders, Independence Square West, Philadelphia, United States.</t>
  </si>
  <si>
    <t>Purpose: To analyze the long-term evaluation of clinical, functional, and magnetic resonance imaging (MRI) results after implant-free press-fit anterior cruciate ligament (ACL) reconstruction with bonepatella tendon (BPT) versus quadrupled hamstring tendon (HT) grafts. Methods: Sixty-two ACL-insufficient patients were included in a prospective, randomized study (31 BPT and 31 HT). Both surgical procedures were performed without any implants by a press-fit technique by the senior author. The femoral tunnel was drilled through the anteromedial portal for anatomic placement. At 8.8 years after reconstruction, 53 patients (28 BPT and 25 HT) were examined by different clinical and functional tests. Bilateral MRI scans were performed and interpreted by an independent radiologist. Results: On follow-up, the score on the International Knee Documentation Committee evaluation form was significantly better in the HT group. The clinical examination including range of motion, KT-1000 test (MEDmetric, San Diego, CA), and pivot-shift test showed no significant differences. On isokinetic testing, the mean quadriceps strength was close to normal (96%) in both groups, but the hamstring strength was lower in the HT group (100.3%/95.1%). Kneeling (1.5/1.1, P = .002), knee walking (1.72/1.14, P = .002), and single-leg hop test (95.8%/99.1%, P = .057) were better in the HT group. The MRI findings about the mean degree of cartilage lesion (International Cartilage Repair Society protocol) of the operated (2.1/2.1) and nonoperated (1.4/1.8) knee showed no significant differences. No significant difference was found in the grade of medial or lateral meniscal lesion or the number of patients having meniscal lesions when the operated and nonoperated knees were compared. Tunnel measurements, Caton-Deschamps Index, and the sagittal ACL angle were similar. Conclusions: The implant-free press-fit technique for anterior cruciate ligament reconstruction by use of bonepatellar tendon and hamstring grafts with anatomic graft placement is an innovative technique to preserve the cartilage and meniscal status without significant differences between the operated and nonoperated knees in the long term. Significantly less anterior knee pain was noted in the hamstring group, when testing for kneeling and knee walking. Level of Evidence: Level II, prospective comparative study. Â© 2011 Arthroscopy Association of North America.</t>
  </si>
  <si>
    <t>L361621574</t>
  </si>
  <si>
    <t>http://dx.doi.org/10.1016/j.arthro.2011.01.015</t>
  </si>
  <si>
    <t>https://www.embase.com/search/results?subaction=viewrecord&amp;id=L361621574&amp;from=export</t>
  </si>
  <si>
    <t>https://catalyst.library.jhu.edu/openurl/01JHU_INST/01JHU_INST:JHU?sid=EMBASE&amp;sid=EMBASE&amp;issn=07498063&amp;id=doi:10.1016%2Fj.arthro.2011.01.015&amp;atitle=Anterior+cruciate+ligament+reconstruction+using+patellar+tendon+versus+hamstring+tendon%3A+A+prospective+comparative+study+with+9-year+follow-up&amp;stitle=Arthroscopy+J.+Arthroscopic++Relat.+Surg.&amp;title=Arthroscopy+-+Journal+of+Arthroscopic+and+Related+Surgery&amp;volume=27&amp;issue=5&amp;spage=653&amp;epage=665&amp;aulast=Wipfler&amp;aufirst=Benjamin&amp;auinit=B.&amp;aufull=Wipfler+B.&amp;coden=ARTHE&amp;isbn=&amp;pages=653-665&amp;date=2011&amp;auinit1=B&amp;auinitm=</t>
  </si>
  <si>
    <t>Copyright 2011 Elsevier B.V., All rights reserved.</t>
  </si>
  <si>
    <t>Drogset J.O., Straume L.G., BjÃ¸rkmo I., Myhr G.</t>
  </si>
  <si>
    <t>(Drogset J.O.) Trondheim University Hospital, Norwegian University of Science and Technology, Trondheim, Norway. , (Straume L.G., Jon.O.Drogset@ntnu.no; BjÃ¸rkmo I.) Norwegian University of Science and Technology, Trondheim, Norway. , (Myhr G.) Unilabs RÃ¸ntgen, Trondheim, Norway.</t>
  </si>
  <si>
    <t>L. G. Straume, Norwegian University of Science and Technology, Trondheim, Norway. Email: Jon.O.Drogset@ntnu.no</t>
  </si>
  <si>
    <t>Knee Surgery, Sports Traumatology, Arthroscopy (2011) 19:5 (753-759). Date of Publication: May 2011</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</si>
  <si>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 Â© 2011 The Author(s).</t>
  </si>
  <si>
    <t>lactic acid (113-21-3, 50-21-5), polylactic acid (26100-51-6)</t>
  </si>
  <si>
    <t>L51233250</t>
  </si>
  <si>
    <t>http://dx.doi.org/10.1007/s00167-010-1353-4</t>
  </si>
  <si>
    <t>https://www.embase.com/search/results?subaction=viewrecord&amp;id=L51233250&amp;from=export</t>
  </si>
  <si>
    <t>https://catalyst.library.jhu.edu/openurl/01JHU_INST/01JHU_INST:JHU?sid=EMBASE&amp;sid=EMBASE&amp;issn=09422056&amp;id=doi:10.1007%2Fs00167-010-1353-4&amp;atitle=A+prospective+randomized+study+of+ACL-reconstructions+using+bone-patellar+tendon-bone+grafts+fixed+with+bioabsorbable+or+metal+interference+screws&amp;stitle=Knee+Surg.+Sports+Traumatol.+Arthroscopy&amp;title=Knee+Surgery%2C+Sports+Traumatology%2C+Arthroscopy&amp;volume=19&amp;issue=5&amp;spage=753&amp;epage=759&amp;aulast=Drogset&amp;aufirst=Jon+Olav&amp;auinit=J.O.&amp;aufull=Drogset+J.O.&amp;coden=&amp;isbn=&amp;pages=753-759&amp;date=2011&amp;auinit1=J&amp;auinitm=O</t>
  </si>
  <si>
    <t>Autologous patellar tendon and quadrupled hamstring grafts in anterior cruciate ligament reconstruction: A prospective randomized multicenter review of different fixation methods</t>
  </si>
  <si>
    <t>Drogset J.O., Strand T., Uppheim G., Ã˜degÃ¥rd B., BÃ¸e A., GrÃ¸ntvedt T.</t>
  </si>
  <si>
    <t>(Drogset J.O., Jon.O.Drogset@ntnu.no) Department of Orthopaedics, St. Olav's Hospital, 7006 Trondheim, Norway. , (Strand T.) Department of Orthopaedics, Bergen Deaconal Hospital, Bergen, Norway. , (Uppheim G.; Ã˜degÃ¥rd B.) Department of Orthopaedics, Lovisenberg Diakonale Hospital, Oslo, Norway. , (BÃ¸e A.) Bergen Spine Centre, Bergen, Norway. , (GrÃ¸ntvedt T.) Rosenborg Clinic, Trondheim, Norway.</t>
  </si>
  <si>
    <t>J. O. Drogset, Department of Orthopaedics, St. Olav's Hospital, 7006 Trondheim, Norway. Email: Jon.O.Drogset@ntnu.no</t>
  </si>
  <si>
    <t>Knee Surgery, Sports Traumatology, Arthroscopy (2010) 18:8 (1085-1093). Date of Publication: 2010</t>
  </si>
  <si>
    <t>ACL reconstruction with bone patellar tendon bone (BPTB) grafts has been shown to produce dependable results. Recently, reconstructions with double-looped semitendinosus gracilis (DLSG) grafts have become common. The prevailing opinion is that ACL reconstruction with patellar tendon graft produces a more stable knee with more anterior knee pain than DLSG grafts, while the functional results and knee scores are similar. The present study evaluates BPTB grafts fixed with metallic interference screws and DLSG grafts fixed with Bone Mulch Screw on the femur and WasherLoc fixation on the tibia. All else being the same, there is no difference in the outcome between the two grafts and fixation methods. This is a prospective randomized multicenter study. A total of 115 patients Screws and WasherLoc Screws. Follow-up was at one and two years; the latter by an independent observer. At two years, one ACL revision had been performed in each group. Eight patients in the DLSG group and one in the BPTB group underwent meniscus surgery in the follow-up period (P = 0.014). Mean Lysholm score at the two year follow-up was 91 (SD Â± 10.3) in the DLSG group and also 91 (SD Â± 10.2) in the BPTB group. Mean KT-1000 at two years was 1.5 mm in the BPTB group and 1.8 mm in the DLSG group (n.s.). At two years, four patients in the BPTB group and three in the DLSG group had a Lachman test grade 2 or 3 (n.s.). More patients in the BPTB group had pain at the lower pole of the patella (P = 0.04). Peak flexion torque and total flexion work were lower in the DLSG group at one year (P = 0.003 and P = 0.000) and total flexion work also at two years (P = 0.05). BPTB ACL reconstruction fixed with interference screws and DLSG fixed with Bone Mulch Screws on the femur and WasherLoc Screws on the tibia produce satisfactory and nearly identical outcomes. Among our patients in the DLSG group, flexion strength was lower, and more patients underwent meniscus surgery in the follow-up period. The BPTB group has more anterior knee pain. Â© 2009 Springer-Verlag.</t>
  </si>
  <si>
    <t>L50724048</t>
  </si>
  <si>
    <t>http://dx.doi.org/10.1007/s00167-009-0996-5</t>
  </si>
  <si>
    <t>https://www.embase.com/search/results?subaction=viewrecord&amp;id=L50724048&amp;from=export</t>
  </si>
  <si>
    <t>https://catalyst.library.jhu.edu/openurl/01JHU_INST/01JHU_INST:JHU?sid=EMBASE&amp;sid=EMBASE&amp;issn=09422056&amp;id=doi:10.1007%2Fs00167-009-0996-5&amp;atitle=Autologous+patellar+tendon+and+quadrupled+hamstring+grafts+in+anterior+cruciate+ligament+reconstruction%3A+A+prospective+randomized+multicenter+review+of+different+fixation+methods&amp;stitle=Knee+Surg.+Sports+Traumatol.+Arthroscopy&amp;title=Knee+Surgery%2C+Sports+Traumatology%2C+Arthroscopy&amp;volume=18&amp;issue=8&amp;spage=1085&amp;epage=1093&amp;aulast=Drogset&amp;aufirst=Jon+Olav&amp;auinit=J.O.&amp;aufull=Drogset+J.O.&amp;coden=&amp;isbn=&amp;pages=1085-1093&amp;date=2010&amp;auinit1=J&amp;auinitm=O</t>
  </si>
  <si>
    <t>Arthroscopic anterior cruciate ligament surgery: Results of autogenous patellar tendon graft versus the Leeds-Keio synthetic graft. Five year follow-up of a prospective randomised controlled trial</t>
  </si>
  <si>
    <t>Ghalayini S.R.A., Helm A.T., Bonshahi A.Y., Lavender A., Johnson D.S., Smith R.B.</t>
  </si>
  <si>
    <t>(Ghalayini S.R.A., simonghalayini@doctors.org.uk; Helm A.T.; Bonshahi A.Y.; Smith R.B.) Department of Trauma and Orthopaedic Surgery, Lancashire Teaching Hospitals NHS Foundation Trust, Royal Preston Hospital, Sharoe Green Lane, Preston, PR2 9HT, United Kingdom. , (Lavender A.; Johnson D.S.) Department of Trauma and Orthopaedic Surgery, Aspen House, Stockport NHS Foundation Trust, Stepping Hill Hospital, Stockport, SK2 7JE, United Kingdom.</t>
  </si>
  <si>
    <t>S.R.A. Ghalayini, Department of Trauma and Orthopaedic Surgery, Lancashire Teaching Hospitals NHS Foundation Trust, Royal Preston Hospital, Sharoe Green Lane, Preston. PR2 9HT, United Kingdom. Email: simonghalayini@doctors.org.uk</t>
  </si>
  <si>
    <t>Knee (2010) 17:5 (334-339). Date of Publication: October 2010</t>
  </si>
  <si>
    <t>0968-0160</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</si>
  <si>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 Â© 2009 Elsevier B.V.</t>
  </si>
  <si>
    <t>L50682486</t>
  </si>
  <si>
    <t>http://dx.doi.org/10.1016/j.knee.2009.09.008</t>
  </si>
  <si>
    <t>https://www.embase.com/search/results?subaction=viewrecord&amp;id=L50682486&amp;from=export</t>
  </si>
  <si>
    <t>https://catalyst.library.jhu.edu/openurl/01JHU_INST/01JHU_INST:JHU?sid=EMBASE&amp;sid=EMBASE&amp;issn=09680160&amp;id=doi:10.1016%2Fj.knee.2009.09.008&amp;atitle=Arthroscopic+anterior+cruciate+ligament+surgery%3A+Results+of+autogenous+patellar+tendon+graft+versus+the+Leeds-Keio+synthetic+graft.+Five+year+follow-up+of+a+prospective+randomised+controlled+trial&amp;stitle=Knee&amp;title=Knee&amp;volume=17&amp;issue=5&amp;spage=334&amp;epage=339&amp;aulast=Ghalayini&amp;aufirst=S.R.A.&amp;auinit=S.R.A.&amp;aufull=Ghalayini+S.R.A.&amp;coden=KNEEF&amp;isbn=&amp;pages=334-339&amp;date=2010&amp;auinit1=S&amp;auinitm=R.A.</t>
  </si>
  <si>
    <t>Quality of life and clinical outcome after anterior cruciate ligament reconstruction using patellar tendon graft or quadrupled semitendinosus graft: an 8-year follow-up of a randomized controlled trial.</t>
  </si>
  <si>
    <t>Barenius B., Nordlander M., Ponzer S., Tidermark J., Eriksson K.</t>
  </si>
  <si>
    <t>(Barenius B.) Department of Orthopaedics, SÃ¶dersjukhuset, Stockholm, Sweden., (Nordlander M.; Ponzer S.; Tidermark J.; Eriksson K.)</t>
  </si>
  <si>
    <t>B. Barenius, Department of Orthopaedics, SÃ¶dersjukhuset, Stockholm, Sweden. Email: bjorn.barenius@sodersjukhuset.se</t>
  </si>
  <si>
    <t>The American journal of sports medicine (2010) 38:8 (1533-1541). Date of Publication: Aug 2010</t>
  </si>
  <si>
    <t>Randomized controlled trials after anterior cruciate ligament reconstructions with long-term follow-up including assessment of health-related quality of life are rare. To compare clinical outcome and health-related quality of life 8 years after anterior cruciate ligament reconstruction using 2 types of graft. Randomized controlled trial; Level of evidence, 1.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In the long term, the semitendinosus graft provided similar stability, knee function, and health-related quality of life but with less kneeling morbidity than did the bone-patellar tendon-bone graft.</t>
  </si>
  <si>
    <t>L360300182</t>
  </si>
  <si>
    <t>https://www.embase.com/search/results?subaction=viewrecord&amp;id=L360300182&amp;from=export</t>
  </si>
  <si>
    <t>https://catalyst.library.jhu.edu/openurl/01JHU_INST/01JHU_INST:JHU?sid=EMBASE&amp;sid=EMBASE&amp;issn=15523365&amp;id=doi:&amp;atitle=Quality+of+life+and+clinical+outcome+after+anterior+cruciate+ligament+reconstruction+using+patellar+tendon+graft+or+quadrupled+semitendinosus+graft%3A+an+8-year+follow-up+of+a+randomized+controlled+trial.&amp;stitle=Am+J+Sports+Med&amp;title=The+American+journal+of+sports+medicine&amp;volume=38&amp;issue=8&amp;spage=1533&amp;epage=1541&amp;aulast=Barenius&amp;aufirst=Bj%C3%B6rn&amp;auinit=B.&amp;aufull=Barenius+B.&amp;coden=&amp;isbn=&amp;pages=1533-1541&amp;date=2010&amp;auinit1=B&amp;auinitm=</t>
  </si>
  <si>
    <t>No difference in knee function or prevalence of osteoarthritis after reconstruction of the anterior cruciate ligament with 4-strand hamstring autograft versus patellar tendon-bone autograft: a randomized study with 10-year follow-up.</t>
  </si>
  <si>
    <t>Holm I., Oiestad B.E., Risberg M.A., Aune A.K.</t>
  </si>
  <si>
    <t>(Holm I.) Division of Rehabilitation, Oslo University Hospital, Rikshospitalet, Oslo, Norway., (Oiestad B.E.; Risberg M.A.; Aune A.K.)</t>
  </si>
  <si>
    <t>I. Holm, Division of Rehabilitation, Oslo University Hospital, Rikshospitalet, Oslo, Norway. Email: inger.holm@rikshospitalet.no</t>
  </si>
  <si>
    <t>The American journal of sports medicine (2010) 38:3 (448-454). Date of Publication: Mar 2010</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</si>
  <si>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</si>
  <si>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L358986098</t>
  </si>
  <si>
    <t>https://www.embase.com/search/results?subaction=viewrecord&amp;id=L358986098&amp;from=export</t>
  </si>
  <si>
    <t>https://catalyst.library.jhu.edu/openurl/01JHU_INST/01JHU_INST:JHU?sid=EMBASE&amp;sid=EMBASE&amp;issn=15523365&amp;id=doi:&amp;atitle=No+difference+in+knee+function+or+prevalence+of+osteoarthritis+after+reconstruction+of+the+anterior+cruciate+ligament+with+4-strand+hamstring+autograft+versus+patellar+tendon-bone+autograft%3A+a+randomized+study+with+10-year+follow-up.&amp;stitle=Am+J+Sports+Med&amp;title=The+American+journal+of+sports+medicine&amp;volume=38&amp;issue=3&amp;spage=448&amp;epage=454&amp;aulast=Holm&amp;aufirst=Inger&amp;auinit=I.&amp;aufull=Holm+I.&amp;coden=&amp;isbn=&amp;pages=448-454&amp;date=2010&amp;auinit1=I&amp;auinitm=</t>
  </si>
  <si>
    <t>Early versus late start of isokinetic hamstring-strengthening exercise after anterior cruciate ligament reconstruction with patellar tendon graft.</t>
  </si>
  <si>
    <t>Sekir U., Gur H., Akova B.</t>
  </si>
  <si>
    <t>(Sekir U.) Department of Sports Medicine, Medical School of Uludag University, 16059 Gorukle, Bursa, Turkey., (Gur H.; Akova B.)</t>
  </si>
  <si>
    <t>U. Sekir, Department of Sports Medicine, Medical School of Uludag University, 16059 Gorukle, Bursa, Turkey. Email: ufuksek@gmail.com</t>
  </si>
  <si>
    <t>The American journal of sports medicine (2010) 38:3 (492-500). Date of Publication: Mar 2010</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</si>
  <si>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</si>
  <si>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L358986106</t>
  </si>
  <si>
    <t>https://www.embase.com/search/results?subaction=viewrecord&amp;id=L358986106&amp;from=export</t>
  </si>
  <si>
    <t>https://catalyst.library.jhu.edu/openurl/01JHU_INST/01JHU_INST:JHU?sid=EMBASE&amp;sid=EMBASE&amp;issn=15523365&amp;id=doi:&amp;atitle=Early+versus+late+start+of+isokinetic+hamstring-strengthening+exercise+after+anterior+cruciate+ligament+reconstruction+with+patellar+tendon+graft.&amp;stitle=Am+J+Sports+Med&amp;title=The+American+journal+of+sports+medicine&amp;volume=38&amp;issue=3&amp;spage=492&amp;epage=500&amp;aulast=Sekir&amp;aufirst=Ufuk&amp;auinit=U.&amp;aufull=Sekir+U.&amp;coden=&amp;isbn=&amp;pages=492-500&amp;date=2010&amp;auinit1=U&amp;auinitm=</t>
  </si>
  <si>
    <t>Patellar tendon versus hamstring tendon autografts for anterior cruciate ligament reconstruction: A randomized controlled trial using similar femoral and tibial fixation Methods</t>
  </si>
  <si>
    <t>Taylor D.C., Deberardino T.M., Nelson B.J., Duffey M., Tenuta J., Stoneman P.D., Sturdivant R.X., Mountcastle S.</t>
  </si>
  <si>
    <t>(Taylor D.C., dean.taylor@duke.edu) Department of Surgery, Division of Orthopaedic Surgery, Duke University, Durham, NC, United States. , (Deberardino T.M.; Tenuta J.; Stoneman P.D.; Sturdivant R.X.) United States Military Academy, Keller Army Hospital, West Point, NY, United States. , (Nelson B.J.) TRIA Orthopaedic Center, Department of Orthopaedic Surgery, University of Minnesota, Minneapolis, MN, United States. , (Duffey M.) Pennsylvania State University, University Park, PA, United States. , (Mountcastle S.) Department of Preventive Medicine and Public Health, University of Kansas, School of Medicine, Kansas City, KS, United States.</t>
  </si>
  <si>
    <t>D. C. Taylor, Division of Orthopaedic Surgery, Duke University, Medical Center, Box 3615, Durham, NC 27710, United States. Email: dean.taylor@duke.edu</t>
  </si>
  <si>
    <t>American Journal of Sports Medicine (2009) 37:10 (1946-1957). Date of Publication: 2009</t>
  </si>
  <si>
    <t>American Journal of Sports Medicine</t>
  </si>
  <si>
    <t>0363-5465,1552-3365 (electronic)</t>
  </si>
  <si>
    <t>SAGE Publications Inc., 2455 Teller Road, Thousand Oaks, United States.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</si>
  <si>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 =.71) ruptured. One deep infection in a hamstring graft patient necessitated graft removal. Fortyfive of the 56 patients with intact grafts had greater than 2-year follow-up. Patients with patellar tendon grafts had greater Tegner activity scores (P =.04). Single Assessment Numeric Evaluation scores were 88.5 (95% confidence interval: 83.1, 93.8) and 90.1 (95% confidence interval: 85.2, 96.1) for the hamstring and patellar tendon groups, respectively (P =.53). Lysholm scores were 90.3 (95% confidence interval: 84.4, 96.1) and 90.4 (95% confidence interval: 84.5, 96.3) for the hamstring and patellar tendon groups, respectively (P =.97).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</si>
  <si>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L355714720</t>
  </si>
  <si>
    <t>http://dx.doi.org/10.1177/0363546509339577</t>
  </si>
  <si>
    <t>https://www.embase.com/search/results?subaction=viewrecord&amp;id=L355714720&amp;from=export</t>
  </si>
  <si>
    <t>https://catalyst.library.jhu.edu/openurl/01JHU_INST/01JHU_INST:JHU?sid=EMBASE&amp;sid=EMBASE&amp;issn=03635465&amp;id=doi:10.1177%2F0363546509339577&amp;atitle=Patellar+tendon+versus+hamstring+tendon+autografts+for+anterior+cruciate+ligament+reconstruction%3A+A+randomized+controlled+trial+using+similar+femoral+and+tibial+fixation+Methods&amp;stitle=Am.+J.+Sports+Med.&amp;title=American+Journal+of+Sports+Medicine&amp;volume=37&amp;issue=10&amp;spage=1946&amp;epage=1957&amp;aulast=Taylor&amp;aufirst=Dean+C.&amp;auinit=D.C.&amp;aufull=Taylor+D.C.&amp;coden=AJSMD&amp;isbn=&amp;pages=1946-1957&amp;date=2009&amp;auinit1=D&amp;auinitm=C</t>
  </si>
  <si>
    <t>Copyright 2010 Elsevier B.V., All rights reserved.</t>
  </si>
  <si>
    <t>Anterior Cruciate Ligament Reconstruction With and Without Computer Navigation: A Clinical and Magnetic Resonance Imaging Evaluation 2 Years After Surgery</t>
  </si>
  <si>
    <t>Endele D., Jung C., Becker U., Bauer G., Mauch F.</t>
  </si>
  <si>
    <t>(Endele D., d.endele@mac.com; Jung C.; Becker U.; Bauer G.; Mauch F.) Sportklinik Stuttgart, Clinic for Orthopedic Surgery and Sports Traumatology, Stuttgart, Germany.</t>
  </si>
  <si>
    <t>D. Endele, Sportklinik Stuttgart, Clinic for Orthopedic Surgery and Sports Traumatology, Stuttgart, Germany. Email: d.endele@mac.com</t>
  </si>
  <si>
    <t>Arthroscopy - Journal of Arthroscopic and Related Surgery (2009) 25:10 (1067-1074). Date of Publication: October 2009</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</si>
  <si>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 Â© 2009 Arthroscopy Association of North America.</t>
  </si>
  <si>
    <t>L355331317</t>
  </si>
  <si>
    <t>http://dx.doi.org/10.1016/j.arthro.2009.05.016</t>
  </si>
  <si>
    <t>https://www.embase.com/search/results?subaction=viewrecord&amp;id=L355331317&amp;from=export</t>
  </si>
  <si>
    <t>https://catalyst.library.jhu.edu/openurl/01JHU_INST/01JHU_INST:JHU?sid=EMBASE&amp;sid=EMBASE&amp;issn=07498063&amp;id=doi:10.1016%2Fj.arthro.2009.05.016&amp;atitle=Anterior+Cruciate+Ligament+Reconstruction+With+and+Without+Computer+Navigation%3A+A+Clinical+and+Magnetic+Resonance+Imaging+Evaluation+2+Years+After+Surgery&amp;stitle=Arthroscopy+J.+Arthroscopic++Relat.+Surg.&amp;title=Arthroscopy+-+Journal+of+Arthroscopic+and+Related+Surgery&amp;volume=25&amp;issue=10&amp;spage=1067&amp;epage=1074&amp;aulast=Endele&amp;aufirst=Dominick&amp;auinit=D.&amp;aufull=Endele+D.&amp;coden=ARTHE&amp;isbn=&amp;pages=1067-1074&amp;date=2009&amp;auinit1=D&amp;auinitm=</t>
  </si>
  <si>
    <t>AhldÃ©n M., Kartus J., Ejerhed L., Karlsson J., Sernert N.</t>
  </si>
  <si>
    <t>(AhldÃ©n M.; Karlsson J.) Department of Orthopaedics, Sahlgrenska University Hospital, MÃ¶lndal, Sweden. , (Kartus J.; Ejerhed L.) Department of Orthopaedics, NU-Hospital Organisation, TrollhÃ¤ttan/Uddevalla, Sweden. , (Sernert N., ninni.sernert@vgregion.se) Department of Research and Development, NU-Hospital Organisation, TrollhÃ¤ttan/Uddevalla, SE-451 85, Sweden.</t>
  </si>
  <si>
    <t>N. Sernert, Department of Research and Development, NU-Hospital Organisation, TrollhÃ¤ttan/Uddevalla, SE-451 85, Sweden. Email: ninni.sernert@vgregion.se</t>
  </si>
  <si>
    <t>Knee Surgery, Sports Traumatology, Arthroscopy (2009) 17:9 (1117-1124). Date of Publication: September 2009</t>
  </si>
  <si>
    <t>The aims of the study were to analyse the change in knee laxity over time after anterior cruciate ligament (ACL) reconstruction, using either bone-patellar-tendon-bone (BPTB) or hamstring (HS) tendon autografts, and to compare the knee laxity measurements between the study groups both pre-operatively and on multiple follow-up occasions. Another aim was to compare the radiographic findings in terms of degenerative changes between the study groups. A randomised series of 71 patients, who underwent ACL reconstruction using BPTB or HS tendon autografts and interference screw fixation, were included in the study. Of these patients, 47/71 (66%) attended a clinical examination, including laxity measurements using the KT-1000 arthrometer, pre-operatively and on four post-operative occasions; 6 months, 1 year, 2 years and 7 years after the reconstruction. The BPTB group consisted of 22 patients, while there were 25 patients in the HS group. There were no significant differences in the mean side-to-side knee laxity between the BPTB and the HS group pre-operatively or at the follow-up examinations. There was a tendency towards a reduction in side-to-side knee laxity over time in both groups, measured with the KT-1000 arthrometer. The decrease was significant when analysing the injured and uninjured knee separately (injured side p &lt; 0.001 (BPTB) and p = 0.005 (HS), uninjured side p = 0.008 and p = 0.042, respectively). Forty-four patients (BPTB 21, ST 23) underwent a radiographic assessment at the 7-year follow-up, which revealed no significant differences between the study groups in terms of osteoarthritic findings classified according to the Fairbank and AhlbÃ¤ck rating systems. In overall terms, osteoarthritis was identified in 16% (BPTB 19%; ST 13%; n.s.) according to the AhlbÃ¤ck rating system and 68% (BPTB 67%; ST 70%; n.s.) according to the Fairbank rating system. There were no significant differences in knee laxity measurements between the two study groups pre-operatively or at 7 years. A decrease in knee laxity over time was seen in both groups. There were no significant differences between the BPTB and ST groups in terms of osteoarthritic findings at 7 years. Â© Springer-Verlag 2009.</t>
  </si>
  <si>
    <t>L50569142</t>
  </si>
  <si>
    <t>http://dx.doi.org/10.1007/s00167-009-0846-5</t>
  </si>
  <si>
    <t>https://www.embase.com/search/results?subaction=viewrecord&amp;id=L50569142&amp;from=export</t>
  </si>
  <si>
    <t>https://catalyst.library.jhu.edu/openurl/01JHU_INST/01JHU_INST:JHU?sid=EMBASE&amp;sid=EMBASE&amp;issn=09422056&amp;id=doi:10.1007%2Fs00167-009-0846-5&amp;atitle=Knee+laxity+measurements+after+anterior+cruciate+ligament+reconstruction%2C+using+either+bone-patellar-tendon-bone+or+hamstring+tendon+autografts%2C+with+special+emphasis+on+comparison+over+time&amp;stitle=Knee+Surg.+Sports+Traumatol.+Arthroscopy&amp;title=Knee+Surgery%2C+Sports+Traumatology%2C+Arthroscopy&amp;volume=17&amp;issue=9&amp;spage=1117&amp;epage=1124&amp;aulast=Ahld%C3%A9n&amp;aufirst=Mattias&amp;auinit=M.&amp;aufull=Ahld%C3%A9n+M.&amp;coden=&amp;isbn=&amp;pages=1117-1124&amp;date=2009&amp;auinit1=M&amp;auinitm=</t>
  </si>
  <si>
    <t>Clinical comparison between six-strand hamstring tendon and patellar tendon autograft in arthroscopic anterior cruciate ligament reconstruction: A prospective, randomized clinical trial</t>
  </si>
  <si>
    <t>Laoruengthana A., Pattayakorn S., Chotanaputhi T., Kosiyatrakul A.</t>
  </si>
  <si>
    <t>(Laoruengthana A., artitlao@yahoo.com; Pattayakorn S.; Chotanaputhi T.; Kosiyatrakul A.) Department of Orthopaedics, Phramongkutklao Hospital, College of Medicine, Bangkok, Thailand. , (Laoruengthana A., artitlao@yahoo.com) Department of Orthopaedics, Phramongkutklao Hospital, College of Medicine, 315 Ratchawithi Rd, Bangkok 10400, Thailand.</t>
  </si>
  <si>
    <t>A. Laoruengthana, Department of Orthopaedics, Phramongkutklao Hospital, College of Medicine, 315 Ratchawithi Rd, Bangkok 10400, Thailand. Email: artitlao@yahoo.com</t>
  </si>
  <si>
    <t>Journal of the Medical Association of Thailand (2009) 92:4 (491-497). Date of Publication: April 2009</t>
  </si>
  <si>
    <t>Journal of the Medical Association of Thailand</t>
  </si>
  <si>
    <t>0125-2208,0125-2208 (electronic)</t>
  </si>
  <si>
    <t>Medical Association of Thailand, 4th Royal Golden Jubilee Building, 2 Soi Soonvijai, New Petch Huayakwang Bangkok, Thailand.</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</si>
  <si>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</si>
  <si>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English, Thai</t>
  </si>
  <si>
    <t>L354594465</t>
  </si>
  <si>
    <t>https://www.embase.com/search/results?subaction=viewrecord&amp;id=L354594465&amp;from=export</t>
  </si>
  <si>
    <t>https://catalyst.library.jhu.edu/openurl/01JHU_INST/01JHU_INST:JHU?sid=EMBASE&amp;sid=EMBASE&amp;issn=01252208&amp;id=doi:&amp;atitle=Clinical+comparison+between+six-strand+hamstring+tendon+and+patellar+tendon+autograft+in+arthroscopic+anterior+cruciate+ligament+reconstruction%3A+A+prospective%2C+randomized+clinical+trial&amp;stitle=J.+Med.+Assoc.+Thailand&amp;title=Journal+of+the+Medical+Association+of+Thailand&amp;volume=92&amp;issue=4&amp;spage=491&amp;epage=497&amp;aulast=Laoruengthana&amp;aufirst=Artit&amp;auinit=A.&amp;aufull=Laoruengthana+A.&amp;coden=JMTHB&amp;isbn=&amp;pages=491-497&amp;date=2009&amp;auinit1=A&amp;auinitm=</t>
  </si>
  <si>
    <t>Interest of an iterative specialized rehabilitation after an anterior cruciate ligament reconstruction in high level sport athletes</t>
  </si>
  <si>
    <t>IntÃ©rÃªt d'une rÃ©Ã©ducation spÃ©cialisÃ©e Ã  distance d'une chirurgie du ligament croisÃ© antÃ©rieur chez le sportif de haut niveau</t>
  </si>
  <si>
    <t>Laboute E., Savalli L., Lefesvre T., Puig P., Trouve P.</t>
  </si>
  <si>
    <t>(Laboute E., e.laboute@gsante.fr; Savalli L.; Lefesvre T.; Puig P.; Trouve P.) C.E.R.S., avenue Marechal-de-Lattre-de-Tassigny, 40130 Capbreton, France.</t>
  </si>
  <si>
    <t>E. Laboute, C.E.R.S., avenue Marechal-de-Lattre-de-Tassigny, 40130 Capbreton, France. Email: e.laboute@gsante.fr</t>
  </si>
  <si>
    <t>Revue de Chirurgie Orthopedique et Reparatrice de l'Appareil Moteur (2008) 94:6 (533-540). Date of Publication: October 2008</t>
  </si>
  <si>
    <t>Revue de Chirurgie Orthopedique et Reparatrice de l'Appareil Moteur</t>
  </si>
  <si>
    <t>0035-1040</t>
  </si>
  <si>
    <t>Elsevier Masson SAS, 62 rue Camille Desmoulins, Issy les Moulineaux Cedex, France.</t>
  </si>
  <si>
    <t>Purpose of the study: The aim of this work was to assess the usefulness of specialized rehabilitation sessions after anterior cruciate ligament reconstruction in high-level athletes participating in regional-, national-, or international-level sports. Material and methods: We conducted a retrospective comparison between two populations: in the first, rehabilitation was limited to the early postoperative period (PO); in the second, rehabilitation sessions were repeated, once in the early postoperative period and again 90 days later (POR). The second rehabilitation period lasted two or three weeks and included an open and closed-chain muscle training program controlled by physical therapists using isokinetic devices. The sessions also included proprioceptive exercises and cardiovascular exercise reconditioning with a therapeutic project developed by the Physical Medicine and Rehabilitation physician in collaboration with other health professionals and taking into consideration the surgical recommendations and the patient's clinical status. A questionnaire was addressed to all patients one year after the operation. The response rate was 55 %. Two groups were created at random: 74 patients were in the PO group and 75 in the POR group. The two populations were comparable in terms of gender (64 men, 10 women in PO versus 57 men and 18 women in POR), sports level (regional, national, international), type of surgery (41 hamsting, 33 bone-patellar tendon-bone in PO and 43 hamstring and 32 bone-patellar tendon-bone in POR) and sports (generally rugby, soccer, handball or ski). Results: Our results were statistically in favor of the group POR in terms of resumption of sports activities: time to return to training (7.6 versus 8.7 months, p = 0.03) and time to return to competition (9.06 versus 10.84 months, p = 0.007). They were also in favor of the group POR for resumption of sports activities at the former level (52.05 % versus 19.44 %, p = 0.001), pain (numerical scale: 1.52 versus 2.03, p = 0.021) and subjective impression (IKDC subjective score: 87.58 % versus 81.64 %, p = 0.003). There was no significant difference for resumption of training (90.50 % versus 81.69 %, p = 0.2) or competition (71.80 % versus 56.76 %, p = 0.1) at one year, but the results were close to the level of significance. Discussion: Adapted preparation before returning to sports activities using a scheme elaborated by specialists (physicians, physical therapists, trainers) provided a statistically significant improvement in time and quality of resumed activity (return to prior level, pain, subjective IKDC score) in this specific population of high-level competition athletes. A larger series would be interesting to check the statistical significance of return to training and competition at one year. Another follow-up beyond one year (1.5 or two years for example) would also provide information on the percentage of definitive return to sports in these two populations. Â© 2008 Elsevier Masson SAS. All rights reserved.</t>
  </si>
  <si>
    <t>French</t>
  </si>
  <si>
    <t>French, English</t>
  </si>
  <si>
    <t>L352464830</t>
  </si>
  <si>
    <t>http://dx.doi.org/10.1016/j.rco.2008.01.008</t>
  </si>
  <si>
    <t>https://www.embase.com/search/results?subaction=viewrecord&amp;id=L352464830&amp;from=export</t>
  </si>
  <si>
    <t>https://catalyst.library.jhu.edu/openurl/01JHU_INST/01JHU_INST:JHU?sid=EMBASE&amp;sid=EMBASE&amp;issn=00351040&amp;id=doi:10.1016%2Fj.rco.2008.01.008&amp;atitle=Interest+of+an+iterative+specialized+rehabilitation+after+an+anterior+cruciate+ligament+reconstruction+in+high+level+sport+athletes&amp;stitle=Rev.+Chir.+Orthop.+Repar.+Appar.+Mot.&amp;title=Revue+de+Chirurgie+Orthopedique+et+Reparatrice+de+l%27Appareil+Moteur&amp;volume=94&amp;issue=6&amp;spage=533&amp;epage=540&amp;aulast=Laboute&amp;aufirst=E.&amp;auinit=E.&amp;aufull=Laboute+E.&amp;coden=RCORA&amp;isbn=&amp;pages=533-540&amp;date=2008&amp;auinit1=E&amp;auinitm=</t>
  </si>
  <si>
    <t>A Randomized Clinical Trial Comparing Three Methods for Anterior Cruciate Ligament Reconstruction: Patellar Tendon, Quadruple Semitendinosus/Gracilis and Double-Bundle Semitendinosus/Gracilis Grafts.</t>
  </si>
  <si>
    <t>clinicaltrials.gov (2007). Date of Publication: 12 Sep 2007</t>
  </si>
  <si>
    <t>Brief SummaryThe purpose of this randomized clinical trial is to determine the difference in quality of life outcome at two years, in patients undergoing an Anterior Cruciate Ligament (ACL) reconstruction procedure with either a patellar tendon, quadruple hamstring tendon or a double-bundle hamstring tendon autograft.Detailed DescriptionFollowing an ACL injury, the knee is predisposed to chronic instability, further damage to the meniscal and chondral structures in the knee, osteoarthritis and an impaired quality of life. The successful treatment of an ACL deficient knee aims to preserve the intact meniscus and chondral structures, and to provide a functionally stable knee so that patients can return to pre-injury activities and restore their quality of life. The current standard of care for ACL deficient knees is with a surgical ACL reconstruction procedure. A Cochrane Review was done and demonstrated that the existing literature is controversial. To date, no existing trial has used validated patient-based outcome assessment, accounted for the critical differences between acute and chronic ACL deficiency or used modern techniques to ensure randomization concealment and a sufficient sample size to avoid type II error. The existing information does not define graft failure or re-ruptures, involve long-term follow-up to address osteoarthritis development, nor compare outcomes between single- and double-bundle reconstructive techniques. The current standard includes either a patellar tendon or quadruple semitendinosus/gracilis tendon autograft reconstruction. The newest option is a double-bundle semitendinosus/gracilis graft. This option attempts to restore the complex ACL anatomy by using two separate tendon components to reconstruct the ACL. This study will measure disease-specific quality of life at short- and long-term post-operative intervals (1, 2, 5 and 10 years). Additional secondary outcomes, including the incidence of traumatic re-ruptures and graft failures, will also be compared between treatment groups.</t>
  </si>
  <si>
    <t>LNCT00529958</t>
  </si>
  <si>
    <t>https://clinicaltrials.gov/study/NCT00529958</t>
  </si>
  <si>
    <t>https://www.embase.com/search/results?subaction=viewrecord&amp;id=LNCT00529958&amp;from=export</t>
  </si>
  <si>
    <t>Huang M.-H., Yang R.-C., Chou P.-H.</t>
  </si>
  <si>
    <t>(Huang M.-H., maohuang@ms24.hinet.net) Departments of Physical Medicine and Rehabilitation, Kaohsiung Medical University Hospital, Faculty of Medicine, . , (Yang R.-C.) Faculty of Sport Medicine, . , (Chou P.-H.) Department of Orthopodic Surgery, Kaohsiung Medical University Hospital, Kaohsiung Medical University, Taiwan. , (Huang M.-H., maohuang@ms24.hinet.net) Department of Physical Medicine and Rehabilitation, Kaohsiung Medical University Hospital, No.100 Tzyou 1st Road, Kaohsiung 807, Taiwan.</t>
  </si>
  <si>
    <t>M.-H. Huang, Department of Physical Medicine and Rehabilitation, Kaohsiung Medical University Hospital, No.100 Tzyou 1st Road, Kaohsiung 807, Taiwan. Email: maohuang@ms24.hinet.net</t>
  </si>
  <si>
    <t>Clinical Journal of Sport Medicine (2007) 17:4 (242-250). Date of Publication: July 2007</t>
  </si>
  <si>
    <t>1050-642X</t>
  </si>
  <si>
    <t>Lippincott Williams and Wilkins, 530 Walnut Street, Philadelphia, United States.</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</si>
  <si>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 Â© 2007 Lippincott Williams &amp; Wilkins, Inc.</t>
  </si>
  <si>
    <t>hyaluronic acid (31799-91-4, 9004-61-9, 9067-32-7), sodium chloride (7647-14-5)</t>
  </si>
  <si>
    <t>L47051783</t>
  </si>
  <si>
    <t>http://dx.doi.org/10.1097/JSM.0b013e31812570fa</t>
  </si>
  <si>
    <t>https://www.embase.com/search/results?subaction=viewrecord&amp;id=L47051783&amp;from=export</t>
  </si>
  <si>
    <t>https://catalyst.library.jhu.edu/openurl/01JHU_INST/01JHU_INST:JHU?sid=EMBASE&amp;sid=EMBASE&amp;issn=1050642X&amp;id=doi:10.1097%2FJSM.0b013e31812570fa&amp;atitle=Preliminary+effects+of+hyaluronic+acid+on+early+rehabilitation+of+patients+with+isolated+anterior+cruciate+ligament+reconstruction&amp;stitle=Clin.+J.+Sport+Med.&amp;title=Clinical+Journal+of+Sport+Medicine&amp;volume=17&amp;issue=4&amp;spage=242&amp;epage=250&amp;aulast=Huang&amp;aufirst=Mao-Hsiung&amp;auinit=M.-H.&amp;aufull=Huang+M.-H.&amp;coden=CJSME&amp;isbn=&amp;pages=242-250&amp;date=2007&amp;auinit1=M&amp;auinitm=-H</t>
  </si>
  <si>
    <t>Copyright 2009 Elsevier B.V., All rights reserved.</t>
  </si>
  <si>
    <t>Patellar tendon or semitendinosus tendon autografts for anterior cruciate ligament reconstruction: A prospective, randomized study with a 7-year follow-up</t>
  </si>
  <si>
    <t>LidÃ©n M., Ejerhed L., Sernert N., Laxdal G., Kartus J.</t>
  </si>
  <si>
    <t>(LidÃ©n M., mattias.liden@vgregion.se) Department of Plastic Surgery, Sahlgrenska University Hospital, GÃ¶teborg, Sweden. , (Ejerhed L.; Sernert N.; Kartus J.) Department of Orthopaedics, Norra Ã„lvsborg County Hospital, TrollhÃ¤ttan, Sweden. , (Laxdal G.) Department of Orthopaedics, Sahlgrenska University Hospital, GÃ¶teborg, Sweden. , (LidÃ©n M., mattias.liden@vgregion.se) Department of Plastic Surgery, Sahlgrenska University Hospital, SE-413 45 GÃ¶teborg, Sweden.</t>
  </si>
  <si>
    <t>M. LidÃ©n, Department of Plastic Surgery, Sahlgrenska University Hospital, SE-413 45 GÃ¶teborg, Sweden. Email: mattias.liden@vgregion.se</t>
  </si>
  <si>
    <t>American Journal of Sports Medicine (2007) 35:5 (740-748). Date of Publication: May 2007</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</si>
  <si>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 Â© 2007 American Orthopaedic Society for Sports Medicine.</t>
  </si>
  <si>
    <t>L46956288</t>
  </si>
  <si>
    <t>http://dx.doi.org/10.1177/0363546506298275</t>
  </si>
  <si>
    <t>https://www.embase.com/search/results?subaction=viewrecord&amp;id=L46956288&amp;from=export</t>
  </si>
  <si>
    <t>https://catalyst.library.jhu.edu/openurl/01JHU_INST/01JHU_INST:JHU?sid=EMBASE&amp;sid=EMBASE&amp;issn=03635465&amp;id=doi:10.1177%2F0363546506298275&amp;atitle=Patellar+tendon+or+semitendinosus+tendon+autografts+for+anterior+cruciate+ligament+reconstruction%3A+A+prospective%2C+randomized+study+with+a+7-year+follow-up&amp;stitle=Am.+J.+Sports+Med.&amp;title=American+Journal+of+Sports+Medicine&amp;volume=35&amp;issue=5&amp;spage=740&amp;epage=748&amp;aulast=Lid%C3%A9n&amp;aufirst=Mattias&amp;auinit=M.&amp;aufull=Lid%C3%A9n+M.&amp;coden=AJSMD&amp;isbn=&amp;pages=740-748&amp;date=2007&amp;auinit1=M&amp;auinitm=</t>
  </si>
  <si>
    <t>Copyright 2012 Elsevier B.V., All rights reserved.</t>
  </si>
  <si>
    <t>Early versus late start of open kinetic chain quadriceps exercises after ACL reconstruction with patellar tendon or hamstring grafts: A prospective randomized outcome study</t>
  </si>
  <si>
    <t>Heijne A., Werner S.</t>
  </si>
  <si>
    <t>(Heijne A., annette.heijne@ki.se; Werner S.) Section of Orthopaedics and Sports Medicine, Department of Molecular Medicine and Surgery, Karolinska Institutet, 171 76 Stockholm, Sweden. , (Werner S.) Capio Artro Clinic, Stockholm Sports Trauma Research Center, Karolinska Institutet, Stockholm, Sweden.</t>
  </si>
  <si>
    <t>A. Heijne, Section of Orthopaedics and Sports Medicine, Department of Molecular Medicine and Surgery, Karolinska Institutet, 171 76 Stockholm, Sweden. Email: annette.heijne@ki.se</t>
  </si>
  <si>
    <t>Knee Surgery, Sports Traumatology, Arthroscopy (2007) 15:4 (402-414). Date of Publication: April 2007</t>
  </si>
  <si>
    <t>The purpose of the present investigation was to evaluate physical outcome after anterior cruciate ligament (ACL) reconstruction with early versus late initiation of open kinetic chain (OKC) exercises for the quadriceps in patients operated on either patellar tendon or hamstring grafts. Sixty-eight patients, 36 males and 32 females, with either patellar tendon graft (34 patients) or hamstring graft (34 patients) were enrolled in this study. All patients were randomly allocated to either early (the 4th postoperative week) or late (the 12th postoperative week) start of OKC exercises for the quadriceps, resulting in four subgroups: patellar tendon reconstruction, early start (P4) or late start (P12) of OKC quadriceps exercises, hamstring tendon reconstruction, early start (H4) or late start (H12) of quadriceps OKC exercises. Prior to surgery and 3, 5 and 7 months later, assessments of range of motion (goniometer), anterior knee laxity (KT-1000), postural sway (KAT 2000), thigh muscle torques (Kin-Com dynamometer) and anterior knee pain (anterior knee pain score) were evaluated. No significant group differences were found in terms of range of motion 3, 5 and 7 months postoperatively. The H4 group showed a significantly higher mean difference of laxity over time of 1.0 mm (CI: 0.18-1.86) than the P4 group (P = 0.04). Within the same type of surgery, the H4 against the H12, the mean difference over time was 1.2 mm (0.37-2.1) higher in the H4 group than in the H12 group (P = 0.01). There were no significant group differences in terms of postural sway or anterior knee pain at the different test occasions. Significant differences in trends (changes over time) were found when comparing the four groups, for both quadriceps muscle torques (P &lt; 0.001) and hamstring muscle torques (P &lt; 0.001). All groups, except the P4 group, reached preoperative values of quadriceps muscle torques at the 7 months follow-up. In the H4 and the H12 groups, significantly lower hamstring muscle torques at the 7 months follow-up compared with preoperative values were found. In conclusion, early start of OKC quadriceps exercises after hamstring ACL reconstruction resulted in significantly increased anterior knee laxity in comparison with both late start and with early and late start after bone-patellar tendon-bone ACL reconstruction. Furthermore, the early introduction of OKC exercises for quadriceps did not influence quadriceps muscle torques neither in patients operated on patellar tendon nor hamstring tendon grafts. On the contrary, it appears as if the choice of graft affected the strength of the specific muscle more than the type of exercises performed. Our results could not determine the appropriate time for starting OKC quadriceps exercises for patients who have undergone ACL reconstruction with hamstring tendon graft. Future studies of long-term results of anterior knee laxity and functional outcome are needed. Â© Springer-Verlag 2007.</t>
  </si>
  <si>
    <t>L46537522</t>
  </si>
  <si>
    <t>http://dx.doi.org/10.1007/s00167-006-0246-z</t>
  </si>
  <si>
    <t>https://www.embase.com/search/results?subaction=viewrecord&amp;id=L46537522&amp;from=export</t>
  </si>
  <si>
    <t>https://catalyst.library.jhu.edu/openurl/01JHU_INST/01JHU_INST:JHU?sid=EMBASE&amp;sid=EMBASE&amp;issn=09422056&amp;id=doi:10.1007%2Fs00167-006-0246-z&amp;atitle=Early+versus+late+start+of+open+kinetic+chain+quadriceps+exercises+after+ACL+reconstruction+with+patellar+tendon+or+hamstring+grafts%3A+A+prospective+randomized+outcome+study&amp;stitle=Knee+Surg.+Sports+Traumatol.+Arthroscopy&amp;title=Knee+Surgery%2C+Sports+Traumatology%2C+Arthroscopy&amp;volume=15&amp;issue=4&amp;spage=402&amp;epage=414&amp;aulast=Heijne&amp;aufirst=Annette&amp;auinit=A.&amp;aufull=Heijne+A.&amp;coden=&amp;isbn=&amp;pages=402-414&amp;date=2007&amp;auinit1=A&amp;auinitm=</t>
  </si>
  <si>
    <t>A prospective randomized study of anterior cruciate ligament reconstruction: A comparison of patellar tendon and quadruple-strand semitendinosus/gracilis tendons fixed with bioabsorbable interference screws</t>
  </si>
  <si>
    <t>Maletis G.B., Cameron S.L., Tengan J.J., Burchette R.J.</t>
  </si>
  <si>
    <t>(Maletis G.B., Gregory.b.maletis@kp.org; Tengan J.J.; Burchette R.J.) Southern California Permanente Medical Group, Baldwin Park, CA, United States. , (Cameron S.L.) Sports Medicine Oregon, Tigard, OR, United States. , (Maletis G.B., Gregory.b.maletis@kp.org) Kaiser Baldwin Park, Department of Orthopedic Surgery, 1011 Baldwin Park Blvd, Baldwin Park, CA 91706, United States.</t>
  </si>
  <si>
    <t>G.B. Maletis, Kaiser Baldwin Park, Department of Orthopedic Surgery, 1011 Baldwin Park Blvd, Baldwin Park, CA 91706, United States. Email: Gregory.b.maletis@kp.org</t>
  </si>
  <si>
    <t>American Journal of Sports Medicine (2007) 35:3 (384-394). Date of Publication: March 2007</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</si>
  <si>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 Â© 2007 American Orthopaedic Society for Sports Medicine.</t>
  </si>
  <si>
    <t>L46280480</t>
  </si>
  <si>
    <t>http://dx.doi.org/10.1177/0363546506294361</t>
  </si>
  <si>
    <t>https://www.embase.com/search/results?subaction=viewrecord&amp;id=L46280480&amp;from=export</t>
  </si>
  <si>
    <t>https://catalyst.library.jhu.edu/openurl/01JHU_INST/01JHU_INST:JHU?sid=EMBASE&amp;sid=EMBASE&amp;issn=03635465&amp;id=doi:10.1177%2F0363546506294361&amp;atitle=A+prospective+randomized+study+of+anterior+cruciate+ligament+reconstruction%3A+A+comparison+of+patellar+tendon+and+quadruple-strand+semitendinosus%2Fgracilis+tendons+fixed+with+bioabsorbable+interference+screws&amp;stitle=Am.+J.+Sports+Med.&amp;title=American+Journal+of+Sports+Medicine&amp;volume=35&amp;issue=3&amp;spage=384&amp;epage=394&amp;aulast=Maletis&amp;aufirst=Gregory+B.&amp;auinit=G.B.&amp;aufull=Maletis+G.B.&amp;coden=AJSMD&amp;isbn=&amp;pages=384-394&amp;date=2007&amp;auinit1=G&amp;auinitm=B</t>
  </si>
  <si>
    <t>Copyright 2008 Elsevier B.V., All rights reserved.</t>
  </si>
  <si>
    <t>A prospective, randomized comparison of semitendinosus and gracilis tendon versus patellar tendon autografts for anterior cruciate ligament reconstruction: Five-year follow-up</t>
  </si>
  <si>
    <t>Sajovic M., Vengust V., Komadina R., Tavcar R., Skaza K.</t>
  </si>
  <si>
    <t>(Sajovic M., sajovic@siol.com; Vengust V.; Komadina R.) General Hospital Celje, Celje, Slovenia. , (Tavcar R.) University of Ljubljana, Ljubljana, Slovenia. , (Skaza K.) Rehabilitation Center Terme Zrece, Zrece, Slovenia. , (Sajovic M., sajovic@siol.com) Department of Orthopedics and Sports Trauma Surgery, General Hospital Celje, Oblakova 5, 3000 Celje, Slovenia.</t>
  </si>
  <si>
    <t>M. Sajovic, Department of Orthopedics and Sports Trauma Surgery, General Hospital Celje, Oblakova 5, 3000 Celje, Slovenia. Email: sajovic@siol.com</t>
  </si>
  <si>
    <t>American Journal of Sports Medicine (2006) 34:12 (1933-1940). Date of Publication: December 2006</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</si>
  <si>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hamstring tendon group (P =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 Â© 2006 American Orthopaedic Society for Sports Medicine.</t>
  </si>
  <si>
    <t>L44704247</t>
  </si>
  <si>
    <t>http://dx.doi.org/10.1177/0363546506290726</t>
  </si>
  <si>
    <t>https://www.embase.com/search/results?subaction=viewrecord&amp;id=L44704247&amp;from=export</t>
  </si>
  <si>
    <t>https://catalyst.library.jhu.edu/openurl/01JHU_INST/01JHU_INST:JHU?sid=EMBASE&amp;sid=EMBASE&amp;issn=03635465&amp;id=doi:10.1177%2F0363546506290726&amp;atitle=A+prospective%2C+randomized+comparison+of+semitendinosus+and+gracilis+tendon+versus+patellar+tendon+autografts+for+anterior+cruciate+ligament+reconstruction%3A+Five-year+follow-up&amp;stitle=Am.+J.+Sports+Med.&amp;title=American+Journal+of+Sports+Medicine&amp;volume=34&amp;issue=12&amp;spage=1933&amp;epage=1940&amp;aulast=Sajovic&amp;aufirst=Matjaz&amp;auinit=M.&amp;aufull=Sajovic+M.&amp;coden=AJSMD&amp;isbn=&amp;pages=1933-1940&amp;date=2006&amp;auinit1=M&amp;auinitm=</t>
  </si>
  <si>
    <t>Factors affecting return to sports after anterior cruciate ligament reconstruction with patellar tendon and hamstring graft: A prospective clinical investigation</t>
  </si>
  <si>
    <t>Gobbi A., Francisco R.</t>
  </si>
  <si>
    <t>(Gobbi A., sportmd@tin.it; Francisco R.) Orthopaedic Arthroscopic Surgery International (O.A.S.I.), 24 Via Amadeo G.A., 20133 Milan, Italy.</t>
  </si>
  <si>
    <t>A. Gobbi, Orthopaedic Arthroscopic Surgery International (O.A.S.I.), 24 Via Amadeo G.A., 20133 Milan, Italy. Email: sportmd@tin.it</t>
  </si>
  <si>
    <t>Knee Surgery, Sports Traumatology, Arthroscopy (2006) 14:10 (1021-1028). Date of Publication: October 2006</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</si>
  <si>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 Â© Springer-Verlag 2006.</t>
  </si>
  <si>
    <t>L44496644</t>
  </si>
  <si>
    <t>http://dx.doi.org/10.1007/s00167-006-0050-9</t>
  </si>
  <si>
    <t>https://www.embase.com/search/results?subaction=viewrecord&amp;id=L44496644&amp;from=export</t>
  </si>
  <si>
    <t>https://catalyst.library.jhu.edu/openurl/01JHU_INST/01JHU_INST:JHU?sid=EMBASE&amp;sid=EMBASE&amp;issn=09422056&amp;id=doi:10.1007%2Fs00167-006-0050-9&amp;atitle=Factors+affecting+return+to+sports+after+anterior+cruciate+ligament+reconstruction+with+patellar+tendon+and+hamstring+graft%3A+A+prospective+clinical+investigation&amp;stitle=Knee+Surg.+Sports+Traumatol.+Arthroscopy&amp;title=Knee+Surgery%2C+Sports+Traumatology%2C+Arthroscopy&amp;volume=14&amp;issue=10&amp;spage=1021&amp;epage=1028&amp;aulast=Gobbi&amp;aufirst=Alberto&amp;auinit=A.&amp;aufull=Gobbi+A.&amp;coden=&amp;isbn=&amp;pages=1021-1028&amp;date=2006&amp;auinit1=A&amp;auinitm=</t>
  </si>
  <si>
    <t>Operative and nonoperative treatments of medial collateral ligament rupture with early anterior cruciate ligament reconstruction: A prospective randomized study</t>
  </si>
  <si>
    <t>Halinen J., Lindahl J., Hirvensalo E., Santavirta S.</t>
  </si>
  <si>
    <t>(Halinen J., jyrki.halinen@hus.fi) Jorvi Hospital, Helsinki University Central Hospital, Helsinki, Finland. , (Lindahl J.; Hirvensalo E.; Santavirta S.) Department of Orthopaedics and Traumatology, Helsinki University Central Hospital, Helsinki, Finland. , (Halinen J., jyrki.halinen@hus.fi) HUCH, Jorvi Hospital, Department of Surgery, Turuntie 150, Espoo, Finland.</t>
  </si>
  <si>
    <t>J. Halinen, HUCH, Jorvi Hospital, Department of Surgery, Turuntie 150, Espoo, Finland. Email: jyrki.halinen@hus.fi</t>
  </si>
  <si>
    <t>American Journal of Sports Medicine (2006) 34:7 (1134-1140). Date of Publication: July 2006</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</si>
  <si>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 Â© 2006 American Orthopaedic Society for Sports Medicine.</t>
  </si>
  <si>
    <t>L43979650</t>
  </si>
  <si>
    <t>http://dx.doi.org/10.1177/0363546505284889</t>
  </si>
  <si>
    <t>https://www.embase.com/search/results?subaction=viewrecord&amp;id=L43979650&amp;from=export</t>
  </si>
  <si>
    <t>https://catalyst.library.jhu.edu/openurl/01JHU_INST/01JHU_INST:JHU?sid=EMBASE&amp;sid=EMBASE&amp;issn=03635465&amp;id=doi:10.1177%2F0363546505284889&amp;atitle=Operative+and+nonoperative+treatments+of+medial+collateral+ligament+rupture+with+early+anterior+cruciate+ligament+reconstruction%3A+A+prospective+randomized+study&amp;stitle=Am.+J.+Sports+Med.&amp;title=American+Journal+of+Sports+Medicine&amp;volume=34&amp;issue=7&amp;spage=1134&amp;epage=1140&amp;aulast=Halinen&amp;aufirst=Jyrki&amp;auinit=J.&amp;aufull=Halinen+J.&amp;coden=AJSMD&amp;isbn=&amp;pages=1134-1140&amp;date=2006&amp;auinit1=J&amp;auinitm=</t>
  </si>
  <si>
    <t>Matsumoto A., Yoshiya S., Muratsu H., Yagi M., Iwasaki Y., Kurosaka M., Kuroda R.</t>
  </si>
  <si>
    <t>(Matsumoto A.; Yoshiya S.; Muratsu H.; Kurosaka M.; Kuroda R., kurodar@med.kobe-u.ac.jp) Department of Orthopaedic Surgery, Kobe University Graduate School of Medicine, Kobe, Japan. , (Yagi M.; Iwasaki Y.) Department of Orthopaedic Surgery, Shin-Suma Hospital, Kobe, Japan. , (Kuroda R., kurodar@med.kobe-u.ac.jp) Department of Orthopaedic Surgery, Kobe University Graduate School of Medicine, 7-5-2, Kusunoki-cho, Chuou-ku, Kobe 650-0017, Japan.</t>
  </si>
  <si>
    <t>R. Kuroda, Department of Orthopaedic Surgery, Kobe University Graduate School of Medicine, 7-5-2, Kusunoki-cho, Chuou-ku, Kobe 650-0017, Japan. Email: kurodar@med.kobe-u.ac.jp</t>
  </si>
  <si>
    <t>American Journal of Sports Medicine (2006) 34:2 (213-219). Date of Publication: February 2006</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</si>
  <si>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Â± 2.1 mm and 1.7 Â±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 Â© 2006 American Orthopaedic Society for Sports Medicine.</t>
  </si>
  <si>
    <t>L43152957</t>
  </si>
  <si>
    <t>http://dx.doi.org/10.1177/0363546505279919</t>
  </si>
  <si>
    <t>https://www.embase.com/search/results?subaction=viewrecord&amp;id=L43152957&amp;from=export</t>
  </si>
  <si>
    <t>https://catalyst.library.jhu.edu/openurl/01JHU_INST/01JHU_INST:JHU?sid=EMBASE&amp;sid=EMBASE&amp;issn=03635465&amp;id=doi:10.1177%2F0363546505279919&amp;atitle=A+comparison+of+bone-patellar+tendon-bone+and+bone-hamstring+tendon-bone+autografts+for+anterior+cruciate+ligament+reconstruction&amp;stitle=Am.+J.+Sports+Med.&amp;title=American+Journal+of+Sports+Medicine&amp;volume=34&amp;issue=2&amp;spage=213&amp;epage=219&amp;aulast=Matsumoto&amp;aufirst=Akio&amp;auinit=A.&amp;aufull=Matsumoto+A.&amp;coden=AJSMD&amp;isbn=&amp;pages=213-219&amp;date=2006&amp;auinit1=A&amp;auinitm=</t>
  </si>
  <si>
    <t>Post-operative use of knee brace in bone-tendon-bone patellar tendon anterior cruciate ligament reconstruction: 5-Year follow-up results of a randomized prospective study</t>
  </si>
  <si>
    <t>Harilainen A., Sandelin J.</t>
  </si>
  <si>
    <t>(Harilainen A., arsi.harilainen@invalidisaatio.fi; Sandelin J.) ORTON, Orthopaedic Hospital, Invalid Foundation Tenholantie 10, Helsinki, Finland. , (Harilainen A., arsi.harilainen@invalidisaatio.fi) ORTON, Orthopaedic Hospital, Invalid Foundation Tenholantie 10, 00280 Helsinki, Finland.</t>
  </si>
  <si>
    <t>A. Harilainen, ORTON, Orthopaedic Hospital, Invalid Foundation Tenholantie 10, 00280 Helsinki, Finland. Email: arsi.harilainen@invalidisaatio.fi</t>
  </si>
  <si>
    <t>Scandinavian Journal of Medicine and Science in Sports (2006) 16:1 (14-18). Date of Publication: February 2006</t>
  </si>
  <si>
    <t>Scandinavian Journal of Medicine and Science in Sports</t>
  </si>
  <si>
    <t>0905-7188,1600-0838 (electronic)</t>
  </si>
  <si>
    <t>Blackwell Munksgaard</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</si>
  <si>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 Copyright Â© Blackwell Munksgaard 2005.</t>
  </si>
  <si>
    <t>L43433300</t>
  </si>
  <si>
    <t>http://dx.doi.org/10.1111/j.1600-0838.2004.00435.x</t>
  </si>
  <si>
    <t>https://www.embase.com/search/results?subaction=viewrecord&amp;id=L43433300&amp;from=export</t>
  </si>
  <si>
    <t>https://catalyst.library.jhu.edu/openurl/01JHU_INST/01JHU_INST:JHU?sid=EMBASE&amp;sid=EMBASE&amp;issn=09057188&amp;id=doi:10.1111%2Fj.1600-0838.2004.00435.x&amp;atitle=Post-operative+use+of+knee+brace+in+bone-tendon-bone+patellar+tendon+anterior+cruciate+ligament+reconstruction%3A+5-Year+follow-up+results+of+a+randomized+prospective+study&amp;stitle=Scand.+J.+Med.+Sci.+Sports&amp;title=Scandinavian+Journal+of+Medicine+and+Science+in+Sports&amp;volume=16&amp;issue=1&amp;spage=14&amp;epage=18&amp;aulast=Harilainen&amp;aufirst=A.&amp;auinit=A.&amp;aufull=Harilainen+A.&amp;coden=SMSSE&amp;isbn=&amp;pages=14-18&amp;date=2006&amp;auinit1=A&amp;auinitm=</t>
  </si>
  <si>
    <t>Intra-articular reconstruction of the anterior cruciate ligament with and without extra-articular supplementation by quadricipital tendon plasty: Seven-year follow-up</t>
  </si>
  <si>
    <t>Influence d'une ligamentoplastie extra-articulaire latÃ©rale sur les rÃ©sultats de la reconstruction du ligament croisÃ© antÃ©rieur avec le ligament patellaire avec 7 ans de recul</t>
  </si>
  <si>
    <t>Giraud B., Besse J.-L., CladiÃ¨re F., Ecochard R., Moyen B., Lerat J.-L.</t>
  </si>
  <si>
    <t>(Giraud B.; Besse J.-L.; CladiÃ¨re F.; Moyen B.; Lerat J.-L., lerat.jean-luc@neuf.fr) Service de Chirurgie OrthopÃ©dique et de MÃ©decine du Sport, Centre Hospitalier Lyon-Sud, 69495 Pierre-BÃ©nite, France. , (Ecochard R.) Service de Biostatistique, 162, avenue Lacassagne, 69424 Lyon, France. , (Ecochard R.) Laboratoire Biostatistique SantÃ©, UniversitÃ© Claude-Bernard, Lyon I, France.</t>
  </si>
  <si>
    <t>J.-L. Lerat, Service de Chirurgie OrthopÃ©dique et de MÃ©decine du Sport, Centre Hospitalier Lyon-Sud, 69495 Pierre-BÃ©nite, France. Email: lerat.jean-luc@neuf.fr</t>
  </si>
  <si>
    <t>Revue de Chirurgie Orthopedique et Reparatrice de l'Appareil Moteur (2006) 92:8 (788-797). Date of Publication: December 2006</t>
  </si>
  <si>
    <t>Elsevier Masson SAS</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</si>
  <si>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20Â° flexion. Group 1 (patellar tendon intra-articular reconstruction) included 34 patients (27.1Â±7.5 years) and group 2 (intra-articular reconstruction plus extra-articular quadircipital tendon plasty) included 29 patients (28.5Â±12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83.6Â±3.5 in group 1 and 83.5Â±3.5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 Â© 2006. Elsevier Masson SAS. Tous droits rÃ©servÃ©s.</t>
  </si>
  <si>
    <t>English, French</t>
  </si>
  <si>
    <t>L46039594</t>
  </si>
  <si>
    <t>http://dx.doi.org/10.1016/s0035-1040(06)75947-5</t>
  </si>
  <si>
    <t>https://www.embase.com/search/results?subaction=viewrecord&amp;id=L46039594&amp;from=export</t>
  </si>
  <si>
    <t>https://catalyst.library.jhu.edu/openurl/01JHU_INST/01JHU_INST:JHU?sid=EMBASE&amp;sid=EMBASE&amp;issn=00351040&amp;id=doi:10.1016%2Fs0035-1040%2806%2975947-5&amp;atitle=Intra-articular+reconstruction+of+the+anterior+cruciate+ligament+with+and+without+extra-articular+supplementation+by+quadricipital+tendon+plasty%3A+Seven-year+follow-up&amp;stitle=Rev.+Chir.+Orthop.+Repar.+Appar.+Mot.&amp;title=Revue+de+Chirurgie+Orthopedique+et+Reparatrice+de+l%27Appareil+Moteur&amp;volume=92&amp;issue=8&amp;spage=788&amp;epage=797&amp;aulast=Giraud&amp;aufirst=B.&amp;auinit=B.&amp;aufull=Giraud+B.&amp;coden=RCORA&amp;isbn=&amp;pages=788-797&amp;date=2006&amp;auinit1=B&amp;auinitm=</t>
  </si>
  <si>
    <t>Bone Tunnel Widening Following ACL Reconstruction</t>
  </si>
  <si>
    <t>clinicaltrials.gov (2005). Date of Publication: 13 Sep 2005</t>
  </si>
  <si>
    <t>Brief SummaryHypothesis 1: There is less tunnel-widening with bone-patella tendon-bone graft compared with the hamstring graft when the same fixation method is used. Tunnel widening is greater with achilles tendon allografts versus autograft bone-patella tendon-bone and hamstring autografts. Hypothesis 2: Tunnel widening occurs in the early post-operative period (\&lt; 8 weeks) when the tendon remodels within the bone tunnels. Hypothesis 3: Low pre-operative bone mineral density is associated with tunnel widening.Detailed DescriptionThis will be a prospective study for patients undergoing ACL reconstruction using bone-patella tendon-bone graft, hamstring graft or achilles allograft. Each group will have ACL reconstruction with fixation using bioabsorbable interference screws on the femoral and tibial side. Patients will be evaluated on the day of surgery, 6, 12, 24, 52 and 104 weeks post-operatively. Evaluations will include pre-operative regional and standard bone mineral density measurements, post-operative MRI evaluation of tunnel dimensions and bone-tendon interface, radiographic evaluation of tunnel dimensions and routine clinical follow-up. Interventions or Observations - outline specific procedures, treatments and/or interventions, as well as sources of research material to be utilized, which will involve human subjects or human materials that will be part of this research project. This study will require a pre-operative bone mineral density measurement in the Nuclear Medicine Division of the Department of Radiology at HSS. Standard measurements of the femoral neck, spine as well as regional studies of the distal femur and proximal tibia of the injured knee will be performed. On the day of surgery, the patient will undergo ACL reconstruction using bioabsorbable interference screw fixation of the hamstring, bone-patella tendon-bone graft, or achilles allograft. This is a standard procedure. The choice of graft type (hamstring, bone-patella tendon-bone graft, or achilles allograft) will be discussed with the patients and the patient will decide graft type pre-operatively. In this study, we will standardize the fixation method by using bioabsorbable interference screws. Post-operatively, the patient will undergo a limited MRI scan to evaluate the tunnel dimensions as well as graft placement prior to discharge from the hospital. During the patients' 6 weeks, 12 weeks and 24 weeks clinical follow-up, they will be evaluated by their orthopaedic surgeon for clinical progress. Standard radiographs will be obtained of the patient's knee at the 6 weeks and 24 weeks follow-up visit. These are standard radiographic evaluations and are of no additional charge to the patients. We will utilize these images for radiographic measurements of tunnel expansion. During these visits, the patients will also undergo limited MRI scan of the femoral tunnel and tibia tunnel. With the serial MRI images, we will be able to make accurate measurements of the femoral and tibial tunnels. In addition, we will be able to evaluate the bone-tendon interface as well as the maturation of the intra-articular portion of the ACL graft. At 24, 52 and 104 weeks the patients will also be given standard IKDC and Lysholm clinical knee outcome questionnaires and will have objective stability measurements of both the operative and non-operative knees using a KT-1000 instrument. Overall Study Protocol: Pre-operative work-up 1. Bone mineral density measurement by D.E.X.A. Day of Surgery: 1. ACL reconstruction using bioabsorbable interference screws 2. Limited CT scans to quantitate tunnel dimensions 6 weeks post-operatively 1. Regular clinical follow-up 2. Regular plain radiographs to quantitate tunnel dimensions 3. Limited MRI scans to quantitate tunnel dimensions 12 weeks post-operatively 1. Regular clinical follow-up 2. Limited MRI scans to quantitate tunnel dimensions 24 weeks post-operatively 1. Regular clinical follow-up and KT-1000 measurements 2. Regular plain radiographs to quantitate tunnel dimensions 3. MRI study to evaluate tendon-bone interface, graft maturation, tunnel dimensions and trabecular remodeling 4. Patients will answer IKDC and Lysholm knee questionnaires 52 weeks post-operatively 1. Regular clinical follow-up and KT-1000 measurements 2. Patients will answer IKDC and Lysholm knee questionnaires 3. Limited MRI 104 weeks post-operatively 1. Regular clinical follow-up and KT-1000 measurements 2. Patients will answer IKDC and Lysholm knee questionnaires 3. Limited MRI Number of Subjects (power justification for numbers) A power analysis was performed to determine the number of subjects needed to determine significance between the hamstring and bone-patella tendon-bone group. Data from previous studies demonstrate tunnel widening up to 77 Â± 28% following ACL reconstruction using hamstring tendons. We estimate that a 30% decrease in this amount of tunnel widening would be clinically significant. This extrapolates to a 54% increase in tunnel dimensions. Using these estimations, a power of 0.80 with Î± = 0.5 is achieved using 20 subjects per group (BPTB versus hamstring).</t>
  </si>
  <si>
    <t>LNCT00198042</t>
  </si>
  <si>
    <t>https://clinicaltrials.gov/study/NCT00198042</t>
  </si>
  <si>
    <t>https://www.embase.com/search/results?subaction=viewrecord&amp;id=LNCT00198042&amp;from=export</t>
  </si>
  <si>
    <t>Endoscopic reconstruction of the anterior cruciate ligament using bone-patellar tendon-bone grafts fixed with bioabsorbable or metal interference screws: A prospective randomized study of the clinical outcome</t>
  </si>
  <si>
    <t>Drogset J.O., GrÃ¸ntvedt T., Tegnander A.</t>
  </si>
  <si>
    <t>(Drogset J.O., Jon.O.Drogset@medisin.ntnu.no; GrÃ¸ntvedt T.; Tegnander A.) Department of Orthopaedics, University Hospital in Trondheim, N-7006 Trondheim, Norway.</t>
  </si>
  <si>
    <t>J.O. Drogset, Department of Orthopaedics, University Hospital in Trondheim, N-7006 Trondheim, Norway. Email: Jon.O.Drogset@medisin.ntnu.no</t>
  </si>
  <si>
    <t>American Journal of Sports Medicine (2005) 33:8 (1160-1165). Date of Publication: August 2005</t>
  </si>
  <si>
    <t>0363-5465</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</si>
  <si>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bioabsorbable screws sufficient to warrant the routine use of poly-L-lactic acid screws in anterior cruciate ligament reconstructions. Â© 2005 American Orthopaedic Society for Sports Medicine.</t>
  </si>
  <si>
    <t>polylactic acid (26100-51-6)</t>
  </si>
  <si>
    <t>L41045188</t>
  </si>
  <si>
    <t>http://dx.doi.org/10.1177/0363546504272264</t>
  </si>
  <si>
    <t>https://www.embase.com/search/results?subaction=viewrecord&amp;id=L41045188&amp;from=export</t>
  </si>
  <si>
    <t>https://catalyst.library.jhu.edu/openurl/01JHU_INST/01JHU_INST:JHU?sid=EMBASE&amp;sid=EMBASE&amp;issn=03635465&amp;id=doi:10.1177%2F0363546504272264&amp;atitle=Endoscopic+reconstruction+of+the+anterior+cruciate+ligament+using+bone-patellar+tendon-bone+grafts+fixed+with+bioabsorbable+or+metal+interference+screws%3A+A+prospective+randomized+study+of+the+clinical+outcome&amp;stitle=Am.+J.+Sports+Med.&amp;title=American+Journal+of+Sports+Medicine&amp;volume=33&amp;issue=8&amp;spage=1160&amp;epage=1165&amp;aulast=Drogset&amp;aufirst=Jon+Olav&amp;auinit=J.O.&amp;aufull=Drogset+J.O.&amp;coden=AJSMD&amp;isbn=&amp;pages=1160-1165&amp;date=2005&amp;auinit1=J&amp;auinitm=O</t>
  </si>
  <si>
    <t>Clinical evaluation of arthroscopically assisted anterior cruciate ligament reconstruction: Patellar tendon versus gracilis and semitendinosus autograft</t>
  </si>
  <si>
    <t>Ibrahim S.A.-R., Al-Kussary I.M., Al-Misfer A.R.K., Al-Mutairi H.Q., Ghafar S.A., El Noor T.A.</t>
  </si>
  <si>
    <t>(Ibrahim S.A.-R., samirabdulrazik@yahoo.com; Al-Kussary I.M.; Al-Misfer A.R.K.; Al-Mutairi H.Q.; Ghafar S.A.; El Noor T.A.) Orthopaedic Unit, Al Razi Orthopaedic Hospital, Kuwait University, Safat, Kuwait. , (Ibrahim S.A.-R., samirabdulrazik@yahoo.com) Orthopaedic Unit, Al Razi Orthopaedic Hospital, PO Box 4235, Safat 13043, Kuwait.</t>
  </si>
  <si>
    <t>S.A.-R. Ibrahim, Orthopaedic Unit, Al Razi Orthopaedic Hospital, PO Box 4235, Safat 13043, Kuwait. Email: samirabdulrazik@yahoo.com</t>
  </si>
  <si>
    <t>Arthroscopy - Journal of Arthroscopic and Related Surgery (2005) 21:4 (412-417). Date of Publication: April 2005</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</si>
  <si>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(Ï‡-square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â‰¤5Â° was greater in the PT group (12 patients, 30%) than in the STG group (8 patients, 17%). There was loss of flexion of â‰¤15Â°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Â© 2005 by the Arthroscopy Association of North America.</t>
  </si>
  <si>
    <t>L40432344</t>
  </si>
  <si>
    <t>http://dx.doi.org/10.1016/j.arthro.2004.12.002</t>
  </si>
  <si>
    <t>https://www.embase.com/search/results?subaction=viewrecord&amp;id=L40432344&amp;from=export</t>
  </si>
  <si>
    <t>https://catalyst.library.jhu.edu/openurl/01JHU_INST/01JHU_INST:JHU?sid=EMBASE&amp;sid=EMBASE&amp;issn=07498063&amp;id=doi:10.1016%2Fj.arthro.2004.12.002&amp;atitle=Clinical+evaluation+of+arthroscopically+assisted+anterior+cruciate+ligament+reconstruction%3A+Patellar+tendon+versus+gracilis+and+semitendinosus+autograft&amp;stitle=Arthroscopy+J.+Arthroscopic++Relat.+Surg.&amp;title=Arthroscopy+-+Journal+of+Arthroscopic+and+Related+Surgery&amp;volume=21&amp;issue=4&amp;spage=412&amp;epage=417&amp;aulast=Ibrahim&amp;aufirst=Samir+Abdul-Razik&amp;auinit=S.A.-R.&amp;aufull=Ibrahim+S.A.-R.&amp;coden=ARTHE&amp;isbn=&amp;pages=412-417&amp;date=2005&amp;auinit1=S&amp;auinitm=A.-R.</t>
  </si>
  <si>
    <t>Rehabilitation after anterior cruciate ligament reconstruction: A prospective, randomized, double-blind comparison of programs administered over 2 different time intervals</t>
  </si>
  <si>
    <t>Beynnon B.D., Uh B.S., Johnson R.J., Abate J.A., Nichols C.E., Fleming B.C., Poole A.R., Roos H.</t>
  </si>
  <si>
    <t>(Beynnon B.D., bruce.beynnon@uvm.edu; Uh B.S.; Johnson R.J.; Abate J.A.; Nichols C.E.) Dept. of Orthopaedics and Rehab., McClure Musculoskel. Research Center, University of Vermont, Burlington, VT, United States. , (Fleming B.C.) Department of Orthopaedic Research, Brown Medical School, Providence, RI, United States. , (Poole A.R.) Shriners Hospitals for Children, Department of Surgery, McGill University, Montreal, Que., Canada. , (Roos H.) Department of Orthopaedic Surgery, Lund University Hospital, Lund, Sweden. , (Beynnon B.D., bruce.beynnon@uvm.edu) Dept. of Orthopaedics and Rehab., Stafford Hall, University of Vermont, Burlington, VT 05405-0084, United States.</t>
  </si>
  <si>
    <t>B.D. Beynnon, Dept. of Orthopaedics and Rehab., Stafford Hall, University of Vermont, Burlington, VT 05405-0084, United States. Email: bruce.beynnon@uvm.edu</t>
  </si>
  <si>
    <t>American Journal of Sports Medicine (2005) 33:3 (347-359). Date of Publication: March 2005</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</si>
  <si>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</si>
  <si>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L40270871</t>
  </si>
  <si>
    <t>http://dx.doi.org/10.1177/0363546504268406</t>
  </si>
  <si>
    <t>https://www.embase.com/search/results?subaction=viewrecord&amp;id=L40270871&amp;from=export</t>
  </si>
  <si>
    <t>https://catalyst.library.jhu.edu/openurl/01JHU_INST/01JHU_INST:JHU?sid=EMBASE&amp;sid=EMBASE&amp;issn=03635465&amp;id=doi:10.1177%2F0363546504268406&amp;atitle=Rehabilitation+after+anterior+cruciate+ligament+reconstruction%3A+A+prospective%2C+randomized%2C+double-blind+comparison+of+programs+administered+over+2+different+time+intervals&amp;stitle=Am.+J.+Sports+Med.&amp;title=American+Journal+of+Sports+Medicine&amp;volume=33&amp;issue=3&amp;spage=347&amp;epage=359&amp;aulast=Beynnon&amp;aufirst=Bruce+D.&amp;auinit=B.D.&amp;aufull=Beynnon+B.D.&amp;coden=AJSMD&amp;isbn=&amp;pages=347-359&amp;date=2005&amp;auinit1=B&amp;auinitm=D</t>
  </si>
  <si>
    <t>Kaeding C., Farr J., Kavanaugh T., Pedroza A.</t>
  </si>
  <si>
    <t>(Kaeding C.; Kavanaugh T.; Pedroza A., pedroza-1@medctr.osu.edu) Department of Orthopaedics, Ohio State University, Columbus, OH, United States. , (Farr J.) OrthoIndy, Indianapolis, IN, United States. , (Pedroza A., pedroza-1@medctr.osu.edu) Sports Medicine Center, 2050 Kenny Rd, Columbus, OH 43221, United States.</t>
  </si>
  <si>
    <t>A. Pedroza, Sports Medicine Center, 2050 Kenny Rd, Columbus, OH 43221, United States. Email: pedroza-1@medctr.osu.edu</t>
  </si>
  <si>
    <t>Arthroscopy - Journal of Arthroscopic and Related Surgery (2005) 21:2 (147-151). Date of Publication: February 2005</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</si>
  <si>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</si>
  <si>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polylactic acid (26100-51-6), titanium (7440-32-6)</t>
  </si>
  <si>
    <t>L40202780</t>
  </si>
  <si>
    <t>http://dx.doi.org/10.1016/j.arthro.2004.09.012</t>
  </si>
  <si>
    <t>https://www.embase.com/search/results?subaction=viewrecord&amp;id=L40202780&amp;from=export</t>
  </si>
  <si>
    <t>https://catalyst.library.jhu.edu/openurl/01JHU_INST/01JHU_INST:JHU?sid=EMBASE&amp;sid=EMBASE&amp;issn=07498063&amp;id=doi:10.1016%2Fj.arthro.2004.09.012&amp;atitle=A+prospective+randomized+comparison+of+bioabsorbable+and+titanium+anterior+cruciate+ligament+interference+screws&amp;stitle=Arthroscopy+J.+Arthroscopic++Relat.+Surg.&amp;title=Arthroscopy+-+Journal+of+Arthroscopic+and+Related+Surgery&amp;volume=21&amp;issue=2&amp;spage=147&amp;epage=151&amp;aulast=Kaeding&amp;aufirst=Christopher&amp;auinit=C.&amp;aufull=Kaeding+C.&amp;coden=ARTHE&amp;isbn=&amp;pages=147-151&amp;date=2005&amp;auinit1=C&amp;auinitm=</t>
  </si>
  <si>
    <t>Hill P.F., Russell V.J., Salmon L.J., Pinczewski L.A.</t>
  </si>
  <si>
    <t>(Hill P.F.; Russell V.J.; Salmon L.J.; Pinczewski L.A., lpinczewski@nsosmc.com.au) Australian Inst. Musculo-Skeletal R., NSW, Australia. , (Pinczewski L.A., lpinczewski@nsosmc.com.au) 286 Pacific Highway, Crows Nest, NSW 2065, Australia.</t>
  </si>
  <si>
    <t>L.A. Pinczewski, 286 Pacific Highway, Crows Nest, NSW 2065, Australia. Email: lpinczewski@nsosmc.com.au</t>
  </si>
  <si>
    <t>American Journal of Sports Medicine (2005) 33:1 (94-101). Date of Publication: January 2005</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</si>
  <si>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</si>
  <si>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L40039564</t>
  </si>
  <si>
    <t>http://dx.doi.org/10.1177/0363546504268036</t>
  </si>
  <si>
    <t>https://www.embase.com/search/results?subaction=viewrecord&amp;id=L40039564&amp;from=export</t>
  </si>
  <si>
    <t>https://catalyst.library.jhu.edu/openurl/01JHU_INST/01JHU_INST:JHU?sid=EMBASE&amp;sid=EMBASE&amp;issn=03635465&amp;id=doi:10.1177%2F0363546504268036&amp;atitle=The+influence+of+supplementary+tibial+fixation+on+laxity+measurements+after+anterior+cruciate+ligament+reconstruction+with+hamstring+tendons+in+female+patients&amp;stitle=Am.+J.+Sports+Med.&amp;title=American+Journal+of+Sports+Medicine&amp;volume=33&amp;issue=1&amp;spage=94&amp;epage=101&amp;aulast=Hill&amp;aufirst=Peter+F.&amp;auinit=P.F.&amp;aufull=Hill+P.F.&amp;coden=AJSMD&amp;isbn=&amp;pages=94-101&amp;date=2005&amp;auinit1=P&amp;auinitm=F</t>
  </si>
  <si>
    <t>Laxdal G., Kartus J., Hansson L., Heidvall M., Ejerhed L., Karlsson J.</t>
  </si>
  <si>
    <t>(Laxdal G.; Karlsson J.) Departments of Orthopaedics, Sahlgrenska University Hospital, GÃ¶teborg, Stockholm, Sweden, . , (Kartus J., juri.kartus@vgregion.se; Ejerhed L.) NÃ„L-Hospital, TrollhÃ¤ttan, Stockholm, Sweden, . , (Hansson L.) Artro Clinic, Stockholm, Sweden, . , (Heidvall M.) LÃ¶venstrÃ¶mska Hospital, Stockholm, Sweden, . , (Kartus J., juri.kartus@vgregion.se) Department of Orthopaedics, NÃ„L Hospital, SE-461 85 TrollhÃ¤ttan, Sweden, .</t>
  </si>
  <si>
    <t>Departments of Orthopaedics, Sahlgrenska University Hospital, GÃ¶teborg, Stockholm, Sweden, . Email: juri.kartus@vgregion.se</t>
  </si>
  <si>
    <t>Arthroscopy - Journal of Arthroscopic and Related Surgery (2005) 21:1 (34-42). Date of Publication: January 2005</t>
  </si>
  <si>
    <t>Purpose: The aim of this study was to compare the results after arthroscopic anterior cruciate ligament (ACL) reconstruction using central-third, bone-patellar tendon-bone (BPTB group), 3-strand semitendinosus (ST group), or 4-strand semitendinosus/gracilis (ST/G group) autografts. Type of study: Prospective randomized trial. Methods: A randomized series of 134 patients, all with unilateral ACL rupture was included in the study. In all 3 groups, interference screw fixation of the graft was used at both ends and 125 of 134 (93%) of the patients returned for the follow-up examination after 26 months (range, 20 to 43 months). The preoperative assessments in all 3 groups were similar in terms of gender, Tegner activity level, Lysholm score, KT-1000 measurements, 1-leg hop test, and the knee-walking test. Results: At follow-up, the knee-walking test was significantly worse in the BPTB group than in the ST group (P =. 0004) and ST/G group (P &lt;. 0001). Furthermore, the knee-walking test was significantly worse at follow-up than preoperatively in the BPTB group (P &lt;. 0001). The corresponding findings were not made in the other 2 groups. A significant reduction in knee laxity and an increase in activity level compared with the preoperative assessments were found in all 3 groups, without any significant differences between the groups. Conclusions: Two years after ACL reconstruction, the use of ST and ST/G autografts rendered significantly less discomfort during the knee-walking test than the use of BPTB autografts. However, in terms of functional outcome and knee laxity, the groups displayed no significant differences. Level of evidence: Level I.</t>
  </si>
  <si>
    <t>L40092295</t>
  </si>
  <si>
    <t>http://dx.doi.org/10.1016/j.arthro.2004.09.014</t>
  </si>
  <si>
    <t>https://www.embase.com/search/results?subaction=viewrecord&amp;id=L40092295&amp;from=export</t>
  </si>
  <si>
    <t>https://catalyst.library.jhu.edu/openurl/01JHU_INST/01JHU_INST:JHU?sid=EMBASE&amp;sid=EMBASE&amp;issn=07498063&amp;id=doi:10.1016%2Fj.arthro.2004.09.014&amp;atitle=A+prospective+randomized+comparison+of+bone-patellar+tendon-bone+and+hamstring+grafts+for+anterior+cruciate+ligament+reconstruction&amp;stitle=Arthroscopy+J.+Arthroscopic++Relat.+Surg.&amp;title=Arthroscopy+-+Journal+of+Arthroscopic+and+Related+Surgery&amp;volume=21&amp;issue=1&amp;spage=34&amp;epage=42&amp;aulast=Laxdal&amp;aufirst=Gauti&amp;auinit=G.&amp;aufull=Laxdal+G.&amp;coden=ARTHE&amp;isbn=&amp;pages=34-42&amp;date=2005&amp;auinit1=G&amp;auinitm=</t>
  </si>
  <si>
    <t>Nicholas S.J., D'Amato M.J., Mullaney M.J., Tyler T.F., Kolstad K., McHugh M.P.</t>
  </si>
  <si>
    <t>(Nicholas S.J.; D'Amato M.J.; Mullaney M.J.; Tyler T.F.; Kolstad K.; McHugh M.P.) Nicholas Inst. Sports Med./A. T., Lenox Hill Hospital, New York, NY, United States. , (Nicholas S.J.) Nicholas Inst. Sports Med./A. T., Lenox Hill Hospital, 130 East 77th Street, New York, NY 10021, United States.</t>
  </si>
  <si>
    <t>S.J. Nicholas, Nicholas Inst. Sports Med./A. T., Lenox Hill Hospital, 130 East 77th Street, New York, NY 10021, United States.</t>
  </si>
  <si>
    <t>American Journal of Sports Medicine (2004) 32:8 (1881-1886). Date of Publication: December 2004</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</si>
  <si>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Â± 1.7 mm versus 2.4 Â± 2.4 mm 1 week after surgery and 2.2 Â± 1.6 mm versus 3.0 Â± 2.2 mm at follow-up. Five patients had abnormal anterior tibial displacement (&gt;5 mm side-to-side difference), and all were in the low-tension group (P &lt; .05). Knee outcome scores improved with surgery (P &lt; .01), with similar results for low-tension and high-tension groups. Hop test deficits were not different between groups. Conclusions: Initial graft tension affects the restoration of knee stability. A graft tension of 45 N was not sufficient for restoring knee stability.</t>
  </si>
  <si>
    <t>L39551867</t>
  </si>
  <si>
    <t>http://dx.doi.org/10.1177/0363546504265924</t>
  </si>
  <si>
    <t>https://www.embase.com/search/results?subaction=viewrecord&amp;id=L39551867&amp;from=export</t>
  </si>
  <si>
    <t>https://catalyst.library.jhu.edu/openurl/01JHU_INST/01JHU_INST:JHU?sid=EMBASE&amp;sid=EMBASE&amp;issn=03635465&amp;id=doi:10.1177%2F0363546504265924&amp;atitle=A+prospectively+randomized+double-blind+study+on+the+effect+of+initial+graft+tension+on+knee+stability+after+anterior+cruciate+ligament+reconstruction&amp;stitle=Am.+J.+Sports+Med.&amp;title=American+Journal+of+Sports+Medicine&amp;volume=32&amp;issue=8&amp;spage=1881&amp;epage=1886&amp;aulast=Nicholas&amp;aufirst=Stephen+J.&amp;auinit=S.J.&amp;aufull=Nicholas+S.J.&amp;coden=AJSMD&amp;isbn=&amp;pages=1881-1886&amp;date=2004&amp;auinit1=S&amp;auinitm=J</t>
  </si>
  <si>
    <t>Anterior cruciate ligament reconstruction: Bone-patellar tendon-bone compared with double semitendinosus and gracilis tendon grafts - A prospective, randomized clinical trial</t>
  </si>
  <si>
    <t>Aglietti P., Giron F., Buzzi R., Biddau F., Sasso F.</t>
  </si>
  <si>
    <t>(Aglietti P.; Giron F., ortosec@unifi.it; Buzzi R.; Biddau F.; Sasso F.) First Orthopaedic Clinic, University of Florence, Florence, Italy. , (Aglietti P.; Giron F., ortosec@unifi.it; Buzzi R.; Biddau F.; Sasso F.) First Orthopaedic Clinic, University of Florence, Largo Pietro Palagi 1, 50139 Florence, Italy.</t>
  </si>
  <si>
    <t>P. Aglietti, First Orthopaedic Clinic, University of Florence, Florence, Italy.</t>
  </si>
  <si>
    <t>Journal of Bone and Joint Surgery (2004) 86:10 (2143-2155). Date of Publication: October 2004</t>
  </si>
  <si>
    <t>Journal of Bone and Joint Surgery</t>
  </si>
  <si>
    <t>0021-9355</t>
  </si>
  <si>
    <t>Journal of Bone and Joint Surgery Inc.</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</si>
  <si>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cruclate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</si>
  <si>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L39349947</t>
  </si>
  <si>
    <t>10.2106/00004623-200410000-00004</t>
  </si>
  <si>
    <t>http://dx.doi.org/10.2106/00004623-200410000-00004</t>
  </si>
  <si>
    <t>https://www.embase.com/search/results?subaction=viewrecord&amp;id=L39349947&amp;from=export</t>
  </si>
  <si>
    <t>https://catalyst.library.jhu.edu/openurl/01JHU_INST/01JHU_INST:JHU?sid=EMBASE&amp;sid=EMBASE&amp;issn=00219355&amp;id=doi:10.2106%2F00004623-200410000-00004&amp;atitle=Anterior+cruciate+ligament+reconstruction%3A+Bone-patellar+tendon-bone+compared+with+double+semitendinosus+and+gracilis+tendon+grafts+-+A+prospective%2C+randomized+clinical+trial&amp;stitle=J.+Bone+Jt.+Surg.+Ser.+A&amp;title=Journal+of+Bone+and+Joint+Surgery&amp;volume=86&amp;issue=10&amp;spage=2143&amp;epage=2155&amp;aulast=Aglietti&amp;aufirst=Paolo&amp;auinit=P.&amp;aufull=Aglietti+P.&amp;coden=JBJSA&amp;isbn=&amp;pages=2143-2155&amp;date=2004&amp;auinit1=P&amp;auinitm=</t>
  </si>
  <si>
    <t>Patellar tendon-bone autograft reconstruction of the anterior cruciate ligament for advanced-stage chronic anterior laxity: Is an extra-articular plasty necessary? A prospective randomized study of 100 patients with five year follow-up</t>
  </si>
  <si>
    <t>IntÃ©rÃªt d'une plastie extra-articulaire dans le traitement des laxitÃ©s antÃ©rieures chroniques du genou par une autogreffe de tendon rotulien: Ã‰tude prospective randomisÃ©e d'une sÃ©rie de 100 cas avec 5 ans de recul</t>
  </si>
  <si>
    <t>Acquitter Y., Hulet C., Locker B., Delbarre J.-C., Jambou S., Vielpeau C.</t>
  </si>
  <si>
    <t>(Acquitter Y.; Hulet C.; Locker B.; Delbarre J.-C.; Jambou S.; Vielpeau C., vielpeau-c@chu-caen.fr) Dept. Chir. Orthoped./Traumatologie, CHU de Caen, avenue CÃ´te de Nacre, 14033 Caen Cedex, France.</t>
  </si>
  <si>
    <t>C. Vielpeau, Dept. Chir. Orthoped./Traumatologie, CHU de Caen, avenue CÃ´te de Nacre, 14033 Caen Cedex, France. Email: vielpeau-c@chu-caen.fr</t>
  </si>
  <si>
    <t>Revue de Chirurgie Orthopedique et Reparatrice de l'Appareil Moteur (2003) 89:5 (413-422). Date of Publication: September 2003</t>
  </si>
  <si>
    <t>Purpose of the study: This prospective randomized study was conducted to analyze the anatomic and functional impact of an extra-articular lateral plasty associated with patellar tendon-bone autograft in anterior cruciate ligament reconstruction. Material and methods: A consecutive series of 100 patients with grade II (Noyes classification) chronic anterior laxity confirmed on stress x-rays were included in the study. All patients had a positive Trillat-Lachman test, a direct anterior drawer at 90Â° flexion confirmed on the lateral x-ray, and an instrumental differential laxity greater than 5 mm (manual arthrometry, Medmetric KT1000). Mean patient age was 27 years (range 16-29 years) and time from the accident to ligamentoplasty was 29 months (range 3-156 months). In the operating theater, the patients were assigned at random to two groups. Group 1 (50 patients) underwent arthroscopic free patellar tendon-bone autograft reconstruction of the anterior cruciate ligament. In the second group (50 patients) the same reconstruction was further supported by a lateral extra-articular plasty using the quadriceps tendon. All patients were followed prospectively. At 58 months follow-up (none of the patients were lost to follow-up) residual laxity (Medmetric KT1000) was noted and functional outcome was assessed using the IKDC criteria. The Aglietti method was used to assess the position of the drill holes. Results: The two groups were strictly identical at inclusion. At last follow-up, the statistical analysis did not reveal any significant difference between the groups for subjective outcome, joint motion, instrumental residual laxity, meniscal stock, or radiological changes. The overall IKDC score was A or B in 80% of the patients in group 1 and 88% of the patients in group 2. Delay to resumed sports activities (about 12 months) was also equivalent in the two groups with a trend towards lower intensity and sports producing less stress on the knee. A minimally positive pivot test with no effect on stability was observed in 4 patients in group 1 (intra-articular plasty alone) and in 2 patients in group 2 (intra- and extra-articular plasty). 16% of the insufficient results (IKDC C and D) were related to repeated tears (n = 8, 6 patients in group 1 and 2 patients in group 2, p = 0.268), and failure (n = 8, 4 in each group) due to defective motion and pain. Repeated tears were strongly correlated with incorrect drill hole position in the tibia (p = 0.01) or femur (p = 0.024). Despite the stabilization, radiological remodeling was observed in 31% of the patients in both groups. Discussion: The results in this consecutive series of patients demonstrated the good results obtained with intra-articular ligamentoplasy using the mid third of the patellar tendon. The rate of repeated tears or minimally positive pivot tests was higher in group 1 with intra-articular plasty alone but did not reach statistical significance and was generally related to a technical error in positioning the autograft, making it difficult to draw any conclusion concerning the anatomic superiority of mixed plasty. Conclusion: At the current follow-up of 5 years, this study was unable to demonstrate any advantage of systematic conjunction of an extra-articular lateral support for advanced chronic anterior laxity of the knee treated by a free patellar tendon graft.</t>
  </si>
  <si>
    <t>L37173977</t>
  </si>
  <si>
    <t>https://www.embase.com/search/results?subaction=viewrecord&amp;id=L37173977&amp;from=export</t>
  </si>
  <si>
    <t>https://catalyst.library.jhu.edu/openurl/01JHU_INST/01JHU_INST:JHU?sid=EMBASE&amp;sid=EMBASE&amp;issn=00351040&amp;id=doi:&amp;atitle=Patellar+tendon-bone+autograft+reconstruction+of+the+anterior+cruciate+ligament+for+advanced-stage+chronic+anterior+laxity%3A+Is+an+extra-articular+plasty+necessary%3F+A+prospective+randomized+study+of+100+patients+with+five+year+follow-up&amp;stitle=Rev.+Chir.+Orthop.+Repar.+Appar.+Mot.&amp;title=Revue+de+Chirurgie+Orthopedique+et+Reparatrice+de+l%27Appareil+Moteur&amp;volume=89&amp;issue=5&amp;spage=413&amp;epage=422&amp;aulast=Acquitter&amp;aufirst=Y.&amp;auinit=Y.&amp;aufull=Acquitter+Y.&amp;coden=RCORA&amp;isbn=&amp;pages=413-422&amp;date=2003&amp;auinit1=Y&amp;auinitm=</t>
  </si>
  <si>
    <t>Can a post-operative brace in slight hyperextension prevent extension deficit after anterior cruciate ligament reconstruction? A pospective randomised study</t>
  </si>
  <si>
    <t>Mikkelsen C., Werner S., Cerulli G., Lorenzini M., Bergstrand G.</t>
  </si>
  <si>
    <t>(Mikkelsen C.; Werner S., werner.eriksson@telia.com) Section of Sports Medicine, Department of Surgical Sciences, Karolinska Institutet, 17176 Stockholm, Sweden. , (Cerulli G.; Lorenzini M.) Department of Orthopaedic Surgery, Silvestrini Hospital, University of Perugia, Perugia, Italy. , (Bergstrand G.) Department of Radiology, VÃ¤llingby Hospital, Stockholm, Sweden. , (Werner S., werner.eriksson@telia.com) Division of Physiotherapy, Neurotec Department, Karolinska Institutet, Stockholm, Sweden.</t>
  </si>
  <si>
    <t>S. Werner, Division of Physiotherapy, Neurotec Department, Karolinska Institutet, Stockholm, Sweden. Email: werner.eriksson@telia.com</t>
  </si>
  <si>
    <t>Knee Surgery, Sports Traumatology, Arthroscopy (2003) 11:5 (318-321). Date of Publication: September 2003</t>
  </si>
  <si>
    <t>0942-2056</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</si>
  <si>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0Â°, -5Â° and -10Â° of knee extension. Not a single knee was found to be straight in the brace set at 0Â°. At -5Â° most of the knees were straight or in slight hyperextension. It took -10Â° to get all knees straight or in hyperextension. In a prospective randomised study 44 patients who underwent an arthroscopic ACL-reconstruction with a bone patellar tendon bone graft were randomised to use either a brace set at -5Â° or a straight brace (0Â°)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-5Â° and twelve of the 22 patients with the straight brace had a loss of full extension of 2Â° or more (p&lt;0.001). No significant differences were found between the groups in terms of knee flexion, sagittal knee laxity or post-operative pain. Although extension deficit after ACL-reconstruction can be prevented also in other ways, a Hypex brace set at -5Â° seems to be an easy way of ensuring full knee extension.</t>
  </si>
  <si>
    <t>L38251121</t>
  </si>
  <si>
    <t>http://dx.doi.org/10.1007/s00167-003-0406-3</t>
  </si>
  <si>
    <t>https://www.embase.com/search/results?subaction=viewrecord&amp;id=L38251121&amp;from=export</t>
  </si>
  <si>
    <t>https://catalyst.library.jhu.edu/openurl/01JHU_INST/01JHU_INST:JHU?sid=EMBASE&amp;sid=EMBASE&amp;issn=09422056&amp;id=doi:10.1007%2Fs00167-003-0406-3&amp;atitle=Can+a+post-operative+brace+in+slight+hyperextension+prevent+extension+deficit+after+anterior+cruciate+ligament+reconstruction%3F+A+pospective+randomised+study&amp;stitle=Knee+Surg.+Sports+Traumatol.+Arthroscopy&amp;title=Knee+Surgery%2C+Sports+Traumatology%2C+Arthroscopy&amp;volume=11&amp;issue=5&amp;spage=318&amp;epage=321&amp;aulast=Mikkelsen&amp;aufirst=C.&amp;auinit=C.&amp;aufull=Mikkelsen+C.&amp;coden=&amp;isbn=&amp;pages=318-321&amp;date=2003&amp;auinit1=C&amp;auinitm=</t>
  </si>
  <si>
    <t>Reconstruction of acute anterior cruciate ligament injuries: A prospetive, randomised study of 40 patients with 7-year follow-up. No advantage of synthetic augmentation compared to a traditional patellar tendon graft</t>
  </si>
  <si>
    <t>Muren O., Dahlstedt L., DalÃ©n N.</t>
  </si>
  <si>
    <t>(Muren O., olle.muren@ort.sll.se; Dahlstedt L.; DalÃ©n N.) Karolinska Institute, Department of Orthopaedics, Danderyds Hospital, 18288 Stockholm, Sweden.</t>
  </si>
  <si>
    <t>O. Muren, Karolinska Institute, Department of Orthopaedics, Danderyds Hospital, 18288 Stockholm, Sweden. Email: olle.muren@ort.ds.sll.se</t>
  </si>
  <si>
    <t>Archives of Orthopaedic and Trauma Surgery (2003) 123:4 (144-147). Date of Publication: May 2003</t>
  </si>
  <si>
    <t>0936-8051</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</si>
  <si>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</si>
  <si>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L36747759</t>
  </si>
  <si>
    <t>http://dx.doi.org/10.1007/s00402-002-0457-9</t>
  </si>
  <si>
    <t>https://www.embase.com/search/results?subaction=viewrecord&amp;id=L36747759&amp;from=export</t>
  </si>
  <si>
    <t>https://catalyst.library.jhu.edu/openurl/01JHU_INST/01JHU_INST:JHU?sid=EMBASE&amp;sid=EMBASE&amp;issn=09368051&amp;id=doi:10.1007%2Fs00402-002-0457-9&amp;atitle=Reconstruction+of+acute+anterior+cruciate+ligament+injuries%3A+A+prospetive%2C+randomised+study+of+40+patients+with+7-year+follow-up.+No+advantage+of+synthetic+augmentation+compared+to+a+traditional+patellar+tendon+graft&amp;stitle=Arch.+Orthop.+Trauma+Surg.&amp;title=Archives+of+Orthopaedic+and+Trauma+Surgery&amp;volume=123&amp;issue=4&amp;spage=144&amp;epage=147&amp;aulast=Muren&amp;aufirst=Olle&amp;auinit=O.&amp;aufull=Muren+O.&amp;coden=AOTSE&amp;isbn=&amp;pages=144-147&amp;date=2003&amp;auinit1=O&amp;auinitm=</t>
  </si>
  <si>
    <t>Anterior cruciate ligament reconstruction with and without a ligament augmentation device: Results at 8-year follow-up</t>
  </si>
  <si>
    <t>Drogset J.O., GrÃ¸ntvedt T.</t>
  </si>
  <si>
    <t>(Drogset J.O.; GrÃ¸ntvedt T.) Department of Orthopedic Surgery, Trondheim University Hospital, 7006 Trondheim, Norway.</t>
  </si>
  <si>
    <t>J.O. Drogset, Department of Orthopedic Surgery, Trondheim University Hospital, 7006 Trondheim, Norway.</t>
  </si>
  <si>
    <t>American Journal of Sports Medicine (2002) 30:6 (851-856). Date of Publication: 1 Dec 2002</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</si>
  <si>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 Â© 2002 American Orthopaedic Society for Sports Medicine.</t>
  </si>
  <si>
    <t>L35379278</t>
  </si>
  <si>
    <t>http://dx.doi.org/10.1177/03635465020300061601</t>
  </si>
  <si>
    <t>https://www.embase.com/search/results?subaction=viewrecord&amp;id=L35379278&amp;from=export</t>
  </si>
  <si>
    <t>https://catalyst.library.jhu.edu/openurl/01JHU_INST/01JHU_INST:JHU?sid=EMBASE&amp;sid=EMBASE&amp;issn=03635465&amp;id=doi:10.1177%2F03635465020300061601&amp;atitle=Anterior+cruciate+ligament+reconstruction+with+and+without+a+ligament+augmentation+device%3A+Results+at+8-year+follow-up&amp;stitle=Am.+J.+Sports+Med.&amp;title=American+Journal+of+Sports+Medicine&amp;volume=30&amp;issue=6&amp;spage=851&amp;epage=856&amp;aulast=Drogset&amp;aufirst=Jon+Olav&amp;auinit=J.O.&amp;aufull=Drogset+J.O.&amp;coden=AJSMD&amp;isbn=&amp;pages=851-856&amp;date=2002&amp;auinit1=J&amp;auinitm=O</t>
  </si>
  <si>
    <t>A new generation of artificial ligaments in reconstruction of the anterior cruciate ligament</t>
  </si>
  <si>
    <t>Nau T., Lavoie P., Duval N.</t>
  </si>
  <si>
    <t>(Nau T.; Lavoie P.; Duval N.) Trauma Centre, University of Vienna Medical School, Waehringer Guertel 18-20, 1090 Vienna, Austria.</t>
  </si>
  <si>
    <t>T. Nau, Trauma Centre, University of Vienna Medical School, Waehringer Guertel 18-20, 1090 Vienna, Austria.</t>
  </si>
  <si>
    <t>Journal of Bone and Joint Surgery - Series B (2002) 84:3 (356-360). Date of Publication: 2002</t>
  </si>
  <si>
    <t>Journal of Bone and Joint Surgery - Series B</t>
  </si>
  <si>
    <t>0301-620X</t>
  </si>
  <si>
    <t>British Editorial Society of Bone and Joint Surgery, 22 Buckingham Street, London, United Kingdom.</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</si>
  <si>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</si>
  <si>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L34413763</t>
  </si>
  <si>
    <t>10.1302/0301-620X.84B3.12400</t>
  </si>
  <si>
    <t>http://dx.doi.org/10.1302/0301-620X.84B3.12400</t>
  </si>
  <si>
    <t>https://www.embase.com/search/results?subaction=viewrecord&amp;id=L34413763&amp;from=export</t>
  </si>
  <si>
    <t>https://catalyst.library.jhu.edu/openurl/01JHU_INST/01JHU_INST:JHU?sid=EMBASE&amp;sid=EMBASE&amp;issn=0301620X&amp;id=doi:10.1302%2F0301-620X.84B3.12400&amp;atitle=A+new+generation+of+artificial+ligaments+in+reconstruction+of+the+anterior+cruciate+ligament&amp;stitle=J.+Bone+Jt.+Surg.+Ser.+B&amp;title=Journal+of+Bone+and+Joint+Surgery+-+Series+B&amp;volume=84&amp;issue=3&amp;spage=356&amp;epage=360&amp;aulast=Nau&amp;aufirst=T.&amp;auinit=T.&amp;aufull=Nau+T.&amp;coden=JBSUA&amp;isbn=&amp;pages=356-360&amp;date=2002&amp;auinit1=T&amp;auinitm=</t>
  </si>
  <si>
    <t>Range of motion training in brace vs. plaster immobilization after anterior cruciate ligament reconstruction: a prospective randomized comparison with a 2-year follow-up.</t>
  </si>
  <si>
    <t>Henriksson M., Rockborn P., Good L.</t>
  </si>
  <si>
    <t>(Henriksson M.; Rockborn P.; Good L.) Department of Orthopaedics, University Hospital, LinkÃ¶ping, and Regional Hospital NorrkÃ¶ping, Sweden.</t>
  </si>
  <si>
    <t>M. Henriksson, Department of Orthopaedics, University Hospital, LinkÃ¶ping, and Regional Hospital NorrkÃ¶ping, Sweden.</t>
  </si>
  <si>
    <t>Scandinavian journal of medicine &amp; science in sports (2002) 12:2 (73-80). Date of Publication: Apr 2002</t>
  </si>
  <si>
    <t>Scandinavian journal of medicine &amp; science in sports</t>
  </si>
  <si>
    <t>0905-7188</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</si>
  <si>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(- 0.9 +/- 11.8%, NS) (brace vs plaster group, P &lt; 0.05). Furthermore, there was also a tendency in the brace group to a larger strength deficit in the quadriceps muscle (brace: 11.1 +/- 13.2%, P &lt; 0.001; plaster: 3.8 +/- 12.9%, NS) (brace vs plaster group, P=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</si>
  <si>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L35615671</t>
  </si>
  <si>
    <t>https://www.embase.com/search/results?subaction=viewrecord&amp;id=L35615671&amp;from=export</t>
  </si>
  <si>
    <t>https://catalyst.library.jhu.edu/openurl/01JHU_INST/01JHU_INST:JHU?sid=EMBASE&amp;sid=EMBASE&amp;issn=09057188&amp;id=doi:&amp;atitle=Range+of+motion+training+in+brace+vs.+plaster+immobilization+after+anterior+cruciate+ligament+reconstruction%3A+a+prospective+randomized+comparison+with+a+2-year+follow-up.&amp;stitle=Scand+J+Med+Sci+Sports&amp;title=Scandinavian+journal+of+medicine+%26+science+in+sports&amp;volume=12&amp;issue=2&amp;spage=73&amp;epage=80&amp;aulast=Henriksson&amp;aufirst=M.&amp;auinit=M.&amp;aufull=Henriksson+M.&amp;coden=&amp;isbn=&amp;pages=73-80&amp;date=2002&amp;auinit1=M&amp;auinitm=</t>
  </si>
  <si>
    <t>Single- versus two-incision technique in anterior cruciate ligament replacement: Influence on postoperative muscle function</t>
  </si>
  <si>
    <t>Hess T., Duchow J., Roland S., Kohn D.</t>
  </si>
  <si>
    <t>(Hess T.; Duchow J.; Roland S.; Kohn D.) OrthopÃ¤dische UniversitÃ¤tsklinik, Homburg/Saar, Germany. , (Hess T.) OrthopÃ¤dische UniversitÃ¤tsklinik, D-66421 Homburg/Saar, Germany.</t>
  </si>
  <si>
    <t>T. Hess, Orthopadische Universitatsklinik, D-66421 Homburg/Saar, Germany.</t>
  </si>
  <si>
    <t>American Journal of Sports Medicine (2002) 30:1 (27-31). Date of Publication: 2002</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</si>
  <si>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</si>
  <si>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L34083711</t>
  </si>
  <si>
    <t>http://dx.doi.org/10.1177/03635465020300011801</t>
  </si>
  <si>
    <t>https://www.embase.com/search/results?subaction=viewrecord&amp;id=L34083711&amp;from=export</t>
  </si>
  <si>
    <t>https://catalyst.library.jhu.edu/openurl/01JHU_INST/01JHU_INST:JHU?sid=EMBASE&amp;sid=EMBASE&amp;issn=03635465&amp;id=doi:10.1177%2F03635465020300011801&amp;atitle=Single-+versus+two-incision+technique+in+anterior+cruciate+ligament+replacement%3A+Influence+on+postoperative+muscle+function&amp;stitle=Am.+J.+Sports+Med.&amp;title=American+Journal+of+Sports+Medicine&amp;volume=30&amp;issue=1&amp;spage=27&amp;epage=31&amp;aulast=Hess&amp;aufirst=Thomas&amp;auinit=T.&amp;aufull=Hess+T.&amp;coden=AJSMD&amp;isbn=&amp;pages=27-31&amp;date=2002&amp;auinit1=T&amp;auinitm=</t>
  </si>
  <si>
    <t>Anterior cruciate ligament replacement: Comparison of bone-patellar tendon-bone grafts with two-strand hamstring grafts. A prospective, randomized study</t>
  </si>
  <si>
    <t>Beynnon B.D., Johnson R.J., Fleming B.C., Kannus P., Kaplan M., Samani J., RenstroÌˆm P.</t>
  </si>
  <si>
    <t>(Beynnon B.D.; Johnson R.J.; Fleming B.C.; Kannus P.; Kaplan M.; Samani J.; RenstroÌˆm P.) Department of Orthopaedics, University of Vermont, McClure Musculoskeletal Res. Center, Burlington, VT 05405-0084, United States.</t>
  </si>
  <si>
    <t>B.D. Beynnon, Department of Orthopaedics, University of Vermont, McClure Musculoskeletal Res. Center, Burlington, VT 05405-0084, United States. Email: bruce.beynnon@uvm.edu</t>
  </si>
  <si>
    <t>Journal of Bone and Joint Surgery (2002) 84:9 (1503-1513). Date of Publication: September 2002</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</si>
  <si>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</si>
  <si>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L35014698</t>
  </si>
  <si>
    <t>http://dx.doi.org/10.2106/00004623-200209000-00001</t>
  </si>
  <si>
    <t>https://www.embase.com/search/results?subaction=viewrecord&amp;id=L35014698&amp;from=export</t>
  </si>
  <si>
    <t>https://catalyst.library.jhu.edu/openurl/01JHU_INST/01JHU_INST:JHU?sid=EMBASE&amp;sid=EMBASE&amp;issn=00219355&amp;id=doi:10.2106%2F00004623-200209000-00001&amp;atitle=Anterior+cruciate+ligament+replacement%3A+Comparison+of+bone-patellar+tendon-bone+grafts+with+two-strand+hamstring+grafts.+A+prospective%2C+randomized+study&amp;stitle=J.+Bone+Jt.+Surg.+Ser.+A&amp;title=Journal+of+Bone+and+Joint+Surgery&amp;volume=84&amp;issue=9&amp;spage=1503&amp;epage=1513&amp;aulast=Beynnon&amp;aufirst=Bruce+D.&amp;auinit=B.D.&amp;aufull=Beynnon+B.D.&amp;coden=JBJSA&amp;isbn=&amp;pages=1503-1513&amp;date=2002&amp;auinit1=B&amp;auinitm=D</t>
  </si>
  <si>
    <t>Four-strand hamstring tendon autograft compared with patellar tendon-bone autograft for anterior cruciate ligament reconstruction: A randomized study with two-year follow-up</t>
  </si>
  <si>
    <t>Aune A.K., Holm I., Risberg M.A., Jensen H.K., Steen H.</t>
  </si>
  <si>
    <t>(Aune A.K.; Risberg M.A.; Jensen H.K.) Orthopaedic Department, Ullevaal Hospital, University of Oslo, Oslo, Norway. , (Holm I.; Steen H.) Biomechanics Laboratory, National Orthopaedic Centre, University of Oslo, Oslo, Norway. , (Aune A.K.) Orthopaedic Department, Volvat Medical Centre, Pb. 5280, Majorstua, 0303 Oslo, Norway.</t>
  </si>
  <si>
    <t>A.K. Aune, Orthopaedic Department, Volvat Medical Centre, Pb. 5280 Majorstua, 0303 Oslo, Norway.</t>
  </si>
  <si>
    <t>American Journal of Sports Medicine (2001) 29:6 (722-728). Date of Publication: 2001</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</si>
  <si>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</si>
  <si>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L33078907</t>
  </si>
  <si>
    <t>http://dx.doi.org/10.1177/03635465010290060901</t>
  </si>
  <si>
    <t>https://www.embase.com/search/results?subaction=viewrecord&amp;id=L33078907&amp;from=export</t>
  </si>
  <si>
    <t>https://catalyst.library.jhu.edu/openurl/01JHU_INST/01JHU_INST:JHU?sid=EMBASE&amp;sid=EMBASE&amp;issn=03635465&amp;id=doi:10.1177%2F03635465010290060901&amp;atitle=Four-strand+hamstring+tendon+autograft+compared+with+patellar+tendon-bone+autograft+for+anterior+cruciate+ligament+reconstruction%3A+A+randomized+study+with+two-year+follow-up&amp;stitle=Am.+J.+Sports+Med.&amp;title=American+Journal+of+Sports+Medicine&amp;volume=29&amp;issue=6&amp;spage=722&amp;epage=728&amp;aulast=Aune&amp;aufirst=Arne+K.&amp;auinit=A.K.&amp;aufull=Aune+A.K.&amp;coden=AJSMD&amp;isbn=&amp;pages=722-728&amp;date=2001&amp;auinit1=A&amp;auinitm=K</t>
  </si>
  <si>
    <t>Anterior cruciate ligament reconstruction using patellar tendon autograft and bioresorbable interference screws</t>
  </si>
  <si>
    <t>Hofmann G.O., Wagner F.D., Beickert R., Gonschorek O., BÃ¼hren V.</t>
  </si>
  <si>
    <t>(BÃ¼hren V.) Berufsgenossenschaftliche Unfallklinik, Murnau, Germany. , (Hofmann G.O.; Wagner F.D.; Beickert R.; Gonschorek O.)</t>
  </si>
  <si>
    <t>G.O. Hofmann, Berufsgenossenschaftliche, Professor-Kuntscher-StraÃŸe 8, 82418 Murnau, Germany. Email: gunther.hofmann@bgu-murnau.de</t>
  </si>
  <si>
    <t>European Journal of Trauma (2001) 27:5 (241-249). Date of Publication: 2001</t>
  </si>
  <si>
    <t>European Journal of Trauma</t>
  </si>
  <si>
    <t>1439-0590</t>
  </si>
  <si>
    <t>Material and Method: Bioresorbable and biostable interference screws in operative reconstruction of anterior cruciate ligament (ACL) ruptures were compared concerning safety and efficacy. The randomized prospective clinical study consisted of 2 groups with 15 patients each, admitted at our center with acute (&lt; 8 weeks) traumatic loss of ACL-stability. The ACL-reconstruction was performed in open technique using a bone-patellar tendon-bone autograft and fixation with bioresorbable (study group) or titanium (control group) interference screws. Results: Employing a special questionnaire patients' satisfaction was recorded. Functional results were scored using clinical examination and the Lachman test under sonographic control. Foreign-body reactions against the implants were assessed by clinical examinations and on radiographs. The follow-up of all patients was at least for 2 years. Ligament stability of the knee joint, operative and postoperative complication rate did not significantly differ between the two groups. 14 patients of the study group and 13 patients of the control group were completely satisfied. One patient of the study group was dissatisfied because of developing an infection. Conclusion: The results using bioresorbable interference screws in ACL-reconstruction are identic to those employing standard titanium implants. Differences in rates of operative and postoperative complications were not statistically significant. The advantages of the bioresorbable implants include the absence of urgent implant removal in case of secondary ACL-reconstruction procedures and undisturbed MRI and CT scans postoperatively.</t>
  </si>
  <si>
    <t>titanium (7440-32-6)</t>
  </si>
  <si>
    <t>L32999258</t>
  </si>
  <si>
    <t>10.1007/s00068-001-1089-4</t>
  </si>
  <si>
    <t>http://dx.doi.org/10.1007/s00068-001-1089-4</t>
  </si>
  <si>
    <t>https://www.embase.com/search/results?subaction=viewrecord&amp;id=L32999258&amp;from=export</t>
  </si>
  <si>
    <t>https://catalyst.library.jhu.edu/openurl/01JHU_INST/01JHU_INST:JHU?sid=EMBASE&amp;sid=EMBASE&amp;issn=14390590&amp;id=doi:10.1007%2Fs00068-001-1089-4&amp;atitle=Anterior+cruciate+ligament+reconstruction+using+patellar+tendon+autograft+and+bioresorbable+interference+screws&amp;stitle=Eur.+J.+Trauma&amp;title=European+Journal+of+Trauma&amp;volume=27&amp;issue=5&amp;spage=241&amp;epage=249&amp;aulast=B%C3%BChren&amp;aufirst=Volker&amp;auinit=V.&amp;aufull=B%C3%BChren+V.&amp;coden=EJTRF&amp;isbn=&amp;pages=241-249&amp;date=2001&amp;auinit1=V&amp;auinitm=</t>
  </si>
  <si>
    <t>Copyright 2007 Elsevier B.V., All rights reserved.</t>
  </si>
  <si>
    <t>Early post-operative morbidity following anterior cruciate ligament reconstruction: patellar tendon versus hamstring graft.</t>
  </si>
  <si>
    <t>Feller J.A., Webster K.E., Gavin B.</t>
  </si>
  <si>
    <t>(Feller J.A.; Webster K.E.; Gavin B.) La Trobe University Musculoskeletal Research Centre, La Trobe University, Bundoora, Victoria 3086, Australia.</t>
  </si>
  <si>
    <t>J.A. Feller, La Trobe University Musculoskeletal Research Centre, La Trobe University, Bundoora, Victoria 3086, Australia. Email: jfeller@lumc.com.au</t>
  </si>
  <si>
    <t>Knee surgery, sports traumatology, arthroscopy : official journal of the ESSKA (2001) 9:5 (260-266). Date of Publication: Sep 2001</t>
  </si>
  <si>
    <t>This study documented postoperative morbidity during the first 4 months following anterior cruciate ligament (ACL) reconstruction using either patellar tendon or hamstring tendon autograft. Sixty-five patients undergoing primary arthroscopically assisted single-incision ACL reconstruction were randomized to have a central third bone patellar tendon bone autograft (PT) or a doubled semitendinosus/doubled gracilis autograft (HS). Postoperatively patients undertook a standard 'accelerated' rehabilitation protocol. Patients were reviewed after 2 weeks, 8 weeks, and 4 months. At each review the location and severity of general knee pain and the presence and severity of anterior knee pain (AKP) were recorded as were the presence and size of an effusion as well as the active and passive flexion and passive extension deficits compared to the contralateral limb. Pain on kneeling, KT-1000 measured side to side difference in anterior tibial displacement, isokinetic assessment of quadriceps and hamstring peak torque deficits, IKDC score and Cincinnati sports activity level were also recorded after 4 months. After 2 weeks more patients in the PT group complained of AKP and reported that the pain was more severe. After 8 weeks there was no significant difference between the groups for any variable. After 4 months the severity of general pain experienced and the incidence of pain on kneeling were greater in the PT group. The PT group also demonstrated a significantly greater quadriceps peak torque deficit at 240 degrees /s. IKDC scores were higher in the HS group, but Cincinnati sports activity scores were higher in the PT group. Although we observed a lower morbidity in the HS group, primarily related to pain, the severity of pain in both groups was relatively low and, in light of the higher mean sports activity level observed in the PT group at 4 months the clinical impact of the difference may not be significant.</t>
  </si>
  <si>
    <t>L33540224</t>
  </si>
  <si>
    <t>https://www.embase.com/search/results?subaction=viewrecord&amp;id=L33540224&amp;from=export</t>
  </si>
  <si>
    <t>https://catalyst.library.jhu.edu/openurl/01JHU_INST/01JHU_INST:JHU?sid=EMBASE&amp;sid=EMBASE&amp;issn=09422056&amp;id=doi:&amp;atitle=Early+post-operative+morbidity+following+anterior+cruciate+ligament+reconstruction%3A+patellar+tendon+versus+hamstring+graft.&amp;stitle=Knee+Surg+Sports+Traumatol+Arthrosc&amp;title=Knee+surgery%2C+sports+traumatology%2C+arthroscopy+%3A+official+journal+of+the+ESSKA&amp;volume=9&amp;issue=5&amp;spage=260&amp;epage=266&amp;aulast=Feller&amp;aufirst=J.A.&amp;auinit=J.A.&amp;aufull=Feller+J.A.&amp;coden=&amp;isbn=&amp;pages=260-266&amp;date=2001&amp;auinit1=J&amp;auinitm=A</t>
  </si>
  <si>
    <t>Mariani P.P., Camillieri G., Margheritini F.</t>
  </si>
  <si>
    <t>(Mariani P.P., ppm.las@iol.it; Camillieri G.; Margheritini F.) Rome University of Motor Sciences, Piazza Lauro de Bosis 15, I-00194 Rome, Italy.</t>
  </si>
  <si>
    <t>P.P. Mariani, Rome University of Motor Sciences, Piazza Lauro de Bosis 15, I-00194 Rome, Italy. Email: ppm.las@iol.it</t>
  </si>
  <si>
    <t>Arthroscopy (2001) 17:7 (717-723). Date of Publication: September 2001</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</si>
  <si>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 -patellar tendon - bone and interference screw fixation. In group B, 31 patients underwent arthroscopic ACL reconstruction with bone - patellar tendon - 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 .05). The injured versus normal side-to-side KT-2000 difference at maximum manual loading was 3.68 mm (SD, 1.71) in group A and 1.64 (SD, 2.05) in group B (P &lt; .0001).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</si>
  <si>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L36114454</t>
  </si>
  <si>
    <t>http://dx.doi.org/10.1053/jars.2001.25277</t>
  </si>
  <si>
    <t>https://www.embase.com/search/results?subaction=viewrecord&amp;id=L36114454&amp;from=export</t>
  </si>
  <si>
    <t>https://catalyst.library.jhu.edu/openurl/01JHU_INST/01JHU_INST:JHU?sid=EMBASE&amp;sid=EMBASE&amp;issn=07498063&amp;id=doi:10.1053%2Fjars.2001.25277&amp;atitle=Transcondylar+screw+fixation+in+anterior+cruciate+ligament+reconstruction&amp;stitle=Arthroscopy&amp;title=Arthroscopy&amp;volume=17&amp;issue=7&amp;spage=717&amp;epage=723&amp;aulast=Mariani&amp;aufirst=Pier+Paolo&amp;auinit=P.P.&amp;aufull=Mariani+P.P.&amp;coden=ARTHE&amp;isbn=&amp;pages=717-723&amp;date=2001&amp;auinit1=P&amp;auinitm=P</t>
  </si>
  <si>
    <t>Anderson A.F., Snyder R.B., Lipscomb Jr. A.B.</t>
  </si>
  <si>
    <t>(Anderson A.F.; Snyder R.B.; Lipscomb Jr. A.B.) Lipscomb Clinic Sports Medicine Center, St. Thomas Hospital, Nashville, TN, United States. , (Anderson A.F.) Tennessee Orthopaedic Alliance, Lipscomb Clinic, 4230 Harding Road, Nashville, TN 37205, United States.</t>
  </si>
  <si>
    <t>A.F. Anderson, Tennessee Orthopaedic Alliance, Lipscomb Clinic, 4230 Harding Road, No. 1000, Nashville, TN 37205, United States.</t>
  </si>
  <si>
    <t>American Journal of Sports Medicine (2001) 29:3 (272-279). Date of Publication: 2001</t>
  </si>
  <si>
    <t>A prospective randomized study was performed to 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Â±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Â± 2.0 mm in group 1, which was statistically significantly better than the difference in group 3 (3.1 Â±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</si>
  <si>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L32492320</t>
  </si>
  <si>
    <t>http://dx.doi.org/10.1177/03635465010290030201</t>
  </si>
  <si>
    <t>https://www.embase.com/search/results?subaction=viewrecord&amp;id=L32492320&amp;from=export</t>
  </si>
  <si>
    <t>https://catalyst.library.jhu.edu/openurl/01JHU_INST/01JHU_INST:JHU?sid=EMBASE&amp;sid=EMBASE&amp;issn=03635465&amp;id=doi:10.1177%2F03635465010290030201&amp;atitle=Anterior+cruciate+ligament+reconstruction.+A+prospective+randomized+study+of+three+surgical+methods&amp;stitle=Am.+J.+Sports+Med.&amp;title=American+Journal+of+Sports+Medicine&amp;volume=29&amp;issue=3&amp;spage=272&amp;epage=279&amp;aulast=Anderson&amp;aufirst=Allen+F.&amp;auinit=A.F.&amp;aufull=Anderson+A.F.&amp;coden=AJSMD&amp;isbn=&amp;pages=272-279&amp;date=2001&amp;auinit1=A&amp;auinitm=F</t>
  </si>
  <si>
    <t>There are differences in early morbidity after ACL reconstruction when comparing patellar tendon and semitendinosus tendon graft. A prospective randomized study of 107 patients.</t>
  </si>
  <si>
    <t>Eriksson K., Anderberg P., Hamberg P., Olerud P., Wredmark T.</t>
  </si>
  <si>
    <t>(Eriksson K.; Anderberg P.; Hamberg P.; Olerud P.; Wredmark T.) Department of Orthopedic Surgery, Stockholm SÃ¶der Hospital, Karolinska Institutet, Sweden.</t>
  </si>
  <si>
    <t>K. Eriksson, Department of Orthopedic Surgery, Stockholm SÃ¶der Hospital, Karolinska Institutet, Sweden.</t>
  </si>
  <si>
    <t>Scandinavian journal of medicine &amp; science in sports (2001) 11:3 (170-177). Date of Publication: Jun 2001</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</si>
  <si>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 +/- 3.5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 &lt; 0.05. Lachman test grade 1+ was more common in the ST group, P &lt; 0.05, but there was no significant difference in instrumented Lachman side-to-side comparison. The ST group scored better in the one-leg hop test than the BTB group, P &lt; 0.05. No correlations between these clinical and functional findings and subjective knee function scores were found. In conclusion, ACL reconstruction with ST tendon graft presented fewer short-term postoperative problems as compared to reconstruction with BTB.</t>
  </si>
  <si>
    <t>L33478172</t>
  </si>
  <si>
    <t>https://www.embase.com/search/results?subaction=viewrecord&amp;id=L33478172&amp;from=export</t>
  </si>
  <si>
    <t>https://catalyst.library.jhu.edu/openurl/01JHU_INST/01JHU_INST:JHU?sid=EMBASE&amp;sid=EMBASE&amp;issn=09057188&amp;id=doi:&amp;atitle=There+are+differences+in+early+morbidity+after+ACL+reconstruction+when+comparing+patellar+tendon+and+semitendinosus+tendon+graft.+A+prospective+randomized+study+of+107+patients.&amp;stitle=Scand+J+Med+Sci+Sports&amp;title=Scandinavian+journal+of+medicine+%26+science+in+sports&amp;volume=11&amp;issue=3&amp;spage=170&amp;epage=177&amp;aulast=Eriksson&amp;aufirst=K.&amp;auinit=K.&amp;aufull=Eriksson+K.&amp;coden=&amp;isbn=&amp;pages=170-177&amp;date=2001&amp;auinit1=K&amp;auinitm=</t>
  </si>
  <si>
    <t>Eriksson K., Anderberg P., Hamberg P., LÃ¶fgren A.C., Bredenberg M., Westman I., Wredmark T.</t>
  </si>
  <si>
    <t>(Eriksson K.; Anderberg P.; Hamberg P.; LÃ¶fgren A.C.; Bredenberg M.; Westman I.; Wredmark T.) Department of Physical Therapy, Stockholm SÃ¶der Hospital, Karolinska Institutet, 118 83 Stockholm, Sweden.</t>
  </si>
  <si>
    <t>K. Eriksson, Department of Physical Therapy, Stockholm SÃ¶der Hospital, Karolinska Institutet, 118 83 Stockholm, Sweden.</t>
  </si>
  <si>
    <t>Journal of Bone and Joint Surgery - Series B (2001) 83:3 (348-354). Date of Publication: 2001</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</si>
  <si>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(p&lt;0.05). Patients with associated meniscal injuries had lower IKDC, visual analogue (p&lt;0.01) and Lysholm scores (p&lt;0.05) than those without such injuries. Patients in whom reconstruction had been carried out less than five months after the injury had better final IKDC scores than the more chronic cases (p&lt;0.05). We conclude that patellar tendon and quadruple semitendinous tendon grafts have similar outcomes in the medium term. Associated meniscal pathology significantly affects the final outcome and early reconstruction seems to be beneficial.</t>
  </si>
  <si>
    <t>L32390346</t>
  </si>
  <si>
    <t>10.1302/0301-620X.83B3.11685</t>
  </si>
  <si>
    <t>http://dx.doi.org/10.1302/0301-620X.83B3.11685</t>
  </si>
  <si>
    <t>https://www.embase.com/search/results?subaction=viewrecord&amp;id=L32390346&amp;from=export</t>
  </si>
  <si>
    <t>https://catalyst.library.jhu.edu/openurl/01JHU_INST/01JHU_INST:JHU?sid=EMBASE&amp;sid=EMBASE&amp;issn=0301620X&amp;id=doi:10.1302%2F0301-620X.83B3.11685&amp;atitle=A+comparison+of+quadruple+semitendinosus+and+patellar+tendon+grafts+in+reconstruction+of+the+anterior+cruciate+ligament&amp;stitle=J.+Bone+Jt.+Surg.+Ser.+B&amp;title=Journal+of+Bone+and+Joint+Surgery+-+Series+B&amp;volume=83&amp;issue=3&amp;spage=348&amp;epage=354&amp;aulast=Eriksson&amp;aufirst=K.&amp;auinit=K.&amp;aufull=Eriksson+K.&amp;coden=JBSUA&amp;isbn=&amp;pages=348-354&amp;date=2001&amp;auinit1=K&amp;auinitm=</t>
  </si>
  <si>
    <t>Is a knee brace advantageous after anterior cruciate ligament surgery? A prospective, randomised study with a two-year follow-up.</t>
  </si>
  <si>
    <t>Brandsson S., FaxÃ©n E., Kartus J., Eriksson B.I., Karlsson J.</t>
  </si>
  <si>
    <t>(Brandsson S.; FaxÃ©n E.; Kartus J.; Eriksson B.I.; Karlsson J.) Department of Orthopaedics, Sahlgrenska University Hospital/Ostra, GÃ¶teborg, Sweden.</t>
  </si>
  <si>
    <t>S. Brandsson, Department of Orthopaedics, Sahlgrenska University Hospital/Ostra, GÃ¶teborg, Sweden.</t>
  </si>
  <si>
    <t>Scandinavian journal of medicine &amp; science in sports (2001) 11:2 (110-114). Date of Publication: Apr 2001</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</si>
  <si>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</si>
  <si>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L33452408</t>
  </si>
  <si>
    <t>https://www.embase.com/search/results?subaction=viewrecord&amp;id=L33452408&amp;from=export</t>
  </si>
  <si>
    <t>https://catalyst.library.jhu.edu/openurl/01JHU_INST/01JHU_INST:JHU?sid=EMBASE&amp;sid=EMBASE&amp;issn=09057188&amp;id=doi:&amp;atitle=Is+a+knee+brace+advantageous+after+anterior+cruciate+ligament+surgery%3F+A+prospective%2C+randomised+study+with+a+two-year+follow-up.&amp;stitle=Scand+J+Med+Sci+Sports&amp;title=Scandinavian+journal+of+medicine+%26+science+in+sports&amp;volume=11&amp;issue=2&amp;spage=110&amp;epage=114&amp;aulast=Brandsson&amp;aufirst=S.&amp;auinit=S.&amp;aufull=Brandsson+S.&amp;coden=&amp;isbn=&amp;pages=110-114&amp;date=2001&amp;auinit1=S&amp;auinitm=</t>
  </si>
  <si>
    <t>Preconditioning patellar tendon autografts in arthroscopic anterior cruciate ligament reconstruction: a prospective randomized study.</t>
  </si>
  <si>
    <t>Ejerhed L., Kartus J., KÃ¶hler K., Sernert N., Brandsson S., Karlsson J.</t>
  </si>
  <si>
    <t>(Ejerhed L.; Kartus J.; KÃ¶hler K.; Sernert N.; Brandsson S.; Karlsson J.) Department of Orthopedics, Norra Alvsborg/Uddevalla Hospital, Sweden.</t>
  </si>
  <si>
    <t>L. Ejerhed, Department of Orthopedics, Norra Alvsborg/Uddevalla Hospital, Sweden. Email: lars.ejerhed@vgregion.se</t>
  </si>
  <si>
    <t>Knee surgery, sports traumatology, arthroscopy : official journal of the ESSKA (2001) 9:1 (6-11). Date of Publication: 2001</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</si>
  <si>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</si>
  <si>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L33458262</t>
  </si>
  <si>
    <t>https://www.embase.com/search/results?subaction=viewrecord&amp;id=L33458262&amp;from=export</t>
  </si>
  <si>
    <t>https://catalyst.library.jhu.edu/openurl/01JHU_INST/01JHU_INST:JHU?sid=EMBASE&amp;sid=EMBASE&amp;issn=09422056&amp;id=doi:&amp;atitle=Preconditioning+patellar+tendon+autografts+in+arthroscopic+anterior+cruciate+ligament+reconstruction%3A+a+prospective+randomized+study.&amp;stitle=Knee+Surg+Sports+Traumatol+Arthrosc&amp;title=Knee+surgery%2C+sports+traumatology%2C+arthroscopy+%3A+official+journal+of+the+ESSKA&amp;volume=9&amp;issue=1&amp;spage=6&amp;epage=11&amp;aulast=Ejerhed&amp;aufirst=L.&amp;auinit=L.&amp;aufull=Ejerhed+L.&amp;coden=&amp;isbn=&amp;pages=6-11&amp;date=2001&amp;auinit1=L&amp;auinitm=</t>
  </si>
  <si>
    <t>Metall- versus bioabsorbable polyglyconate interference screw for graft fixation in ACL reconstruction: A prospective randomized study of 40 patients</t>
  </si>
  <si>
    <t>Transplantatfixation bei der vorderen kreuzbandrekonstruktion. Metall- vs. bioresorbierbare polyglykonatinterferenzschraube - Eine prospektive randomisierte studie von 40 patienten</t>
  </si>
  <si>
    <t>Hackl W., Fink C., Benedetto K.-P., Hoser C.</t>
  </si>
  <si>
    <t>(Hackl W.; Fink C.; Benedetto K.-P.; Hoser C.) Univ. Klin. Unfallchirurgie I., Innsbruck, Austria. , (Hackl W.) Univ. Klin. Unfallchirurgie I., AnichstraÃŸe 35, 6020 Innsbruck, Austria.</t>
  </si>
  <si>
    <t>W. Hackl, Universitatskli. fur Unfallchirurgie, Anichstrasse 35, 6020 Innsbruck, Austria.</t>
  </si>
  <si>
    <t>Unfallchirurg (2000) 103:6 (468-478). Date of Publication: June 2000</t>
  </si>
  <si>
    <t>0177-5537</t>
  </si>
  <si>
    <t>To overcome some of the potential problems (e.g. hardware removal during revision surgery) of metall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metall screw) or Group B (both bone blocks fixed with metall interference screws). The patients were evaluated clinically preoperatively as well as 6 weeks, 3 months 12 months and 24 months post op. Lysholm Score at 24 months was 98.1Â±2.3 for Group A and 97.7Â±3.0 for Group B. Tegner Score was 7.4Â±1.1 for Group A and 7.5Â±0.8 for Group B. Two years post op overall IKDC-Score for group A was 5.6% normal, 88.8% nearly normal and 5.6% abnormal. The result for group B was 11.1%, 77.8% and 11.1%, respectively, KT-1000 (at 89 N) at two years revealed a side to side difference of 1.5Â±0.3 mm (Group A) and 1.6Â±0.7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metall screws.</t>
  </si>
  <si>
    <t>maxon (75734-93-9)</t>
  </si>
  <si>
    <t>German</t>
  </si>
  <si>
    <t>English, German</t>
  </si>
  <si>
    <t>L30423085</t>
  </si>
  <si>
    <t>http://dx.doi.org/10.1007/s001130050567</t>
  </si>
  <si>
    <t>https://www.embase.com/search/results?subaction=viewrecord&amp;id=L30423085&amp;from=export</t>
  </si>
  <si>
    <t>https://catalyst.library.jhu.edu/openurl/01JHU_INST/01JHU_INST:JHU?sid=EMBASE&amp;sid=EMBASE&amp;issn=01775537&amp;id=doi:10.1007%2Fs001130050567&amp;atitle=Metall-+versus+bioabsorbable+polyglyconate+interference+screw+for+graft+fixation+in+ACL+reconstruction%3A+A+prospective+randomized+study+of+40+patients&amp;stitle=Unfallchirurg&amp;title=Unfallchirurg&amp;volume=103&amp;issue=6&amp;spage=468&amp;epage=478&amp;aulast=Hackl&amp;aufirst=W.&amp;auinit=W.&amp;aufull=Hackl+W.&amp;coden=UNFAE&amp;isbn=&amp;pages=468-478&amp;date=2000&amp;auinit1=W&amp;auinitm=</t>
  </si>
  <si>
    <t>Bone tunnel enlargement after anterior cruciate ligament reconstruction with the hamstring autograft and endobutton fixation technique. A clinical, radiographic and magnetic resonance imaging study with 2 years follow-up.</t>
  </si>
  <si>
    <t>Jansson K.A., Harilainen A., Sandelin J., Karjalainen P.T., Aronen H.J., Tallroth K.</t>
  </si>
  <si>
    <t>(Jansson K.A.; Harilainen A.; Sandelin J.; Karjalainen P.T.; Aronen H.J.; Tallroth K.) Orton Hospital, Invalid Foundation, Helsinki, Finland.</t>
  </si>
  <si>
    <t>K.A. Jansson, Orton Hospital, Invalid Foundation, Helsinki, Finland.</t>
  </si>
  <si>
    <t>Knee surgery, sports traumatology, arthroscopy : official journal of the ESSKA (1999) 7:5 (290-295). Date of Publication: 1999</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</si>
  <si>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</si>
  <si>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L129474280</t>
  </si>
  <si>
    <t>https://www.embase.com/search/results?subaction=viewrecord&amp;id=L129474280&amp;from=export</t>
  </si>
  <si>
    <t>https://catalyst.library.jhu.edu/openurl/01JHU_INST/01JHU_INST:JHU?sid=EMBASE&amp;sid=EMBASE&amp;issn=09422056&amp;id=doi:&amp;atitle=Bone+tunnel+enlargement+after+anterior+cruciate+ligament+reconstruction+with+the+hamstring+autograft+and+endobutton+fixation+technique.+A+clinical%2C+radiographic+and+magnetic+resonance+imaging+study+with+2+years+follow-up.&amp;stitle=Knee+Surg+Sports+Traumatol+Arthrosc&amp;title=Knee+surgery%2C+sports+traumatology%2C+arthroscopy+%3A+official+journal+of+the+ESSKA&amp;volume=7&amp;issue=5&amp;spage=290&amp;epage=295&amp;aulast=Jansson&amp;aufirst=K.A.&amp;auinit=K.A.&amp;aufull=Jansson+K.A.&amp;coden=&amp;isbn=&amp;pages=290-295&amp;date=1999&amp;auinit1=K&amp;auinitm=A</t>
  </si>
  <si>
    <t>McGuire D.A., Barber F.A., Elrod B.F., Paulos L.E.</t>
  </si>
  <si>
    <t>(McGuire D.A.; Barber F.A.; Elrod B.F.; Paulos L.E.) 4048 Laurel St, Anchorage, AK 99508, United States.</t>
  </si>
  <si>
    <t>D.A. McGuire, 4048 Laurel St, Anchorage, AK 99508, United States.</t>
  </si>
  <si>
    <t>Arthroscopy (1999) 15:5 (463-473). Date of Publication: 1999</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</si>
  <si>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t>
  </si>
  <si>
    <t>L29319191</t>
  </si>
  <si>
    <t>http://dx.doi.org/10.1053/ar.1999.v15.015046001</t>
  </si>
  <si>
    <t>https://www.embase.com/search/results?subaction=viewrecord&amp;id=L29319191&amp;from=export</t>
  </si>
  <si>
    <t>https://catalyst.library.jhu.edu/openurl/01JHU_INST/01JHU_INST:JHU?sid=EMBASE&amp;sid=EMBASE&amp;issn=07498063&amp;id=doi:10.1053%2Far.1999.v15.015046001&amp;atitle=Bioabsorbable+interference+screws+for+graft+fixation+in+anterior+cruciate+ligament+reconstruction&amp;stitle=Arthroscopy&amp;title=Arthroscopy&amp;volume=15&amp;issue=5&amp;spage=463&amp;epage=473&amp;aulast=McGuire&amp;aufirst=D.A.&amp;auinit=D.A.&amp;aufull=McGuire+D.A.&amp;coden=ARTHE&amp;isbn=&amp;pages=463-473&amp;date=1999&amp;auinit1=D&amp;auinitm=A</t>
  </si>
  <si>
    <t>The effect of different graft tensioning in anterior cruciate ligament reconstruction: A prospective randomized study</t>
  </si>
  <si>
    <t>Van Kampen A., Wymenga A.B., Van der Heide H.J.L., Bakens H.J.A.M.</t>
  </si>
  <si>
    <t>(Van Kampen A.; Wymenga A.B.; Van der Heide H.J.L.; Bakens H.J.A.M.) University Hospital Nijmegen, P.O. Box 9101, 6500 HB Nijmegen, Netherlands.</t>
  </si>
  <si>
    <t>A. Van Kampen, University Hospital Nijmegen, P.O. Box 9101, 6500 HB Nijmegen, Netherlands.</t>
  </si>
  <si>
    <t>Arthroscopy (1998) 14:8 (845-850). Date of Publication: 1998</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</si>
  <si>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</si>
  <si>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L28531673</t>
  </si>
  <si>
    <t>10.1016/S0749-8063(98)70022-2</t>
  </si>
  <si>
    <t>http://dx.doi.org/10.1016/S0749-8063(98)70022-2</t>
  </si>
  <si>
    <t>https://www.embase.com/search/results?subaction=viewrecord&amp;id=L28531673&amp;from=export</t>
  </si>
  <si>
    <t>https://catalyst.library.jhu.edu/openurl/01JHU_INST/01JHU_INST:JHU?sid=EMBASE&amp;sid=EMBASE&amp;issn=07498063&amp;id=doi:10.1016%2FS0749-8063%2898%2970022-2&amp;atitle=The+effect+of+different+graft+tensioning+in+anterior+cruciate+ligament+reconstruction%3A+A+prospective+randomized+study&amp;stitle=Arthroscopy&amp;title=Arthroscopy&amp;volume=14&amp;issue=8&amp;spage=845&amp;epage=850&amp;aulast=Van+Kampen&amp;aufirst=A.&amp;auinit=A.&amp;aufull=Van+Kampen+A.&amp;coden=ARTHE&amp;isbn=&amp;pages=845-850&amp;date=1998&amp;auinit1=A&amp;auinitm=</t>
  </si>
  <si>
    <t>Closing patellar tendon defects after anterior cruciate ligament reconstruction: absence of any benefit.</t>
  </si>
  <si>
    <t>Brandsson S., FaxÃ©n E., Eriksson B.I., KÃ¤lebo P., SwÃ¤rd L., Lundin O., Karlsson J.</t>
  </si>
  <si>
    <t>(Brandsson S.; FaxÃ©n E.; Eriksson B.I.; KÃ¤lebo P.; SwÃ¤rd L.; Lundin O.; Karlsson J.) Department of Orthopaedics, Ostra University Hospital, GÃ¶teborg, Sweden.</t>
  </si>
  <si>
    <t>S. Brandsson, Department of Orthopaedics, Ostra University Hospital, GÃ¶teborg, Sweden.</t>
  </si>
  <si>
    <t>Knee surgery, sports traumatology, arthroscopy : official journal of the ESSKA (1998) 6:2 (82-87). Date of Publication: 1998</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</si>
  <si>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</si>
  <si>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L128262800</t>
  </si>
  <si>
    <t>https://www.embase.com/search/results?subaction=viewrecord&amp;id=L128262800&amp;from=export</t>
  </si>
  <si>
    <t>https://catalyst.library.jhu.edu/openurl/01JHU_INST/01JHU_INST:JHU?sid=EMBASE&amp;sid=EMBASE&amp;issn=09422056&amp;id=doi:&amp;atitle=Closing+patellar+tendon+defects+after+anterior+cruciate+ligament+reconstruction%3A+absence+of+any+benefit.&amp;stitle=Knee+Surg+Sports+Traumatol+Arthrosc&amp;title=Knee+surgery%2C+sports+traumatology%2C+arthroscopy+%3A+official+journal+of+the+ESSKA&amp;volume=6&amp;issue=2&amp;spage=82&amp;epage=87&amp;aulast=Brandsson&amp;aufirst=S.&amp;auinit=S.&amp;aufull=Brandsson+S.&amp;coden=&amp;isbn=&amp;pages=82-87&amp;date=1998&amp;auinit1=S&amp;auinitm=</t>
  </si>
  <si>
    <t>One- versus two-incision technique for anterior cruciate ligament reconstruction with patellar tendon graft. Results on early rehabilitation and stability.</t>
  </si>
  <si>
    <t>Gerich T.G., Lattermann C., Fremerey R.W., Zeichen J., Lobenhoffer H.P.</t>
  </si>
  <si>
    <t>(Gerich T.G.; Lattermann C.; Fremerey R.W.; Zeichen J.; Lobenhoffer H.P.) Trauma Department, Hannover Medical School, Germany.</t>
  </si>
  <si>
    <t>T.G. Gerich, Trauma Department, Hannover Medical School, Germany.</t>
  </si>
  <si>
    <t>Knee surgery, sports traumatology, arthroscopy : official journal of the ESSKA (1997) 5:4 (213-216). Date of Publication: 1997</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</si>
  <si>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</si>
  <si>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L128212690</t>
  </si>
  <si>
    <t>https://www.embase.com/search/results?subaction=viewrecord&amp;id=L128212690&amp;from=export</t>
  </si>
  <si>
    <t>https://catalyst.library.jhu.edu/openurl/01JHU_INST/01JHU_INST:JHU?sid=EMBASE&amp;sid=EMBASE&amp;issn=09422056&amp;id=doi:&amp;atitle=One-+versus+two-incision+technique+for+anterior+cruciate+ligament+reconstruction+with+patellar+tendon+graft.+Results+on+early+rehabilitation+and+stability.&amp;stitle=Knee+Surg+Sports+Traumatol+Arthrosc&amp;title=Knee+surgery%2C+sports+traumatology%2C+arthroscopy+%3A+official+journal+of+the+ESSKA&amp;volume=5&amp;issue=4&amp;spage=213&amp;epage=216&amp;aulast=Gerich&amp;aufirst=T.G.&amp;auinit=T.G.&amp;aufull=Gerich+T.G.&amp;coden=&amp;isbn=&amp;pages=213-216&amp;date=1997&amp;auinit1=T&amp;auinitm=G</t>
  </si>
  <si>
    <t>Use of an extension-assisting brace following anterior cruciate ligament reconstruction.</t>
  </si>
  <si>
    <t>Feller J., Bartlett J., Chapman S., Delahunt M.</t>
  </si>
  <si>
    <t>(Feller J.; Bartlett J.; Chapman S.; Delahunt M.) Orthopaedic Department, Austin Hospital, Melbourne, Australia.</t>
  </si>
  <si>
    <t>J. Feller, Orthopaedic Department, Austin Hospital, Melbourne, Australia.</t>
  </si>
  <si>
    <t>Knee surgery, sports traumatology, arthroscopy : official journal of the ESSKA (1997) 5:1 (6-9). Date of Publication: 1997</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</si>
  <si>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</si>
  <si>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L127257411</t>
  </si>
  <si>
    <t>https://www.embase.com/search/results?subaction=viewrecord&amp;id=L127257411&amp;from=export</t>
  </si>
  <si>
    <t>https://catalyst.library.jhu.edu/openurl/01JHU_INST/01JHU_INST:JHU?sid=EMBASE&amp;sid=EMBASE&amp;issn=09422056&amp;id=doi:&amp;atitle=Use+of+an+extension-assisting+brace+following+anterior+cruciate+ligament+reconstruction.&amp;stitle=Knee+Surg+Sports+Traumatol+Arthrosc&amp;title=Knee+surgery%2C+sports+traumatology%2C+arthroscopy+%3A+official+journal+of+the+ESSKA&amp;volume=5&amp;issue=1&amp;spage=6&amp;epage=9&amp;aulast=Feller&amp;aufirst=J.&amp;auinit=J.&amp;aufull=Feller+J.&amp;coden=&amp;isbn=&amp;pages=6-9&amp;date=1997&amp;auinit1=J&amp;auinitm=</t>
  </si>
  <si>
    <t>Anterior cruciate ligament reconstruction with the patellar tendon--augmentation or not? A 2-year follow-up of 82 patients.</t>
  </si>
  <si>
    <t>Thuresson P., Sandberg R., Johansson O., Balkfors B., Westlin N.</t>
  </si>
  <si>
    <t>(Thuresson P.; Sandberg R.; Johansson O.; Balkfors B.; Westlin N.) Department of Orthopaedics, Malmoe University Hospital, Sweden.</t>
  </si>
  <si>
    <t>P. Thuresson, Department of Orthopaedics, Malmoe University Hospital, Sweden.</t>
  </si>
  <si>
    <t>Scandinavian journal of medicine &amp; science in sports (1996) 6:4 (247-254). Date of Publication: Aug 1996</t>
  </si>
  <si>
    <t>The aim of this bi-centre study was to assess the possible effects of the addition of the Kennedy ligament augmentation device (LAD) in the reconstruction of the anterior cruciate ligament (ACL). The method of reconstruction used was a modification of the BrÃ¼ckner and BrostrÃ¶m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t>
  </si>
  <si>
    <t>L127191273</t>
  </si>
  <si>
    <t>https://www.embase.com/search/results?subaction=viewrecord&amp;id=L127191273&amp;from=export</t>
  </si>
  <si>
    <t>https://catalyst.library.jhu.edu/openurl/01JHU_INST/01JHU_INST:JHU?sid=EMBASE&amp;sid=EMBASE&amp;issn=09057188&amp;id=doi:&amp;atitle=Anterior+cruciate+ligament+reconstruction+with+the+patellar+tendon--augmentation+or+not%3F+A+2-year+follow-up+of+82+patients.&amp;stitle=Scand+J+Med+Sci+Sports&amp;title=Scandinavian+journal+of+medicine+%26+science+in+sports&amp;volume=6&amp;issue=4&amp;spage=247&amp;epage=254&amp;aulast=Thuresson&amp;aufirst=P.&amp;auinit=P.&amp;aufull=Thuresson+P.&amp;coden=&amp;isbn=&amp;pages=247-254&amp;date=1996&amp;auinit1=P&amp;auinitm=</t>
  </si>
  <si>
    <t>Comparison between two techniques for surgical repair of the acutely torn anterior cruciate ligament. A prospective, randomized follow-up study of 48 patients.</t>
  </si>
  <si>
    <t>GrÃ¸ntvedt T., Engebretsen L.</t>
  </si>
  <si>
    <t>(GrÃ¸ntvedt T.; Engebretsen L.) Department of Orthopaedics, Trondheim University Hospital, Norway.</t>
  </si>
  <si>
    <t>T. GrÃ¸ntvedt, Department of Orthopaedics, Trondheim University Hospital, Norway.</t>
  </si>
  <si>
    <t>Scandinavian journal of medicine &amp; science in sports (1995) 5:6 (358-363). Date of Publication: Dec 1995</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</si>
  <si>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t>
  </si>
  <si>
    <t>L126274565</t>
  </si>
  <si>
    <t>https://www.embase.com/search/results?subaction=viewrecord&amp;id=L126274565&amp;from=export</t>
  </si>
  <si>
    <t>https://catalyst.library.jhu.edu/openurl/01JHU_INST/01JHU_INST:JHU?sid=EMBASE&amp;sid=EMBASE&amp;issn=09057188&amp;id=doi:&amp;atitle=Comparison+between+two+techniques+for+surgical+repair+of+the+acutely+torn+anterior+cruciate+ligament.+A+prospective%2C+randomized+follow-up+study+of+48+patients.&amp;stitle=Scand+J+Med+Sci+Sports&amp;title=Scandinavian+journal+of+medicine+%26+science+in+sports&amp;volume=5&amp;issue=6&amp;spage=358&amp;epage=363&amp;aulast=Gr%C3%B8ntvedt&amp;aufirst=T.&amp;auinit=T.&amp;aufull=Gr%C3%B8ntvedt+T.&amp;coden=&amp;isbn=&amp;pages=358-363&amp;date=1995&amp;auinit1=T&amp;auinitm=</t>
  </si>
  <si>
    <t>Effect on knee stability if full hyperextension is restored immediately after autogenous bone-patellar tendon-bone anterior cruciate ligament reconstruction</t>
  </si>
  <si>
    <t>Rubinstein Jr. R.A., Shelbourne K.D., VanMeter C.D., McCarroll J.R., Rettig A.C., Gloyeske R.L.</t>
  </si>
  <si>
    <t>(Rubinstein Jr. R.A.; Shelbourne K.D.; VanMeter C.D.; McCarroll J.R.; Rettig A.C.; Gloyeske R.L.) 1815 N. Capitol Avenue, Indianapolis, IN 46202, United States.</t>
  </si>
  <si>
    <t>K.D. Shelbourne, 1815 N. Capitol Avenue, Indianapolis, IN 46202, United States.</t>
  </si>
  <si>
    <t>American Journal of Sports Medicine (1995) 23:3 (365-368). Date of Publication: 1995</t>
  </si>
  <si>
    <t>We sought to determine if knee stability after autogenous bone-patellar tendon-bone anterior cruciate ligament reconstruction was adversely affected by obtaining immediate full hyperextension. We selected patients based on degree of knee hyperextension. Group 1 (46 men and 51 women), with an average of 10Â° (range, 8Â° to 15Â°) hyperextension, was compared with the randomly selected control Group 2 (70 men and 27 women), which had an average of 2Â° (range, 0Â° to 5Â°) hyperextension. The operative knee in both groups, which underwent similar reconstruction of the injured knee, achieved full passive extension equal to the noninvolved knee during the immediate postoperative course. The average KT-1000 arthrometer manual maximum side-to-side differences were 2.4 mm for Group 1 and 2.1 mm for Group 2 (P = 0.13). Seventy-nine patients in Group 1 had KT-1000 arthrometer differences of â‰¤3 mm as compared with 85 patients in Group 2. Fourteen patients in Group 1 had KT-1000 arthrometer differences of 4 or 5 mm as compared with eight patients in Group 2. Four patients in each group had KT-1000 arthrometer differences &gt;5 mm. Evidence suggests that restoring and maintaining immediate full knee hyperextension after this type of reconstruction does not adversely affect the ultimate stability of the knee.</t>
  </si>
  <si>
    <t>L25159707</t>
  </si>
  <si>
    <t>https://www.embase.com/search/results?subaction=viewrecord&amp;id=L25159707&amp;from=export</t>
  </si>
  <si>
    <t>https://catalyst.library.jhu.edu/openurl/01JHU_INST/01JHU_INST:JHU?sid=EMBASE&amp;sid=EMBASE&amp;issn=03635465&amp;id=doi:&amp;atitle=Effect+on+knee+stability+if+full+hyperextension+is+restored+immediately+after+autogenous+bone-patellar+tendon-bone+anterior+cruciate+ligament+reconstruction&amp;stitle=AM.+J.+SPORTS+MED.&amp;title=American+Journal+of+Sports+Medicine&amp;volume=23&amp;issue=3&amp;spage=365&amp;epage=368&amp;aulast=Rubinstein+Jr.&amp;aufirst=R.A.&amp;auinit=R.A.&amp;aufull=Rubinstein+Jr.+R.A.&amp;coden=AJSMD&amp;isbn=&amp;pages=365-368&amp;date=1995&amp;auinit1=R&amp;auinitm=A</t>
  </si>
  <si>
    <t>Cameron S.E., Wilson W., St.Pierre P.</t>
  </si>
  <si>
    <t>(Cameron S.E.; Wilson W.; St.Pierre P.) Marshfield Clinic, 1000 N Oak Ave, Marshfield, WI 54449, United States.</t>
  </si>
  <si>
    <t>S.E. Cameron, Marshfield Clinic, 1000 N Oak Ave, Marshfield, WI 54449, United States.</t>
  </si>
  <si>
    <t>Orthopedics (1995) 18:3 (249-252). Date of Publication: 1995</t>
  </si>
  <si>
    <t>0147-7447</t>
  </si>
  <si>
    <t>Slack Incorporated, 6900 Grove Road, Thorofare, United States.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</si>
  <si>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(P&lt;.05) in only three parameters. The 1-month postoperative range of motion, the 6-month postoperative thigh atrophy, and the Cybex II test (knee extension at 60Â°/sec) were statistically different favoring the arthroscopic method.</t>
  </si>
  <si>
    <t>L25093144</t>
  </si>
  <si>
    <t>https://www.embase.com/search/results?subaction=viewrecord&amp;id=L25093144&amp;from=export</t>
  </si>
  <si>
    <t>https://catalyst.library.jhu.edu/openurl/01JHU_INST/01JHU_INST:JHU?sid=EMBASE&amp;sid=EMBASE&amp;issn=01477447&amp;id=doi:&amp;atitle=A+prospective%2C+randomized+comparison+of+open+vs+arthroscopically+assisted+ACL+reconstruction&amp;stitle=ORTHOPEDICS&amp;title=Orthopedics&amp;volume=18&amp;issue=3&amp;spage=249&amp;epage=252&amp;aulast=Cameron&amp;aufirst=S.E.&amp;auinit=S.E.&amp;aufull=Cameron+S.E.&amp;coden=ORTHD&amp;isbn=&amp;pages=249-252&amp;date=1995&amp;auinit1=S&amp;auinitm=E</t>
  </si>
  <si>
    <t>A new postoperative treatment following ACL-reconstruction</t>
  </si>
  <si>
    <t>DAS NEUE 'MARBURGER REHABILITATIONSKONZEPT'. 'UBER DEN STELLENWERT VON UBUNGSGERATEN IM RAHMEN DER REHABILITATION VON PATIENTEN NACH OPERATIONEN AM VORDEREN KREUZBAND'</t>
  </si>
  <si>
    <t>Knaepler H., Schenk C.</t>
  </si>
  <si>
    <t>(Knaepler H.; Schenk C.) Klinik fur Unfallchirurgie, Forsthausstr. 1, 35578 Wetzlar, Germany.</t>
  </si>
  <si>
    <t>H. Knaepler, Klinik fur Unfallchirurgie, Forsthausstr. 1, 35578 Wetzlar, Germany.</t>
  </si>
  <si>
    <t>Aktuelle Traumatologie (1994) 24:1 (17-23). Date of Publication: 1994</t>
  </si>
  <si>
    <t>Aktuelle Traumatologie</t>
  </si>
  <si>
    <t>0044-6173</t>
  </si>
  <si>
    <t>Georg Thieme Verlag, Rudigerstrasse 14, Stuttgart, Germany.</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</si>
  <si>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 useful supplement to the out-patient physiotherapy. All examined data showed a clear increase in 'group A' in comparison to 'group B'.</t>
  </si>
  <si>
    <t>German, English</t>
  </si>
  <si>
    <t>L24092602</t>
  </si>
  <si>
    <t>https://www.embase.com/search/results?subaction=viewrecord&amp;id=L24092602&amp;from=export</t>
  </si>
  <si>
    <t>https://catalyst.library.jhu.edu/openurl/01JHU_INST/01JHU_INST:JHU?sid=EMBASE&amp;sid=EMBASE&amp;issn=00446173&amp;id=doi:&amp;atitle=A+new+postoperative+treatment+following+ACL-reconstruction&amp;stitle=AKTUEL.+TRAUMATOL.&amp;title=Aktuelle+Traumatologie&amp;volume=24&amp;issue=1&amp;spage=17&amp;epage=23&amp;aulast=Knaepler&amp;aufirst=H.&amp;auinit=H.&amp;aufull=Knaepler+H.&amp;coden=AKTRA&amp;isbn=&amp;pages=17-23&amp;date=1994&amp;auinit1=H&amp;auinitm=</t>
  </si>
  <si>
    <t>Effects of continuous passive motion on anterior laxity following ACL reconstruction with autogenous patellar tendon grafts</t>
  </si>
  <si>
    <t>McCarthy M.R., Buxton B.P., Yates C.K.</t>
  </si>
  <si>
    <t>(McCarthy M.R.; Buxton B.P.; Yates C.K.) University of Hawaii at Manoa, 1337 Lower Campus Rd, Honolulu, HI 96822, United States.</t>
  </si>
  <si>
    <t>B.P. Buxton, University of Hawaii at Manoa, 1337 Lower Campus Rd, Honolulu, HI 96822, United States.</t>
  </si>
  <si>
    <t>Journal of Sport Rehabilitation (1993) 2:3 (171-178). Date of Publication: 1993</t>
  </si>
  <si>
    <t>Journal of Sport Rehabilitation</t>
  </si>
  <si>
    <t>1056-6716</t>
  </si>
  <si>
    <t>Continuous passive motion (CPM) is a modality used in the treatment, management, and rehabilitation of a variety of orthopedic problems. Recently, CPM devices have been therapeutically employed immediately after autogenous patellar tendon reconstruction of the anterior cruciate ligament (ACL). Whereas the concept of early motion is indicated, there is a concomitant concern that the implementation of immediate passive motion may stretch or rupture the graft. Twenty subjects scheduled to undergo ACL reconstruction were randomized into two groups (10 CPM and 10 non-CPM). All subjects performed the same postoperative rehabilitation with the exception of the CPM. Objective anterior tibial translation measurements were recorded with a KT-1000 for a 30-1b (133.5-N) Lachman test at 1 year postreconstruction. The results of this study indicated that the implementation of immediate continuous passive motion did not have any deleterious effects on the stability of the ligament reconstruction.</t>
  </si>
  <si>
    <t>L23236041</t>
  </si>
  <si>
    <t>10.1123/jsr.2.3.171</t>
  </si>
  <si>
    <t>http://dx.doi.org/10.1123/jsr.2.3.171</t>
  </si>
  <si>
    <t>https://www.embase.com/search/results?subaction=viewrecord&amp;id=L23236041&amp;from=export</t>
  </si>
  <si>
    <t>https://catalyst.library.jhu.edu/openurl/01JHU_INST/01JHU_INST:JHU?sid=EMBASE&amp;sid=EMBASE&amp;issn=10566716&amp;id=doi:10.1123%2Fjsr.2.3.171&amp;atitle=Effects+of+continuous+passive+motion+on+anterior+laxity+following+ACL+reconstruction+with+autogenous+patellar+tendon+grafts&amp;stitle=J.+SPORT+REHABIL.&amp;title=Journal+of+Sport+Rehabilitation&amp;volume=2&amp;issue=3&amp;spage=171&amp;epage=178&amp;aulast=McCarthy&amp;aufirst=M.R.&amp;auinit=M.R.&amp;aufull=McCarthy+M.R.&amp;coden=JSRHE&amp;isbn=&amp;pages=171-178&amp;date=1993&amp;auinit1=M&amp;auinitm=R</t>
  </si>
  <si>
    <t>Lawless A.M., Ebert J.R., Edwards P.K., Malik S.S., Davies P.S.E., D'Alessandro P.A.</t>
  </si>
  <si>
    <t>(Lawless A.M.; Davies P.S.E.; D'Alessandro P.A.) Fiona Stanley and Fremantle Hospitals Group, South Metropolitan Health Service, Perth, WA, Australia. , (Ebert J.R.) School of Human Sciences (Exercise and Sport Science), University of Western Australia, Perth, WA, Australia. , (Ebert J.R.) Perth, WA, Australia. , (Ebert J.R.; Edwards P.K.; Davies P.S.E.; D'Alessandro P.A.) Orthopaedic Research Foundation of Western Australia, Perth, WA, Australia. , (Edwards P.K.) School of Allied Health, Curtin University, Perth, WA, Australia. , (Malik S.S.) Worcester Acute Hospitals NHS Trust, Worcester, United Kingdom. , (D'Alessandro P.A.) School of Surgery, University of Western Australia, Perth, WA, Australia.</t>
  </si>
  <si>
    <t>Knee surgery, sports traumatology, arthroscopy : official journal of the ESSKA (2026) 34:2 (484-493). Date of Publication: 1 Feb 2026</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</si>
  <si>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</si>
  <si>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L647350222</t>
  </si>
  <si>
    <t>http://dx.doi.org/10.1002/ksa.12698</t>
  </si>
  <si>
    <t>https://www.embase.com/search/results?subaction=viewrecord&amp;id=L647350222&amp;from=export</t>
  </si>
  <si>
    <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t>
  </si>
  <si>
    <t>Butt U., Vuletic F., Shaikh M.A.A., Amanullah, Rehman G.U., Shah I.A., StÃ¥lman A., Khan Z.A.</t>
  </si>
  <si>
    <t>(Butt U.; Shaikh M.A.A.; Amanullah; Rehman G.U.; Shah I.A.; Khan Z.A.) Department of Trauma and Orthopaedic, AO Hospital, Karachi, Pakistan. , (Butt U.) Sulis Hospital Bath, Bath, United Kingdom. , (Khan Z.A.) Department of Orthopaedics, Kantonsspital Baselland, Basel, Switzerland. , (StÃ¥lman A., anders.stalman@ki.se; Khan Z.A.) Department of Molecular Medicine and Surgery, Stockholm Sports Trauma Research Center, Karolinska Institutet, ValhallavÃ¤gen 91, Stockholm, Sweden. , (Vuletic F.) University Hospital â€œSveti Duhâ€_x009d_, Zagreb, Croatia. , (Vuletic F.) Faculty of Kinesiology, University of Zagreb, Zagreb, Croatia. , (Amanullah) Department of Orthopaedic Surgery, Hayatabad Medical Complex, Peshawar, Pakistan. , (Rehman G.U.) Dalian Medical University, Dalian, China. , (StÃ¥lman A., anders.stalman@ki.se) Capio Artro Clinic Sophiahemmet Private Hospital, Stockholm, Sweden.</t>
  </si>
  <si>
    <t>A. StÃ¥lman, Department of Molecular Medicine and Surgery, Stockholm Sports Trauma Research Center, Karolinska Institutet, ValhallavÃ¤gen 91, Stockholm, Sweden. Email: anders.stalman@ki.se</t>
  </si>
  <si>
    <t>Archives of Orthopaedic and Trauma Surgery (2025) 145:1 Article Number: 85. Date of Publication: 1 Dec 2025</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</si>
  <si>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Â± 0.4 mm in the hamstring tendon group and 8.9 Â± 0.2 mm in the PL group (P &lt; 0.001). The improvement in Arthrometer testing measurements (AMT) for the operated knees in the hamstring and peroneus longus groups were similar. In the peroneus longus group, the mean postoperative foot and ankle score was 98.6 Â± 3.9 (range = 85â€“100).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</si>
  <si>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L2032696887</t>
  </si>
  <si>
    <t>http://dx.doi.org/10.1007/s00402-024-05639-1</t>
  </si>
  <si>
    <t>https://www.embase.com/search/results?subaction=viewrecord&amp;id=L2032696887&amp;from=export</t>
  </si>
  <si>
    <t>https://catalyst.library.jhu.edu/openurl/01JHU_INST/01JHU_INST:JHU?sid=EMBASE&amp;sid=EMBASE&amp;issn=14343916&amp;id=doi:10.1007%2Fs00402-024-05639-1&amp;atitle=5-years+outcomes+following+arthroscopic+anterior+cruciate+ligament+reconstruction+comparing+quadruple+hamstring+and+peroneus+longus+tendon+autografts%3A+a+randomized+control+trial&amp;stitle=Arch.+Orthop.+Trauma+Surg.&amp;title=Archives+of+Orthopaedic+and+Trauma+Surgery&amp;volume=145&amp;issue=1&amp;spage=&amp;epage=&amp;aulast=Butt&amp;aufirst=Umer&amp;auinit=U.&amp;aufull=Butt+U.&amp;coden=AOTSE&amp;isbn=&amp;pages=-&amp;date=2025&amp;auinit1=U&amp;auinitm=</t>
  </si>
  <si>
    <t>Kentel M., Krupa S., Reichert P., Korolczuk K., Kentel M., Kentel K., Daszkiewicz M.</t>
  </si>
  <si>
    <t>(Kentel M., maciej.kentel@emkamed.com.pl; Krupa S.; Kentel K.; Daszkiewicz M.) Department of Trauma and Orthopedics Surgery, eMKa MED Medical Centre, Wroclaw, Poland. , (Reichert P., preichert@wp.pl; Korolczuk K.) Department of Trauma Surgery, Clinical Department of Trauma and Hand Surgery, Faculty of Medicine, Wroclaw Medical University, Wroclaw, Poland. , (Kentel M.) Department of Physiotherapy, eMKa MED Medical Centre, Wroclaw, Poland.</t>
  </si>
  <si>
    <t>M. Kentel, Department of Trauma and Orthopedics Surgery, eMKa MED Medical Centre, Wroclaw, Poland. Email: maciej.kentel@emkamed.com.pl</t>
  </si>
  <si>
    <t>Knee (2025) 57 (84-99). Date of Publication: 1 Dec 2025</t>
  </si>
  <si>
    <t>Aim of the study: This prospective study aimed to compare the clinical outcomes of ACL reconstruction using either a JewelACL synthetic ligament or a Semitendinosus (ST) autograft, with a minimum follow-up period of 2 years. Patients and methods: This study enrolled 50 sports-active patients with anteromedial bundle injuries for primary standalone ACL reconstruction. In group I (20 patients with a BMI of 24.36 Â± 2.32, and a mean age of 40.65 Â± 11.43) the Jewel ACL synthetic graft was implemented, while in group II (30 patients with a BMI of 24.82 Â± 3.25, and a mean age of 35.57 Â± 7.18) the ST autograft was used, both with the same surgical technique. Pre- and postoperative assessments included ROM, Lachman, Pivot Shift, KT 1000, IKDC 2000, Cincinnati, Lysholm, Tegner scores, and time to return to sport. Results: There was no statistical difference between the JewelACL and ST groups in ROM or scores. The JewelACL group returned earlier to participation at 2.6 months and to sports at 4.65 months, compared to 5.2 and 10.87 months for the ST group. On the day of surgery, 25 % of the JewelACL group and 37 % of the ST group had positive Pivot Shift tests. At 24 months, all JewelACL patients had negative results, while 10 % of the ST group remained positive. Three cases of hematoma at the donor site were noted in the ST group but none in the JewelACL group. Conclusions: ACL reconstruction with both the ST autograft and JewelACL synthetic ligament provided similarly positive outcomes across nearly all measured scores. The JewelACL technique allows for a faster return to training and sports activities. In contrast, the ST group experienced donor site complications after harvesting, leading to delayed healing and a slower rehabilitation process.</t>
  </si>
  <si>
    <t>L2040079851</t>
  </si>
  <si>
    <t>http://dx.doi.org/10.1016/j.knee.2025.07.024</t>
  </si>
  <si>
    <t>https://www.embase.com/search/results?subaction=viewrecord&amp;id=L2040079851&amp;from=export</t>
  </si>
  <si>
    <t>https://catalyst.library.jhu.edu/openurl/01JHU_INST/01JHU_INST:JHU?sid=EMBASE&amp;sid=EMBASE&amp;issn=18735800&amp;id=doi:10.1016%2Fj.knee.2025.07.024&amp;atitle=Prospective%2C+randomized+study+comparing+clinical+outcomes+when+reconstructing+ACL+with+either+semitendinosus+autograft+or+the+Jewel+synthetic+standalone+device+in+two+separate+patient+cohorts&amp;stitle=Knee&amp;title=Knee&amp;volume=57&amp;issue=&amp;spage=84&amp;epage=99&amp;aulast=Kentel&amp;aufirst=Maciej&amp;auinit=M.&amp;aufull=Kentel+M.&amp;coden=KNEEF&amp;isbn=&amp;pages=84-99&amp;date=2025&amp;auinit1=M&amp;auinitm=</t>
  </si>
  <si>
    <t>Semitendinosus vs quadriceps tendon autograft in anterior cruciate ligament reconstruction (SEQUAR): protocol for a prospective randomized controlled trial</t>
  </si>
  <si>
    <t>Castellanos Dolk D., Sarakatsianos V., WÃ¶rner T., Ã–stin M., Cristiani R., Kvist J., StÃ¥lman A.</t>
  </si>
  <si>
    <t>(Castellanos Dolk D., daniel.castellanos.dolk@ki.se; Sarakatsianos V.; WÃ¶rner T.; Cristiani R.; StÃ¥lman A.) Department of Molecular Medicine and Surgery, Stockholm Sports Trauma Research Center, Karolinska Institutet, Stockholm, Sweden. , (Castellanos Dolk D., daniel.castellanos.dolk@ki.se) Department of Orthopaedic Surgery, Capio SpecialistvÃ¥rd Motala, Motala, Sweden. , (WÃ¶rner T.; Cristiani R.; StÃ¥lman A.) Capio Artro Clinic, FIFA Medical Centre of Excellence, Sophiahemmet Hospital, Stockholm, Sweden. , (Ã–stin M.) Artro Clinic, FIFA Medical Centre of Excellence, Sophiahemmet Hospital, Stockholm, Sweden. , (Kvist J.) Unit of Physiotherapy, Department of Health, Medicine and Caring Sciences, LinkÃ¶ping University, LinkÃ¶ping, Sweden.</t>
  </si>
  <si>
    <t>D. Castellanos Dolk, Department of Molecular Medicine and Surgery, Stockholm Sports Trauma Research Center, Karolinska Institutet, Stockholm, Sweden. Email: daniel.castellanos.dolk@ki.se</t>
  </si>
  <si>
    <t>BMC Musculoskeletal Disorders (2025) 26:1 Article Number: 951. Date of Publication: 1 Dec 2025</t>
  </si>
  <si>
    <t>BMC Musculoskeletal Disorders</t>
  </si>
  <si>
    <t>1471-2474 (electronic)</t>
  </si>
  <si>
    <t>BioMed Central Ltd</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</si>
  <si>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16â€“40 years with a Tegner Activity Scale (TAS) of â‰¥ 7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â‰¥ 7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</si>
  <si>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cloxacillin (61-72-3, 642-78-4)</t>
  </si>
  <si>
    <t>ClinicalTrials.gov (NCT04295148)</t>
  </si>
  <si>
    <t>L2040529555</t>
  </si>
  <si>
    <t>10.1186/s12891-025-09183-w</t>
  </si>
  <si>
    <t>http://dx.doi.org/10.1186/s12891-025-09183-w</t>
  </si>
  <si>
    <t>https://www.embase.com/search/results?subaction=viewrecord&amp;id=L2040529555&amp;from=export</t>
  </si>
  <si>
    <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t>
  </si>
  <si>
    <t>Intraâ€‘articular tranexamic acid improves 1â€‘ and 3â€‘month functional recovery but doesnot reduce early postâ€‘operative pain after arthroscopic ACL reconstruction: A tripleâ€‘blind randomised trial</t>
  </si>
  <si>
    <t>Firoozabadi M.A., Nezhadtabrizi B., Poursalehian M., Razzaghof M., Naghizadeh H., Soleimani M., Mortazavi S.M.J.</t>
  </si>
  <si>
    <t>(Firoozabadi M.A.; Nezhadtabrizi B.; Poursalehian M.; Razzaghof M.; Naghizadeh H.; Soleimani M.; Mortazavi S.M.J., smjmort@yahoo.com) Joint Reconstruction Research Center, Tehran University of Medical Sciences, Tehran, Iran. , (Firoozabadi M.A.; Nezhadtabrizi B.; Poursalehian M.; Razzaghof M.; Naghizadeh H.; Soleimani M.; Mortazavi S.M.J., smjmort@yahoo.com) Department of Orthopedic Surgery, Imam Khomeini Hospital Complex, Tehran University of Medical Sciences, Tehran, Iran.</t>
  </si>
  <si>
    <t>S.M.J. Mortazavi, Department of Orthopaedic Surgery, Adult Joint Reconstruction fellowship, Joint Reconstruction Research Center, Imam Khomeini Hospital, Tehran, Iran. Email: smjmort@yahoo.com</t>
  </si>
  <si>
    <t>Journal of Experimental Orthopaedics (2025) 12:4 Article Number: e70460. Date of Publication: 1 Oct 2025</t>
  </si>
  <si>
    <t>John Wiley and Sons Inc</t>
  </si>
  <si>
    <t>Purpose: Our aim is to investigate whether an intra-articular injection of tranexamic acid (TXA), administered alongside a standard multimodal analgesic cocktail, improves postoperative pain control and functional recovery. Methods: This was a randomised, triple-blind, placebo-controlled clinical trial conducted from April 2022 to October 2023 at a tertiary care center. One hundred patients with isolated, unilateral, chronic ACL tears were randomised 1:1 to receive either an intra-articular injection containing TXA (1 g), morphine sulphate, ketorolac, lidocaine and normal saline (intervention group) or an identical injection without TXA (control group). All surgeries were performed using hamstring autografts and standardised surgical and postoperative protocols. All patients received 15 mg/kg intravenous TXA in addition to intra-articular TXA. The primary outcomes were pain scores (Visual Analogue Scale, VAS) at predefined time points up to 3 months. The secondary outcomes were Knee Injury and Osteoarthritis Outcome Score (KOOS), Lysholm scores, range of motion, swelling and morphine consumption. Results: Postoperative pain scores did not differ significantly between groups at any time point (p &gt; 0.05). Both groups demonstrated significant within-group improvements over time in KOOS subscores (p &lt; 0.001) and Lysholm scores (p &lt; 0.001). Postoperative morphine consumption was similar in both groups (p &gt; 0.05). The TXA group had better Lysholm scores at 1 month (85.8 Â± 9.1 vs. 79.6 Â± 13.9; p &lt; 0.01). The TXA group had significantly better KOOS subscores and Lysholm scores at 3 months with moderate effect size (p &lt; 0.01). No serious complications were observed in either group. Conclusion: Intra-articular TXA did not significantly reduce early postoperative pain or opioid use when added to a multimodal analgesic regimen and intravenous TXA in arthroscopic ACL reconstruction. However, it was associated with modest improvements in functional recovery at 1 and 3 months postoperatively, as measured by KOOS and Lysholm scores. Level of Evidence: Level I.</t>
  </si>
  <si>
    <t>acetylsalicylic acid (493-53-8, 50-78-2, 53663-74-4, 53664-49-6, 63781-77-1), celecoxib (169590-42-5), gabapentin (60142-96-3), ketorolac (74103-06-3), lidocaine (137-58-6, 24847-67-4, 56934-02-2, 73-78-9), morphine (52-26-6, 57-27-2), paracetamol (103-90-2), tranexamic acid (1197-18-8, 701-54-2)</t>
  </si>
  <si>
    <t>L2036814065</t>
  </si>
  <si>
    <t>10.1002/jeo2.70460</t>
  </si>
  <si>
    <t>http://dx.doi.org/10.1002/jeo2.70460</t>
  </si>
  <si>
    <t>https://www.embase.com/search/results?subaction=viewrecord&amp;id=L2036814065&amp;from=export</t>
  </si>
  <si>
    <t>https://catalyst.library.jhu.edu/openurl/01JHU_INST/01JHU_INST:JHU?sid=EMBASE&amp;sid=EMBASE&amp;issn=21971153&amp;id=doi:10.1002%2Fjeo2.70460&amp;atitle=Intra%E2%80%91articular+tranexamic+acid+improves+1%E2%80%91+and+3%E2%80%91month+functional+recovery+but+doesnot+reduce+early+post%E2%80%91operative+pain+after+arthroscopic+ACL+reconstruction%3A+A+triple%E2%80%91blind+randomised+trial&amp;stitle=J.+Exp.+Orthop.&amp;title=Journal+of+Experimental+Orthopaedics&amp;volume=12&amp;issue=4&amp;spage=&amp;epage=&amp;aulast=Firoozabadi&amp;aufirst=Mohammad+Ayati&amp;auinit=M.A.&amp;aufull=Firoozabadi+M.A.&amp;coden=&amp;isbn=&amp;pages=-&amp;date=2025&amp;auinit1=M&amp;auinitm=A</t>
  </si>
  <si>
    <t>Cao X., Liu J., Zhao J., Feng S., Zhao Z.</t>
  </si>
  <si>
    <t>(Cao X.; Zhao J.; Zhao Z.) Department of Sport, Gdansk University of Physical Education and Sport, Poland. , (Cao X.) Physical Education School, Zhengzhou Technical College, Zhengzhou City, Henan, China. , (Liu J.) Department of Rehabilitation Medicine, Huanggang Central Hospital, HUB, China. , (Liu J.) China Three Gorges University, Yichang City, HUB, China. , (Zhao J.) Department of Sports, Zhengzhou University of Light Industry, Zhengzhou City, China. , (Feng S.) Lincoln University College (LUC), Selangor Darul Ehsan, Petaling Jaya, Malaysia. , (Feng S.) Department of Rehabilitation, People's Hospital of TUAN FENG, HUB, China. , (Zhao Z.) Physical Education School of Zhengzhou University, Zhengzhou City, Henan, China.</t>
  </si>
  <si>
    <t>Journal of sport rehabilitation (2025) 34:7 (733-739). Date of Publication: 1 Sep 2025</t>
  </si>
  <si>
    <t>Journal of sport rehabilitation</t>
  </si>
  <si>
    <t>1543-3072 (electronic)</t>
  </si>
  <si>
    <t>Adolescent athletes participating in sports involving sudden directional changes, pivoting, and jumping frequently sustain anterior cruciate ligament (ACL) ruptures. ACL reconstruction (ACLR) surgery is often required, followed by a lengthy rehabilitation period. This study aims to evaluate the effectiveness of combining BOth Sides Up (BOSU) ball exercises with conventional resistance training in the recovery of joint stability and function after ACLR in adolescent athletes. Thirty adolescent athletes (ages 14-18) who underwent ACLR were randomly allocated to either the control group receiving traditional postoperative rehabilitation (n = 15) or the intervention group combining BOSU ball training with resistance exercises (n = 15). Joint stability, proprioception, strength, and functional outcomes were assessed before the procedure, as well as 3, 6, and 12 months after the operation using the KT-1000 arthrometer, Y-balance test, isokinetic dynamometry, and the ACL-Return to Sport after Injury ACL-Return to Sport after Injury (ACL-RSI) scale. The intervention group demonstrated notably better anterior-posterior knee joint stability (P &lt; .05) than the control group at the 6-month and 12-month follow-ups after the surgery, greater reach distances in the Star Excursion Balance Test (P &lt; .05), higher quadriceps and hamstring strength ratios (P &lt; .05), and superior ACL-RSI scores (P &lt; .01). Incorporating BOSU ball training with resistance exercises appears to be more effective than traditional rehabilitation alone in enhancing joint stability and neuromuscular control after ACLR in adolescent athletes. These results provide evidence supporting the incorporation of unstable surfaces into a comprehensive rehabilitation program to optimize recovery and safe return to sports.</t>
  </si>
  <si>
    <t>L646603496</t>
  </si>
  <si>
    <t>http://dx.doi.org/10.1123/jsr.2024-0160</t>
  </si>
  <si>
    <t>https://www.embase.com/search/results?subaction=viewrecord&amp;id=L646603496&amp;from=export</t>
  </si>
  <si>
    <t>https://catalyst.library.jhu.edu/openurl/01JHU_INST/01JHU_INST:JHU?sid=EMBASE&amp;sid=EMBASE&amp;issn=15433072&amp;id=doi:10.1123%2Fjsr.2024-0160&amp;atitle=Evaluation+of+the+Application+of+BOth+Sides+Up+Ball+Training+Combined+With+Resistance+Training+in+Joint+Stability+Improvement+Following+Anterior+Cruciate+Ligament+Reconstruction+Surgery+in+Teenage+Athletes&amp;stitle=J+Sport+Rehabil&amp;title=Journal+of+sport+rehabilitation&amp;volume=34&amp;issue=7&amp;spage=733&amp;epage=739&amp;aulast=Cao&amp;aufirst=Xiaodong&amp;auinit=X.&amp;aufull=Cao+X.&amp;coden=&amp;isbn=&amp;pages=733-739&amp;date=2025&amp;auinit1=X&amp;auinitm=</t>
  </si>
  <si>
    <t>Similar results with quadrupled semitendinosus and semitendinosus-gracilis graft in anterior cruciate ligament reconstruction: A randomised controlled trial with 2-year follow-up</t>
  </si>
  <si>
    <t>Martinez-Cano J.P., Gallego A., Cuadros J., Ibarra L., MejÃ­a F.M., Velasquez-Hammerle M.V., Martinez-Rondanelli A.</t>
  </si>
  <si>
    <t>(Martinez-Cano J.P., juan.martinez.ca@fvl.org.co; MejÃ­a F.M.; Martinez-Rondanelli A.) FundaciÃ³n Valle del Lili, Departamento de Ortopedia, Cali, Colombia. , (Martinez-Cano J.P., juan.martinez.ca@fvl.org.co; Cuadros J.; Ibarra L.; Martinez-Rondanelli A.) Universidad Icesi, Cali, Colombia. , (Gallego A.) FundaciÃ³n Valle del Lili, Centro de Investigaciones ClÃ­nicas (CIC), Cali, Colombia. , (Velasquez-Hammerle M.V.) Musculoskeletal Translational Innovation Initiative, Beth Israel Deaconess Medical Center Department of Orthopaedic Surgery, Harvard Medical School, Boston, United States.</t>
  </si>
  <si>
    <t>J.P. Martinez-Cano, FundaciÃ³n Valle del Lili, Departamento de Ortopedia, Cra 98 No. 18-49, Cali, Colombia. Email: juan.martinez.ca@fvl.org.co</t>
  </si>
  <si>
    <t>Journal of Experimental Orthopaedics (2025) 12:3 Article Number: e70399. Date of Publication: 1 Jul 2025</t>
  </si>
  <si>
    <t>Purpose: to compare quadrupled semitendinosus (STx4) with semitendinosus-gracilis graft in anterior cruciate ligament (ACL) reconstruction surgery. 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 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56.0â€“86.0 vs. 85.0, CI: 77.0â€“93.0), p = 0.04. The median surgery satisfaction was good in both groups STx4 (95%, interquartile range (IQR): 90%â€“98%) and ST-G (98%, IQR: 95%â€“100%)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Â± SD]: 173 Â± 53 N vs. 166 Â± 51 N, p = 0.7; hamstrings in extension: 204 Â± 61 N vs. 199 Â± 64 N, p = 0.8; quadriceps in flexion: 217 Â± 42 N vs. 209 Â± 47 N, p = 0.6; quadriceps in extension: 193 Â± 51 N vs. 191 Â± 46 N, p = 0.9). 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 Level of Evidence: Level I.</t>
  </si>
  <si>
    <t>vancomycin (1404-90-6, 1404-93-9)</t>
  </si>
  <si>
    <t>ClinicalTrials.gov (NCT03433170)</t>
  </si>
  <si>
    <t>L2036280159</t>
  </si>
  <si>
    <t>10.1002/jeo2.70399</t>
  </si>
  <si>
    <t>http://dx.doi.org/10.1002/jeo2.70399</t>
  </si>
  <si>
    <t>https://www.embase.com/search/results?subaction=viewrecord&amp;id=L2036280159&amp;from=export</t>
  </si>
  <si>
    <t>https://catalyst.library.jhu.edu/openurl/01JHU_INST/01JHU_INST:JHU?sid=EMBASE&amp;sid=EMBASE&amp;issn=21971153&amp;id=doi:10.1002%2Fjeo2.70399&amp;atitle=Similar+results+with+quadrupled+semitendinosus+and+semitendinosus-gracilis+graft+in+anterior+cruciate+ligament+reconstruction%3A+A+randomised+controlled+trial+with+2-year+follow-up&amp;stitle=J.+Exp.+Orthop.&amp;title=Journal+of+Experimental+Orthopaedics&amp;volume=12&amp;issue=3&amp;spage=&amp;epage=&amp;aulast=Martinez-Cano&amp;aufirst=Juan+P.&amp;auinit=J.P.&amp;aufull=Martinez-Cano+J.P.&amp;coden=&amp;isbn=&amp;pages=-&amp;date=2025&amp;auinit1=J&amp;auinitm=P</t>
  </si>
  <si>
    <t>Evaluation of Return to Military Activities after Combining Anterior Cruciate Ligament Reconstruction with Modified Lateral Extra-articular Tenodesis Versus Anterior Cruciate Ligament Reconstruction Alone in Primary Anterior Cruciate Ligament Tear in Soldiers. A Randomized Comparative Study</t>
  </si>
  <si>
    <t>Gupta T.P., Rai S.K., Sirohi B., Kale A., Kashid M., Negi R.S.</t>
  </si>
  <si>
    <t>(Gupta T.P.) Department of Orthopaedics, Base Hospital, Delhi Cantonment, New Delhi, India. , (Rai S.K., skrai47@yahoo.com) Department of Orthopaedics, Military Hospital, Haryana, Ambala, India. , (Sirohi B.) Department of Orthopedics, Military Hospital, Uttar Pradesh, Agra, India. , (Kale A.) Department of Orthopaedics, Military Hospital, Jammu and Kashmir, Jammu, India. , (Kashid M.) Department of Orthopedics, SMBT Medical College, Maharashtra, Nashik, India. , (Negi R.S.) Department of Radio-diagnosis, University Hospital, Lewisham, London, United Kingdom.</t>
  </si>
  <si>
    <t>S.K. Rai, Department of Orthopaedics, Military Hospital, Haryana, Ambala, India. Email: skrai47@yahoo.com</t>
  </si>
  <si>
    <t>Journal of Arthroscopy and Joint Surgery (2025) 12:3 (101-114). Date of Publication: 1 Jul 2025</t>
  </si>
  <si>
    <t>Journal of Arthroscopy and Joint Surgery</t>
  </si>
  <si>
    <t>2214-9635</t>
  </si>
  <si>
    <t>Wolters Kluwer Health</t>
  </si>
  <si>
    <t>Background: This study aimed to assess the clinical result, complications, failure rate, and return to resuming military duty of a single-stage anterior cruciate ligament reconstruction (ACLR) procedure utilizing quadrupled semitendinosus tendon graft joint with modified lateral extra-articular tenodesis (LET). This study evaluates the potential impact of combined modified LET with ACLR versus ACLR alone on the rate of return to high-impact military activities, which we call return to sports (RTSs), and the subsequent rate of the anterior cruciate ligament (ACL) graft failure. Materials and Methods: A total of 198 soldiers with primary ACL tears with a high-grade pivot test (grade 3) were included and randomized using the simple randomized method and divided into two groups. A consecutive cohort of military personnel with an isolated ACL tear undergoing ACLR with modified LET (group A, n = 116) and ACLR alone (group B, n = 82) were analyzed between 2016 and 2021. Both groups were followed up for a minimum of 2 years. Soldiers underwent a survey evaluating knee function (knee injury and osteoarthritis outcome score [KOOS]), RTS criteria (RTS type), symptoms (International Knee Documentation Committee [IKDC] subjective), activity level (Tegner score), and fear of movement (Tampa Scale of Kinesiophobia-11) to assess psychological readiness for sport participation. Results: Among these, a mean age of 32 Â± 2.93 years underwent primary ACLR with modified LET (n = 116) or without LET (n = 82) procedure. A total of 31 soldiers (15.6%) experienced ACL graft failure, including 26 (31.7%) reconstructions without LET and 5 (4.3%) with LET. Combined with LET during primary ACLR, it lowered the risk of graft failure by 2.8 times. Multivariable analysis revealed a significant reduction in graft rupture risk (relative risk = 0.325, P = 0.029) associated with LET compared to ACLR alone after adjusting for age, anthropometric factors, and tibial slopes. 105 out of 113 (90.5%) soldiers were able to return to military duty in group A (combined ACLR with modified LET), whereas 51 of 81 (62.9%) of the soldiers who underwent ACLR alone (group B) returned to military duty (P = 0.05). Conclusion: At 24 months postoperatively, combined ACLR plus LET showed a significantly higher RTS rate than ACLR alone. The combined ACLR with the modified LET group also showed a lower failure rate than the ACLR alone group. No marked differences were observed in KOOS sub-scores, IKDC subjective, and Tegner activity scores.</t>
  </si>
  <si>
    <t>L2039158003</t>
  </si>
  <si>
    <t>10.4103/jajs.jajs_66_24</t>
  </si>
  <si>
    <t>http://dx.doi.org/10.4103/jajs.jajs_66_24</t>
  </si>
  <si>
    <t>https://www.embase.com/search/results?subaction=viewrecord&amp;id=L2039158003&amp;from=export</t>
  </si>
  <si>
    <t>https://catalyst.library.jhu.edu/openurl/01JHU_INST/01JHU_INST:JHU?sid=EMBASE&amp;sid=EMBASE&amp;issn=22149635&amp;id=doi:10.4103%2Fjajs.jajs_66_24&amp;atitle=Evaluation+of+Return+to+Military+Activities+after+Combining+Anterior+Cruciate+Ligament+Reconstruction+with+Modified+Lateral+Extra-articular+Tenodesis+Versus+Anterior+Cruciate+Ligament+Reconstruction+Alone+in+Primary+Anterior+Cruciate+Ligament+Tear+in+Soldiers.+A+Randomized+Comparative+Study&amp;stitle=J.+Arthrosc.+Jt.+Surg.&amp;title=Journal+of+Arthroscopy+and+Joint+Surgery&amp;volume=12&amp;issue=3&amp;spage=101&amp;epage=114&amp;aulast=Gupta&amp;aufirst=&amp;auinit=T.P.&amp;aufull=Gupta+T.P.&amp;coden=&amp;isbn=&amp;pages=101-114&amp;date=2025&amp;auinit1=T&amp;auinitm=P</t>
  </si>
  <si>
    <t>Impact of early versus delayed rehabilitation protocols on lower limb strength symmetry after hamstring tendon autograft ACL reconstruction</t>
  </si>
  <si>
    <t>Kadivar Y., Katariya C., Merja H.</t>
  </si>
  <si>
    <t>(Kadivar Y.) Shyam Multispecialty Hospital, Department of Orthopedics, Government Medical College, Morbi, Gujarat, Rajkot, India. , (Katariya C.) DNB Resident, Department of Orthopedics, Kalpana Chawla Government Medical College, Haryana, Karnal, India. , (Merja H., harshilmerja@gmail.com) Department of Orthopedics, PDU Government Medical College, Gujarat, Rajkot, India.</t>
  </si>
  <si>
    <t>H. Merja, Department of Orthopedics, PDU Government Medical College, Gujarat, Rajkot, India. Email: harshilmerja@gmail.com</t>
  </si>
  <si>
    <t>International Journal of Life Sciences Biotechnology and Pharma Research (2025) 14:7 (1656-1660). Date of Publication: 1 Jul 2025</t>
  </si>
  <si>
    <t>Background: Restoration of lower limb strength symmetry following anterior cruciate ligament reconstruction (ACLR) is a crucial determinant of functional recovery and return to sport. Rehabilitation timing, particularly early versus delayed initiation, can influence postoperative muscle strength outcomes, especially in hamstring tendon autograft cases. While early rehabilitation may promote faster recovery, concerns about graft protection and joint stability have limited its universal adoption. This study aimed to compare the effects of early and delayed rehabilitation protocols on quadriceps and hamstring strength symmetry after ACLR using hamstring tendon autografts. Materials and Methods:A prospective comparative study was conducted on 60 patients (mean age: 26.4 Â± 4.8 years) undergoing primary ACLR with semitendinosus-gracilisautograft. Patients were randomized into two groups: Early Rehabilitation Group (ERG) (n = 30), commencing structured physiotherapy within 2 weeks post-surgery, and Delayed Rehabilitation Group (DRG) (n = 30), starting at 6 weeks post-surgery. Isokinetic dynamometry assessed quadriceps and hamstring peak torque at 60Â°/s and 180Â°/s at 3, 6, and 12 months postoperatively. Strength symmetry index (SSI) was calculated as the ratio of the operated to non-operated limb strength Ã— 100. Statistical analysis included repeated measures ANOVA with p &lt; 0.05 considered significant. Results: At 3 months, ERG demonstrated significantly higher quadriceps SSI (81.6 Â± 5.3%) compared to DRG (72.4 Â± 6.1%, p &lt; 0.001) and hamstring SSI (86.9 Â± 4.7% vs 78.2 Â± 5.6%, p &lt; 0.001). At 6 months, the differences persisted (quadriceps SSI: 91.2 Â± 3.8% vs 85.4 Â± 4.1%, p = 0.002; hamstring SSI: 93.1 Â± 3.5% vs 88.0 Â± 3.9%, p = 0.004). By 12 months, both groups achieved near-symmetrical strength, with no significant difference (quadriceps SSI: 97.3 Â± 2.4% vs 96.1 Â± 2.8%, p = 0.18). No graft failures or significant complications were reported in either group. Conclusion: Early initiation of rehabilitation following hamstring tendon autograft ACLR resulted in faster recovery of lower limb strength symmetry during the first 6 months post-surgery without increasing complication risk. However, by one year, both early and delayed protocols achieved comparable strength outcomes, suggesting early rehabilitation primarily benefits short- to mid-term recovery.</t>
  </si>
  <si>
    <t>L2040075838</t>
  </si>
  <si>
    <t>10.69605/ijlbpr_14.7.2025.278</t>
  </si>
  <si>
    <t>http://dx.doi.org/10.69605/ijlbpr_14.7.2025.278</t>
  </si>
  <si>
    <t>https://www.embase.com/search/results?subaction=viewrecord&amp;id=L2040075838&amp;from=export</t>
  </si>
  <si>
    <t>https://catalyst.library.jhu.edu/openurl/01JHU_INST/01JHU_INST:JHU?sid=EMBASE&amp;sid=EMBASE&amp;issn=22503137&amp;id=doi:10.69605%2Fijlbpr_14.7.2025.278&amp;atitle=Impact+of+early+versus+delayed+rehabilitation+protocols+on+lower+limb+strength+symmetry+after+hamstring+tendon+autograft+ACL+reconstruction&amp;stitle=Int.+J.+Life+Sci.+Biotechnol.+Pharma+Res.&amp;title=International+Journal+of+Life+Sciences+Biotechnology+and+Pharma+Research&amp;volume=14&amp;issue=7&amp;spage=1656&amp;epage=1660&amp;aulast=Kadivar&amp;aufirst=Yash&amp;auinit=Y.&amp;aufull=Kadivar+Y.&amp;coden=&amp;isbn=&amp;pages=1656-1660&amp;date=2025&amp;auinit1=Y&amp;auinitm=</t>
  </si>
  <si>
    <t>Calvert N.D., Ebert J.R., Radic R.</t>
  </si>
  <si>
    <t>(Calvert N.D.; Ebert J.R.) School of Human Sciences (Exercise and Sport Science), University of Western Australia, Crawley, WA, Australia. , (Calvert N.D.; Ebert J.R.; Radic R.) Perth Orthopaedic &amp; Sports Medicine Research Institute, West Perth, WA, Australia. , (Calvert N.D.; Radic R.) Department of Orthopaedics, Royal Perth Hospital, Perth, Australia. , (Calvert N.D.; Radic R.) Perth Orthopaedic &amp; Sports Medicine Centre, Perth, WA, Australia. , (Ebert J.R.) HFRC Rehabilitation Clinic, Nedlands, WA, Australia. , (Radic R.) School of Medicine, University of Western Australia, Crawley, WA, Australia.</t>
  </si>
  <si>
    <t>Knee surgery, sports traumatology, arthroscopy : official journal of the ESSKA (2025) 33:7 (2390-2396). Date of Publication: 1 Jul 2025</t>
  </si>
  <si>
    <t>PURPOSE: To investigate kneeling tolerance in patients undergoing hamstring (HT) versus quadriceps (QT) anterior cruciate ligament reconstruction (ACLR) and investigate correlation with patient-reported outcome measures (PROMs). METHODS: After recruitment and randomisation, 112 patients (HT = 55; QT = 57) underwent ACLR. Patients were assessed at 6, 12 and 24 months using the Kneeling Tolerance Test, which evaluates patient-reported pain in a position of both 90 (KT90) and 110 (KT110) degrees of knee flexion. PROMs collected included the International Knee Documentation Committee (IKDC) questionnaire and the ACL Return to Sport after Injury (ACL-RSI) questionnaire. RESULTS: Kneeling tolerance at KT90 and KT110 improved (p &lt; 0.05) for both graft types across all time points. There was no difference in KT90 scores between groups at 6 or 12 months. At 24 months, kneeling tolerance was superior in the QT group (mean HT 93 Â± 9 vs. QT 98 Â± 5; p = 0.003). For KT110 scores, a statistically significant difference was noted at 6 (mean HT 80 Â± 25 vs. QT 89 Â± 12; p = 0.027), 12 (mean HT 90 Â± 13 vs. QT 95 Â± 10; p = 0.040) and 24 months (mean HT 92 Â± 10 vs. QT 97 Â± 5; p = 0.003). The ACL-RSI was significantly correlated with KT90 and KT110 at 24 months (r = 0.40, p &lt; 0.001; r = 0.40, p &lt; 0.001). Other PROMs demonstrated significant weak-to-moderate correlations with kneeling tolerance. CONCLUSION: Patients undergoing ACLR with a QT versus HT autograft report superior kneeling tolerance up to 2 years postsurgery, more prominent in deeper (110Â°) knee flexion. A strong correlation with ACL-RSI was demonstrated at 2 years. REGISTRATION: ACTRN12618001520224p (Australian New Zealand Clinical Trials Registry).Level 1.</t>
  </si>
  <si>
    <t>L646302121</t>
  </si>
  <si>
    <t>http://dx.doi.org/10.1002/ksa.12583</t>
  </si>
  <si>
    <t>https://www.embase.com/search/results?subaction=viewrecord&amp;id=L646302121&amp;from=export</t>
  </si>
  <si>
    <t>https://catalyst.library.jhu.edu/openurl/01JHU_INST/01JHU_INST:JHU?sid=EMBASE&amp;sid=EMBASE&amp;issn=14337347&amp;id=doi:10.1002%2Fksa.12583&amp;atitle=Kneeling+tolerance+when+using+quadriceps+tendon+autograft+for+anterior+cruciate+ligament+reconstruction+is+superior+to+hamstring+tendon+autograft&amp;stitle=Knee+Surg+Sports+Traumatol+Arthrosc&amp;title=Knee+surgery%2C+sports+traumatology%2C+arthroscopy+%3A+official+journal+of+the+ESSKA&amp;volume=33&amp;issue=7&amp;spage=2390&amp;epage=2396&amp;aulast=Calvert&amp;aufirst=Nicholas+D.&amp;auinit=N.D.&amp;aufull=Calvert+N.D.&amp;coden=&amp;isbn=&amp;pages=2390-2396&amp;date=2025&amp;auinit1=N&amp;auinitm=D</t>
  </si>
  <si>
    <t>Mo I.F., Harlem T., Faleide A.G.H., Strand T., Vindfeld S., Solheim E., Randsborg P.H., Inderhaug E.</t>
  </si>
  <si>
    <t>(Mo I.F.; Harlem T.; Faleide A.G.H.; Strand T.; Vindfeld S.; Inderhaug E.) Haraldsplass Deaconess Hospital, Bergen, Norway. , (Mo I.F.; Harlem T.; Faleide A.G.H.; Strand T.; Vindfeld S.; Solheim E.; Inderhaug E.) Sports Traumatology and Arthroscopy Research Group, Bergen, Norway. , (Mo I.F.; Faleide A.G.H.; Vindfeld S.; Solheim E.; Inderhaug E.) University of Bergen, Bergen, Norway. , (Randsborg P.H.) Akershus University Hospital, . , (Randsborg P.H.) University of Oslo, Oslo, Norway. , (Inderhaug E.) Haukeland University Hospital, Bergen, Norway.</t>
  </si>
  <si>
    <t>The American journal of sports medicine (2025) 53:9 (2145-2153). Date of Publication: 1 Jul 2025</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</si>
  <si>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</si>
  <si>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L647618842</t>
  </si>
  <si>
    <t>http://dx.doi.org/10.1177/03635465251344106</t>
  </si>
  <si>
    <t>https://www.embase.com/search/results?subaction=viewrecord&amp;id=L647618842&amp;from=export</t>
  </si>
  <si>
    <t>https://catalyst.library.jhu.edu/openurl/01JHU_INST/01JHU_INST:JHU?sid=EMBASE&amp;sid=EMBASE&amp;issn=15523365&amp;id=doi:10.1177%2F03635465251344106&amp;atitle=Comparable+Mid-+to+Long-term+Outcomes+of+Semitendinosus+and+Semitendinosus%2FGracilis+Grafts+in+ACL+Reconstruction%3A+Median+8-Year+%28Range%2C+5-10+Years%29+Results+From+a+Randomized+Controlled+Study&amp;stitle=Am+J+Sports+Med&amp;title=The+American+journal+of+sports+medicine&amp;volume=53&amp;issue=9&amp;spage=2145&amp;epage=2153&amp;aulast=Mo&amp;aufirst=Ingunn+Fleten&amp;auinit=I.F.&amp;aufull=Mo+I.F.&amp;coden=&amp;isbn=&amp;pages=2145-2153&amp;date=2025&amp;auinit1=I&amp;auinitm=F</t>
  </si>
  <si>
    <t>Comparison of Clinical Outcomes Between All-Inside and Complete Tibial Tunnel Techniques in Anterior Cruciate Ligament Reconstruction Among Patients With ACL Ruptures</t>
  </si>
  <si>
    <t>clinicaltrials.gov (2025). Date of Publication: 9 Jun 2025</t>
  </si>
  <si>
    <t>Brief SummaryThis study aims to compare the functional outcomes of patients with ACL rupture following ACL reconstruction surgery using hamstring grafts, between the all-inside technique and the complete tibial tunnel technique. The hamstring graft, which serves as the tissue substitute for the damaged ACL, is harvested from the posterior thigh of the patient and used to replace the torn ligament during reconstructionDetailed DescriptionThis Study was conducted usingdouble blind randomized controlled trial (RCT), patients who agree to participate in the study will be randomized to undergo ACL reconstruction using either the All-inside technique or the complete tibial tunnel technique. Clinical outcomes, including tibial translation, pain severity, IKDC score, and Tegner score, will be evaluated through anamnesis and physical examination at the outpatient orthopedic clinic at 3, 6, 9, and 12 months postoperatively.</t>
  </si>
  <si>
    <t>LNCT07023653</t>
  </si>
  <si>
    <t>https://clinicaltrials.gov/study/NCT07023653</t>
  </si>
  <si>
    <t>https://www.embase.com/search/results?subaction=viewrecord&amp;id=LNCT07023653&amp;from=export</t>
  </si>
  <si>
    <t>Comparative study of Peroneus longus tendon autograft versus Hamstring tendon autograft in arthroscopic anterior cruciate ligament reconstruction</t>
  </si>
  <si>
    <t>Khalil M.H., Zawam S.H.</t>
  </si>
  <si>
    <t>(Khalil M.H., mohamedhussein1980@gmail.com; Zawam S.H., sherif88@kasralainy.edu.eg) Cairo University Hospitals, Cairo, Egypt.</t>
  </si>
  <si>
    <t>M.H. Khalil, Cairo University Hospitals, Cairo, Egypt. Email: mohamedhussein1980@gmail.com</t>
  </si>
  <si>
    <t>International Orthopaedics (2025) 49:6 (1365-1372). Date of Publication: 1 Jun 2025</t>
  </si>
  <si>
    <t>Springer Nature</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</si>
  <si>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18â€“20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</si>
  <si>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L2033557432</t>
  </si>
  <si>
    <t>10.1007/s00264-025-06468-6</t>
  </si>
  <si>
    <t>http://dx.doi.org/10.1007/s00264-025-06468-6</t>
  </si>
  <si>
    <t>https://www.embase.com/search/results?subaction=viewrecord&amp;id=L2033557432&amp;from=export</t>
  </si>
  <si>
    <t>https://catalyst.library.jhu.edu/openurl/01JHU_INST/01JHU_INST:JHU?sid=EMBASE&amp;sid=EMBASE&amp;issn=14325195&amp;id=doi:10.1007%2Fs00264-025-06468-6&amp;atitle=Comparative+study+of+Peroneus+longus+tendon+autograft+versus+Hamstring+tendon+autograft+in+arthroscopic+anterior+cruciate+ligament+reconstruction&amp;stitle=Int.+Orthop.&amp;title=International+Orthopaedics&amp;volume=49&amp;issue=6&amp;spage=1365&amp;epage=1372&amp;aulast=Khalil&amp;aufirst=Mohamed+Hussein&amp;auinit=M.H.&amp;aufull=Khalil+M.H.&amp;coden=IORTD&amp;isbn=&amp;pages=1365-1372&amp;date=2025&amp;auinit1=M&amp;auinitm=H</t>
  </si>
  <si>
    <t>Ramakanth R., Sundararajan S.R., Sujith B.S.G., D'Souza T., Arumugam P., Rajasekaran S.</t>
  </si>
  <si>
    <t>(Ramakanth R.; Sundararajan S.R., sundarbone70@hotmail.com; Sujith B.S.G.; D'Souza T.; Arumugam P.) Department of Arthroscopy and Sports Medicine, Ganga Medical Center &amp; Hospital, Coimbatore, India. , (Rajasekaran S.) Department of Orthopaedics and Spine Surgery, Ganga Medical Center &amp; Hospital, Coimbatore, India.</t>
  </si>
  <si>
    <t>S.R. Sundararajan, Department of Arthroscopy and Sports Medicine, Ganga Medical Center &amp; Hospital, 313, Mettupalayam Road, Tamil Nadu, Coimbatore, India. Email: sundarbone70@hotmail.com</t>
  </si>
  <si>
    <t>Arthroscopy - Journal of Arthroscopic and Related Surgery (2025) 41:6 (2021-2032). Date of Publication: 1 Jun 2025</t>
  </si>
  <si>
    <t>Purpose: To compare various medial collateral ligament (MCL) management strategies (repair vs isolated suture-tape bracing vs no repair) combined with anterior cruciate ligament (ACL) reconstruction and analyze the results of MCL subtypes (femoral-sided, mid-substance, and tibial-sided tears) that occur at distinct levels. Methods: This study was a double-blind, prospective 3-arm randomized controlled trial. Ninety-six consecutive patients with combined ACL and grade III MCL acute &amp; subacute injuries between 2020 and 2022 with minimum 24-month follow-up were included in the study. Chronic MCL injuries and other ligament injuries were excluded, and computer-generated randomization was performed for allotment into 3 MCL management groups. ACL reconstruction with hamstring autograft was performed and the MCL underwent repair in group 1 (n = 33), isolated suture-tape-bracing in group 2 (n = 32), and no repair in group 3 (n = 31). At follow-up, stress radiographs were used to analyze anterior and medial laxity. The International Knee Documentation Committee score, Lysholm score, Knee Injury and Osteoarthritis Outcome Score, duration of surgery, and cost of surgery were compared. In addition, subgroup analysis was performed to assess outcomes based on location of MCL injury. Results: Demographic data, duration of injury, mode of injury, and distinct level of MCL injury were similar across groups. Overall, the incidence rates of MCL tears on the femoral side, at the midsubstance, and on the tibial side were 58.3%, 18.7%, and 23.0%, respectively. Postoperatively, significant improvements in range of motion (ROM) and functional scores were observed in all 3 groups (P â‰¤ .05); however, there were no statistically significant differences among the 3 groups at final follow-up in anterior tibial translation (P = .94), medial opening at 0Â° of flexion (P = .8) and 30Â° of flexion (P = .64), ROM (P = .39), International Knee Documentation Committee score (P = .17), Lysholm score (P = .14), and Knee Injury and Osteoarthritis Outcome Score (P = .68). Three patients in group 2 had stiffness at 3 months: 2 were treated with continuous passive motion and physiotherapy, and 1 needed arthrolysis. Medial opening (at 0Â° and at 30Â°) was greater in group 3 patients with mid-substance MCL tears (P = .042 and P = .043, respectively). On minimal clinically important difference analysis, more than 80% of patients had improvement in ROM and functional scores, as well as medial opening of less than 5 mm, suggestive of successful outcomes in all 3 groups. The duration of surgery was longer in the repair group (P = .001), whereas cost was higher in the suture-tape bracing group (P = .003). Conclusions: MCL treatment with repair, isolated suture-tape-bracing, and no repair results in good radiologic outcomes (medial stress laxity) and functional outcomes when combined with ACL reconstruction. MCL repair or isolated suture-tape-bracing more effectively restores medial-sided stability. Mid-substance MCL tears may need an additional procedure (repair or bracing) to restore medial stability. Level of Evidence: Level I, randomized controlled trial.</t>
  </si>
  <si>
    <t>L2035643789</t>
  </si>
  <si>
    <t>http://dx.doi.org/10.1016/j.arthro.2024.09.023</t>
  </si>
  <si>
    <t>https://www.embase.com/search/results?subaction=viewrecord&amp;id=L2035643789&amp;from=export</t>
  </si>
  <si>
    <t>https://catalyst.library.jhu.edu/openurl/01JHU_INST/01JHU_INST:JHU?sid=EMBASE&amp;sid=EMBASE&amp;issn=15263231&amp;id=doi:10.1016%2Fj.arthro.2024.09.023&amp;atitle=Medial+Collateral+Ligament+Repair%2C+Isolated+Suture-Tape-Bracing+and+No+Repair+for+Grade+III+Medial+Collateral+Ligament+Tears+During+Anterior+Cruciate+Ligament+Reconstruction+Have+Similar+Outcome+for+Combined+Anterior+Cruciate+Ligament+With+Medial+Collateral+Ligament+Injury%3A+A+3-Arm+Randomized+Controlled+Trial&amp;stitle=Arthroscopy+J.+Arthroscopic+Relat.+Surg.&amp;title=Arthroscopy+-+Journal+of+Arthroscopic+and+Related+Surgery&amp;volume=41&amp;issue=6&amp;spage=2021&amp;epage=2032&amp;aulast=Ramakanth&amp;aufirst=Rajagopalakrishnan&amp;auinit=R.&amp;aufull=Ramakanth+R.&amp;coden=ARTHE&amp;isbn=&amp;pages=2021-2032&amp;date=2025&amp;auinit1=R&amp;auinitm=</t>
  </si>
  <si>
    <t>The addition of lateral extra-articular augmentation procedures to bone-tendon-bone or quadriceps autograft anterior cruciate ligament reconstruction does not negatively affect physical or psychological readiness for return to sport at 6 and 9 months</t>
  </si>
  <si>
    <t>LaPrade C.M., Carey E.G., Gachigi K.K., Erbe M., Gabriel C., Riboh J.C.</t>
  </si>
  <si>
    <t>(LaPrade C.M.) Twin Cities Orthopedics, Eagan, MN, United States. , (Carey E.G.) Munson Orthopedic Institute, Traverse City, MI, United States. , (Gachigi K.K.; Riboh J.C.) OrthoCarolina Research Institute, Charlotte, NC, (Erbe M.; Gabriel C.; Riboh J.C.) OrthoCarolina, Charlotte, North Carolina, USA</t>
  </si>
  <si>
    <t>Knee surgery, sports traumatology, arthroscopy : official journal of the ESSKA (2025). Date of Publication: 1 Jun 2025</t>
  </si>
  <si>
    <t>PURPOSE: The addition of lateral extra-articular augmentation procedures (LEAP) to anterior cruciate ligament reconstruction (ACLR) reduces graft failure rates in hamstring ACLR. However, their effects on return-to-sport (RTS) testing are not well understood in the setting of quadriceps (Quad) or bone-tendon-bone (BTB) autograft ACLR. The purpose was to evaluate the effects of adding LEAP to Quad or BTB autograft ACLR in young athletes, with respect to formal RTS testing outcomes. We hypothesized that the addition of LEAP to Quad or BTB ACLR would result in non-inferior outcomes as compared to isolated ACLR. METHODS: A retrospective case-control analysis was performed of prospectively collected data from 93 patients under the age of 25 undergoing Quad or BTB ACLR from a single surgeon between 2021 and 2023. A control group of isolated ACLR was compared to the study group of ACLR/LEAP (either anterolateral ligament reconstruction [ALLR] or lateral extra-articular tenodesis [LET]). All patients underwent standardized RTS testing at 6 and 9 months post-surgery. The study was powered based on a priori power analysis to assess non-inferiority of the ACL/LEAP group. RESULTS: There were 51 patients (54.8%) in the isolated ACLR group and 42 (45.2%) in the ACLR/LEAP group. The ACL/LEAP group was non-inferior to the isolated ACLR group for the limb symmetry index (LSI) and passing rates for each of the 6- and 9-month RTS tests, as well as psychological readiness, as measured by Anterior Cruciate Ligament-Return to Sport after Injury. There was no significant difference in overall pass rate between the control and ACL/LEAP groups (33% vs. 45.2%, respectively, p = 0.273) at 9 months. Subgroup analysis showed no differences in any outcome variables at 6 or 9 months between ACL/ALLR and ACL/LET. CONCLUSIONS: This study confirmed our hypothesis that the addition of LEAP to Quad or BTB ACLR is non-inferior to isolated ACLR in terms of RTS testing and psychological readiness for sport at 6 and 9 months post-operatively. LEVEL OF EVIDENCE: Level III, case-control study.</t>
  </si>
  <si>
    <t>L647612001</t>
  </si>
  <si>
    <t>10.1002/ksa.12710</t>
  </si>
  <si>
    <t>http://dx.doi.org/10.1002/ksa.12710</t>
  </si>
  <si>
    <t>https://www.embase.com/search/results?subaction=viewrecord&amp;id=L647612001&amp;from=export</t>
  </si>
  <si>
    <t>https://catalyst.library.jhu.edu/openurl/01JHU_INST/01JHU_INST:JHU?sid=EMBASE&amp;sid=EMBASE&amp;issn=14337347&amp;id=doi:10.1002%2Fksa.12710&amp;atitle=The+addition+of+lateral+extra-articular+augmentation+procedures+to+bone-tendon-bone+or+quadriceps+autograft+anterior+cruciate+ligament+reconstruction+does+not+negatively+affect+physical+or+psychological+readiness+for+return+to+sport+at+6+and+9+months&amp;stitle=Knee+Surg+Sports+Traumatol+Arthrosc&amp;title=Knee+surgery%2C+sports+traumatology%2C+arthroscopy+%3A+official+journal+of+the+ESSKA&amp;volume=&amp;issue=&amp;spage=&amp;epage=&amp;aulast=LaPrade&amp;aufirst=Christopher+M.&amp;auinit=C.M.&amp;aufull=LaPrade+C.M.&amp;coden=&amp;isbn=&amp;pages=-&amp;date=2025&amp;auinit1=C&amp;auinitm=M</t>
  </si>
  <si>
    <t>ACL Reconstruction With Quadriceps Tendon Graft vs. Quadrupled Semitendinosus Graft: A Comparison of Patients From the Danish National ACL Reconstruction Database</t>
  </si>
  <si>
    <t>clinicaltrials.gov (2025). Date of Publication: 12 May 2025</t>
  </si>
  <si>
    <t>Brief SummaryThis study looks at two different types of tendon (tissue) used in knee surgery to repair a torn anterior cruciate ligament (ACL), which is a common injury in active people. The two types are taken from different muscles in the thigh: one from the front (quadriceps) and one from the back (semitendinosus). We will use information already collected in a national health registry to see how patients recover after surgery. The study will compare knee function, activity level, and how often patients need another operation.Detailed DescriptionThis is a retrospective observational cohort study based on data from the Danish Knee Ligament Reconstruction Registry (DKRR). The study includes patients who underwent primary ACL reconstruction using either a quadriceps tendon graft (with or without a bone block) or a quadrupled semitendinosus tendon graft. The primary outcome measures are the Knee Injury and Osteoarthritis Outcome Score (KOOS) and the Tegner Activity Scale. Secondary outcomes include reoperation rates, postoperative complications, and patient satisfaction. All available demographic, operative, and patient-reported outcome data will be analyzed. Multivariable regression will be used to adjust for confounders such as age, sex, BMI, time from injury to surgery, and surgeon volume. The study is exempt from ethical approval under Danish law, and data will be handled in compliance with GDPR.</t>
  </si>
  <si>
    <t>LNCT06980285</t>
  </si>
  <si>
    <t>https://clinicaltrials.gov/study/NCT06980285</t>
  </si>
  <si>
    <t>https://www.embase.com/search/results?subaction=viewrecord&amp;id=LNCT06980285&amp;from=export</t>
  </si>
  <si>
    <t>The Clinical Efficacy of Anterolateral Complex Augmentation in Patients With ACL Rupture Combined With Excessive Internal Tibial Rotation Subluxation: A Bidirectional Cohort Study</t>
  </si>
  <si>
    <t>clinicaltrials.gov (2025). Date of Publication: 29 Apr 2025</t>
  </si>
  <si>
    <t>Brief SummaryThis project aims to establish a high-quality, large-scale, single-center bidirectional cohort study to evaluate the postoperative clinical efficacy of ACLR combined with ALC augmentation in a specific high-risk population-patients with ACL rupture exhibiting excessive internal tibial rotation subluxation (EIRTS) on preoperative MRI. The study population will consist of patients with primary ACL rupture, and high-risk individuals will be identified based on the presence of EIRTS on preoperative knee MRI. The exposure group will undergo ACLR combined with ALC augmentation, while the control group will receive standard ACLR. Observational indicators will include all baseline patient characteristics and postoperative clinical outcomes.Detailed DescriptionAnterior cruciate ligament (ACL) rupture is one of the most common sports injuries in the field of sports medicine and significantly impairs athletic function. Autologous hamstring tendon single-bundle ACL reconstruction (ACLR) is the standard surgical technique for treating ACL rupture. Although most patients can return to sports postoperatively, a subset still experiences graft re-rupture, residual rotational instability of the knee, and other cases of reconstruction failure. Recent studies suggest that concomitant injury to the anterolateral complex (ALC) of the knee may be an important contributing factor. However, there is currently a lack of clinical evidence regarding the diagnosis of ALC injuries and the surgical indications for their treatment. Therefore, whether ALC should be augmented (diagnostic and surgical indications) in addition to routine ACLR, and how it should be augmented (surgical techniques), has become a key focus of current research. This project aims to establish a high-quality, large-scale, single-center bidirectional cohort study to evaluate the postoperative clinical efficacy of ACLR combined with ALC augmentation in a specific high-risk population-patients with ACL rupture exhibiting excessive internal tibial rotation subluxation (EIRTS) on preoperative MRI. The study population will consist of patients with primary ACL rupture, and high-risk individuals will be identified based on the presence of EIRTS on preoperative knee MRI. The exposure group will undergo ACLR combined with ALC augmentation, while the control group will receive standard ACLR. Observational indicators will include all baseline patient characteristics and postoperative clinical outcomes. The study includes two follow-up time points: 2 years and 5 years postoperatively. Follow-up will be conducted via outpatient visits and telephone interviews. Based on the follow-up outcomes, multivariate regression models will be used to analyze the association between exposure and clinical outcomes. This cohort study aims to address treatment strategies for high-risk ACL rupture patients with preoperative EIRTS, thereby improving perioperative management and clinical decision-making in ACL injuries. It will provide important clinical evidence for establishing surgical indications for ALC augmentation and contribute to the development of long-term clinical prediction models for graft failure after ACLR. The findings will support innovation in ACL reconstruction techniques, optimization of perioperative strategies, reduction in postoperative graft failure rates, and improvement in return-to-sport rates. This study holds significant implications for advancing clinical research in the field of sports medicine.</t>
  </si>
  <si>
    <t>LNCT06961292</t>
  </si>
  <si>
    <t>https://clinicaltrials.gov/study/NCT06961292</t>
  </si>
  <si>
    <t>https://www.embase.com/search/results?subaction=viewrecord&amp;id=LNCT06961292&amp;from=export</t>
  </si>
  <si>
    <t>Yang X., Li Y., He C., Jin T., Huang Y.</t>
  </si>
  <si>
    <t>(Yang X.; He C.; Jin T.) Department of Sports Medicine, First Affiliated Hospital of Kunming Medical University, Kunming, Yunnan, China. , (Li Y.) Department of Sports Medicine, First Affiliated Hospital of Kunming Medical University, Kunming, Yunnan, China. , (Huang Y.) Department of Anesthesia, Kunming Hospital of Traditional Chinese Medicine, Kunming, Yunnan, China.</t>
  </si>
  <si>
    <t>The Journal of sports medicine and physical fitness (2025) 65:2 (230-237). Date of Publication: 1 Feb 2025</t>
  </si>
  <si>
    <t>The Journal of sports medicine and physical fitness</t>
  </si>
  <si>
    <t>1827-1928 (electronic)</t>
  </si>
  <si>
    <t>BACKGROUND: The aim of this prospective randomized clinical study was to compare the clinical and second-look arthroscopic outcomes of early weight-bearing and delayed weight-bearing rehabilitation protocols following anterior cruciate ligament (ACL) reconstruction with hamstring tendons. METHODS: This prospective study involved 90 patients who underwent ACL reconstruction with hamstring tendons. The patients were randomly assigned to either perform weight-bearing exercises at three weeks postoperatively (group A) or at one week postoperatively (group B). Evaluation of the patients was conducted at 3, 6, and 12 months postoperatively, focusing on knee range of motion, thigh circumference, and knee function assessed using the International Knee Documentation Committee (IKDC) form and Lysholm knee score. Graft evaluation was performed based on tension, tear, and synovial coverage via second-look arthroscopy at least one year after reconstruction. RESULTS: Group B exhibited significantly greater knee extension and flexion angles at 3 and 6 months compared to group A. IKDC and Lysholm scores were significantly higher in group B at 3 and 6 months. Additionally, the difference in thigh circumference between groups A and B was smaller at all evaluation periods, indicating less muscle atrophy in group B. Furthermore, there was no significant difference in synovial coverage, graft tear, or tension between the two groups based on second-look arthroscopy findings. CONCLUSIONS: This study demonstrates that an early weight-bearing protocol leads to faster recovery of knee joint function and muscle strength, facilitating a quicker return to sports activities. Additionally, there was no significant difference in graft morphology observed at second-look arthroscopy between the two groups at one year postoperative. Therefore, clinicians are encouraged to develop suitable early weight-bearing rehabilitation protocols for patients who have undergone ACL surgery.</t>
  </si>
  <si>
    <t>L645787713</t>
  </si>
  <si>
    <t>http://dx.doi.org/10.23736/S0022-4707.24.16134-8</t>
  </si>
  <si>
    <t>https://www.embase.com/search/results?subaction=viewrecord&amp;id=L645787713&amp;from=export</t>
  </si>
  <si>
    <t>https://catalyst.library.jhu.edu/openurl/01JHU_INST/01JHU_INST:JHU?sid=EMBASE&amp;sid=EMBASE&amp;issn=18271928&amp;id=doi:10.23736%2FS0022-4707.24.16134-8&amp;atitle=Early+versus+delayed+start+of+weight-bearing+after+arthroscopic+anterior+cruciate+ligament+reconstruction+with+hamstring+tendons&amp;stitle=J+Sports+Med+Phys+Fitness&amp;title=The+Journal+of+sports+medicine+and+physical+fitness&amp;volume=65&amp;issue=2&amp;spage=230&amp;epage=237&amp;aulast=Yang&amp;aufirst=Xiao&amp;auinit=X.&amp;aufull=Yang+X.&amp;coden=&amp;isbn=&amp;pages=230-237&amp;date=2025&amp;auinit1=X&amp;auinitm=</t>
  </si>
  <si>
    <t>Comparison of Two Different Rehabilitation Approaches Applied After Anterior Cruciate Ligament Reconstruction</t>
  </si>
  <si>
    <t>clinicaltrials.gov (2025). Date of Publication: 9 Jan 2025</t>
  </si>
  <si>
    <t>Brief SummaryThe anterior cruciate ligament is incumbent upon the stabilization of the knee joint in our body. Consequently, it is also of great importance for athletes since it is seen that injuries in clinics are predominantly monitored in young individuals, who do active sports. Anterior cruciate ligament injuries commonly occur in football players when a secondary task (motor or cognitive) is involved while they are busy with a motor activity. In these processes, a circumstance, in which there becomes a quick landing after a jump or a difficult pass whilst dribbling the ball, can be monitored. In such cases, the subject of preventing these injuries, which may occur in athletes, and making them ready for second tasks after the treatment of the injury, has become a current issue. It is important for individuals who have suffered the injury- to be able to bring the knee joint to its former function at the highest level after anterior cruciate ligament reconstruction. As a result, the development of novel rehabilitation strategies has been an ongoing focus of research. A prime exemplar of this phenomenon is the implementation of dual-task exercises. Dual-task exercises appear in athletes as motor-cognitive or motor-motor. Athletes' exercising motor-cognitive functions has attracted the attention of researchers in the past period to prevent injuries in sports and has brought a new breath to the academic world. Studies suggest a decrease in cognitive and motor functions in the acute period after injuries. However, observing its long-term effects, they also suggest an increase in the attention parameter, crucial for athletes. In a study examining postural stability in individuals, who underwent an operation of anterior cruciate ligament reconstruction by giving motor-motor or motor-cognitive exercises, it is seen that worse results are obtained in postural stability in individuals, who underwent only anterior cruciate ligament reconstruction compared to healthy individuals. Furthermore, in cases -in which eyes were closed and dual motor tasks were given-, more negative results are obtained compared to the open-eyed group. It is associated with a significant decrease in proprioceptive performance in individuals after anterior cruciate ligament injury. Owing to this decrease, postural control decreases, and negative situations arise due to the pathology of the individual. The star balance test is a sensitive test to determine and emerges as an exercise that will correct this negative situation. Post-ACL injury, individuals exhibit significantly lower physical component scores in quality-of-life assessments compared to healthy controls, as reported in books and articles. Moreover, after the ACL reconstruction, a decrease in the mental scores of the individual is seen owing to reasons such as long-term absenteeism from work, rehabilitation, the high costs of the operation, and traumatic occasions. Foam roller, one of the current treatment modalities, is a myofascial release technique. The purpose of the foam roller application is to activate myofascial release by using the athlete's body weight and back-and-forth movement cycle. It has been observed that the usage of foam roller delays the emergence of delayed muscle soreness with myofascial release in the quadriceps and hamstring muscles, while also increasing joint range of motion. Despite the widespread utilization of foam rollers in clinical practice, empirical evidence elucidating the underlying mechanisms and clinical efficacy of this modality remains relatively limited. Nevertheless, the factors -which are consequential in the return to pre-injury performance of the athletes- have not been thoroughly scrutinized. For instance, there is no encounter in the literature examining the effects of dual-task exercises on kinesiophobia, ACL-specific quality of life, star balance test evaluation, normal range of motion evaluation, Tegner-Lysholm knee scoring scale. The purpose of the study is to compare two different rehabilitation groups in terms of pain, range of motion, functionality, balance, quality of life, and kinesiophobia in individuals who underwent ACL reconstruction. The first group is the one with a dual-task approach given during walking and balance exercises together with the conventional physiotherapy program. The latter is the one with the same dual-task approach given during walking and balance exercises together, as an extra with a foam roller.</t>
  </si>
  <si>
    <t>LNCT06831279</t>
  </si>
  <si>
    <t>https://clinicaltrials.gov/study/NCT06831279</t>
  </si>
  <si>
    <t>https://www.embase.com/search/results?subaction=viewrecord&amp;id=LNCT06831279&amp;from=export</t>
  </si>
  <si>
    <t>A randomized controlled trial on oblique incisions for ACL reconstruction: Minimizing sensory deficit without compromising outcome</t>
  </si>
  <si>
    <t>Duraiswamy G., Ashraf M., Paul E., K S.S., Rajan D.V.</t>
  </si>
  <si>
    <t>(Duraiswamy G., drgopi1311@gmail.com; Ashraf M., munis6@gmail.com; Paul E., earnestpauld@gmail.com; K S.S., sahanand@gmail.com; Rajan D.V., ortho.one@gmail.com) Ortho One Orthopaedic speciality centre, coimbatore, India. , (Paul E., earnestpauld@gmail.com) Abhinav Bindra Targeting Performance (ABTP) Center, India. , (Ashraf M., munis6@gmail.com) Department of Orthopedics, Saveetha Institute of Medical and Technical Sciences, Tamilnadu, Thandalam, India. , (Duraiswamy G., drgopi1311@gmail.com) Be Well Hospitals, Chennai, India.</t>
  </si>
  <si>
    <t>M. Ashraf, Department of Orthopedics, Saveetha Institute of Medical and Technical Sciences, Tamilnadu, Thandalam, India. Email: munis6@gmail.com</t>
  </si>
  <si>
    <t>Journal of Clinical Orthopaedics and Trauma (2025) 60 Article Number: 102865. Date of Publication: 1 Jan 2025</t>
  </si>
  <si>
    <t>Aim: This randomized controlled trial aimed to evaluate the impact of different incision types (oblique, vertical, and horizontal) for hamstring graft harvest on sensory disturbances and functional outcomes after anterior cruciate ligament (ACL) reconstruction. Methods: A total of 118 patients were randomized into three groups: oblique incision (n = 40), vertical incision (n = 40), and horizontal incision (n = 38). Sensory deficits were assessed using Von Frey Filaments at three weeks, three months, and six months postoperatively. Functional outcomes were measured using the International Knee Documentation Committee (IKDC) 2000 Subjective Knee Evaluation score at the 6-month mark. Statistical analyses included ANOVA and post-hoc tests to compare sensory disturbances across groups. Results: At 6 months, the oblique incision group demonstrated significantly less sensory disturbance (34.7 mm(2) Â± 38.6) than the vertical (43.8 mm(2) Â± 39.1) and horizontal (63.4 mm(2) Â± 42.4) incision groups (p = 0.031). No significant differences were found between the oblique and vertical incisions. The functional outcomes were comparable across all groups (P &gt; 0.05). Conclusion: Compared with vertical and horizontal incisions, oblique incisions for hamstring graft harvesting significantly reduced sensory disturbances without compromising functional outcomes. These findings suggest that careful selection of incision type can improve postoperative sensory outcomes in ACL reconstruction.</t>
  </si>
  <si>
    <t>L2036337079</t>
  </si>
  <si>
    <t>10.1016/j.jcot.2024.102865</t>
  </si>
  <si>
    <t>http://dx.doi.org/10.1016/j.jcot.2024.102865</t>
  </si>
  <si>
    <t>https://www.embase.com/search/results?subaction=viewrecord&amp;id=L2036337079&amp;from=export</t>
  </si>
  <si>
    <t>https://catalyst.library.jhu.edu/openurl/01JHU_INST/01JHU_INST:JHU?sid=EMBASE&amp;sid=EMBASE&amp;issn=22133445&amp;id=doi:10.1016%2Fj.jcot.2024.102865&amp;atitle=A+randomized+controlled+trial+on+oblique+incisions+for+ACL+reconstruction%3A+Minimizing+sensory+deficit+without+compromising+outcome&amp;stitle=J.+Clin.+Orthop.+Traum.&amp;title=Journal+of+Clinical+Orthopaedics+and+Trauma&amp;volume=60&amp;issue=&amp;spage=&amp;epage=&amp;aulast=Duraiswamy&amp;aufirst=Gopinath&amp;auinit=G.&amp;aufull=Duraiswamy+G.&amp;coden=&amp;isbn=&amp;pages=-&amp;date=2025&amp;auinit1=G&amp;auinitm=</t>
  </si>
  <si>
    <t>Copyright 2024 Elsevier B.V., All rights reserved.</t>
  </si>
  <si>
    <t>The Comparison of Tunnel Morphology and Graft Healing in Anterior Cruciate Ligament Reconstructions Using Peroneus Longus And Hamstring Tendons</t>
  </si>
  <si>
    <t>clinicaltrials.gov (2025). Date of Publication: 1 Jan 2025</t>
  </si>
  <si>
    <t>Brief Summary1. Comparison of the grafts using Magnetic Resonance Imaging (MR) to determine whether their maturation and bone integration are different, 2. Comparison of the grafts using Computerized Tomography (CT) to determine whether their effects on the tunnels opened in cruciate ligament reconstruction surgeries are different, 3. In the event that graft healing and effects on the tunnels differ between grafts, determination of whether these differences are related to patient clinics,Detailed DescriptionThe project method; Patients who will be operated with 2 different grafts used in anterior cruciate ligament surgeries will be included in 2 different randomized groups of 29 people (hamstring and peroneus groups) determined by obtaining their informed consent before the surgery and then, 1. The maturation of the grafts will be measured and compared with the SNQ (Signal/Noise quotient) value and the graft-bone integration with the SI (Signal Intensity) value with the Magnetic Resonance (MR) to be taken at the 1st year controls after the surgery, 2. Changes in tunnel morphology; The volume of the tunnels will be measured with the Computerized Tomography (CT) imaging method to be taken prospectively within the first week after the surgery date and 1 year after the surgery date and the changes within 1 year will be calculated by comparing them. 3. In the outpatient clinic follow-ups of both groups; Knee laxity will be obtained with Lachman, Anterior drawer and Pivot shift tests and knee scores and activity levels will be obtained using IKDC, Lysholm, Marx scales and it will be examined whether these data are related to SNQ, SI and tunnel expansion.</t>
  </si>
  <si>
    <t>LNCT06769711</t>
  </si>
  <si>
    <t>https://clinicaltrials.gov/study/NCT06769711</t>
  </si>
  <si>
    <t>https://www.embase.com/search/results?subaction=viewrecord&amp;id=LNCT06769711&amp;from=export</t>
  </si>
  <si>
    <t>The Effect of Cognitive-Based Neuromuscular Exercises on Reaction Time, Joint Position Sense, Proprioceptive Force Sense and Balance in Individuals Who Had Anterior Cruciate Ligament Surgery</t>
  </si>
  <si>
    <t>clinicaltrials.gov (2024). Date of Publication: 18 Dec 2024</t>
  </si>
  <si>
    <t>Brief SummaryThe aim of this study is to investigate the effects of cognitive-based neuromuscular exercises on increased reaction time, decreased joint position sense, reduced proprioceptive force sense, and balance problems in individuals who have undergone surgery following anterior cruciate ligament (ACL) injuries. With the results obtained from the study, the investigators aim to provide a different perspective on rehabilitation methods applied after ACL reconstruction and contribute to the literature with objective and evidence-based information regarding the effects of cognitive-based neuromuscular exercises on sensorimotor, neuromuscular, and proprioceptive senses.Detailed DescriptionAnterior Cruciate Ligament (ACL) injuries are among the most common knee injuries, occurring due to both contact and non-contact mechanisms, such as sudden deceleration, changes in direction, or landing after jumping, and leading to disruptions in knee stability and biomechanics. In the United States, it is estimated that there are between 100,000 and 200,000 cases annually, while the global incidence of ACL ruptures approaches 2 million cases per year. Treatment for ACL injuries can be either conservative or surgical. Conservative treatment is considered a viable option for specific populations, such as athletes who do not engage in activities requiring direction changes, individuals with no significant knee instability, and those with lower activity levels. ACL injuries result in quadriceps and hamstring weakness, reduced knee joint proprioception, and impaired balance. To restore the anatomy and biomechanics of the knee, arthroscopic ACL reconstruction is performed to stabilize the knee and prevent secondary injuries, with approximately 30,000 procedures conducted annually in the United Kingdom. Although comprehensive rehabilitation is a critical component of ACL injury management, whether treated conservatively or surgically, there is currently no gold standard rehabilitation approach for such a widespread injury. The type of rehabilitation protocol applied is one of the most significant factors influencing the outcomes of ACL reconstruction. Rehabilitation protocols have evolved substantially over the past few decades, with traditional rehabilitation, accelerated rehabilitation, and criterion-based rehabilitation protocols being the most commonly employed. These protocols aim to enhance muscle strength, improve proprioception, and ensure knee stabilization, with the timing and types of exercises determined by the biological healing and remodeling periods of the graft. Criterion-based rehabilitation protocols, a relatively new approach, aim to provide patient-specific rehabilitation and maximize progress. Developed in 2016 by the Royal Dutch Society for Physical Therapy (KNGF), this protocol is divided into three phases: early, mid, and late stages. To progress to the next stage, patients must meet specific goals for each phase, which are verified through objective and subjective testing. The effectiveness and quality of early and mid-stage rehabilitation significantly influence long-term outcomes. The goals of early-stage rehabilitation, lasting approximately two months, include reducing effusion, restoring joint range of motion, and minimizing muscle atrophy. During the mid-stage, which extends from the second to the sixth month, the focus shifts to achieving full control of knee extension, restoring 80% of the muscle strength in the operated limb compared to the uninjured side, and regaining jumping ability. This phase includes exercises such as knee flexor and extensor strengthening, closed kinetic chain exercises, functional exercises, balance training, plyometric exercises, and neuromuscular exercises. Neuromuscular control is essential for initiating movement and requires the integration of sensory information from proprioceptive, kinesthetic, visual, and vestibular sources, as well as cortical and spinal motor commands. This control is critical for the effective execution of movement. Recent studies indicate that ACL injuries are not isolated joint damages that merely affect stability and biomechanics but also directly influence neuromuscular control of the knee via mechanoreceptors located within the ACL. These injuries lead to neurophysiological effects on sensorimotor control. Following ACL injuries, these somatosensory changes may result in deficits in postural and motor control, leading to slower lower extremity reaction times. Additionally, nociceptive activity related to pain and swelling, combined with reduced joint position sense and kinesthesia, impairs movement quality. Neuromuscular control impairments, proprioceptive deficits, and disruptions in somatosensory inputs due to damaged mechanoreceptors may persist for 9-12 months, highlighting the need for targeted exercises during the mid-stage rehabilitation. The complex integration of vestibular, visual, and somatosensory inputs, necessary for situational awareness, enhanced alertness, and the ability to select between attentional resources, can promote the development of neurocognitive functions. Cognitive-based neuromuscular exercises aim to improve patients' reaction times, joint position sense, proprioceptive strength, and neurocognitive functions such as balance, while enhancing motor control and knee stability. An example of cognitive-based neuromuscular exercises is the Life Kinetik (LK) method, developed by Lutz in Germany in 2007. This method is used to promote neural learning, support neuroplasticity, and reduce neurological symptoms. During these exercises, visual or cognitive tasks are combined with physical activity to train the brain, aiming to enhance concentration, problem-solving skills, reflexes, balance, and coordination. These exercises involve performing multiple complex tasks that require active and continuous thinking during movements. The investigators hypothesize that the complex tasks involved in these exercises may positively influence reaction time, joint position sense, proprioceptive strength, and balance, which are impaired following ACL reconstruction. A review of the literature reveals that studies examining joint position sense, neurocognitive control, and reaction time in patients undergoing ACL reconstruction are limited. Furthermore, research investigating lower extremity reaction or detection time, resulting from disrupted somatosensory inputs after ACL injuries, is also scarce. While studies have been conducted on neuromuscular exercises in ACL rehabilitation programs, no research has been identified focusing on cognitive-based neuromuscular exercises. The lack of a gold standard rehabilitation method for ACL reconstruction in the literature has driven ongoing research into new treatment modalities and their effects. Recently, cognitive-based neuromuscular exercises have emerged as a promising method to enhance cognitive abilities, joint position sense, perceptual strength, and balance. This study is designed to investigate the effects of cognitive-based neuromuscular exercises on reaction time, joint position sense, proprioceptive force sense, and balance disorders observed in patients following anterior cruciate ligament (ACL) reconstruction. With the results obtained from this study, the investigators aim to provide a new perspective on rehabilitation approaches in ACL reconstruction, where no gold standard treatment exists, and contribute to the literature with objective and evidence-based data regarding the effects of cognitive-based neuromuscular exercises on sensorimotor, neuromuscular, and proprioceptive senses. Study Population and Sample The study will include individuals of both genders aged 20-40 years. Post-surgical patients will initially undergo an 8-week home-based rehabilitation program, as described by McNeil et al., with weekly monitoring to assess their progress. At the end of the 8th week, patients who meet the criteria for the early phase of a criterion-based rehabilitation approach will be included in the study. These participants will then follow an 8-week rehabilitation program, twice per week, adhering to the mid-phase criterion-based rehabilitation protocol. All rehabilitation sessions will be conducted in-person under the supervision of an experienced physiotherapist. Measurements will be performed before the rehabilitation and at the end of the 8-week program. The sample size was calculated using G\*Power 3.1, and a total of 27 participants were determined with 80% power. Data Collection Tools Demographic data, including age, gender, body weight, height, BMI, alcohol and smoking habits, injured limb, time between injury and surgery, and occupation, will be collected. Pain Measurement: Pain intensity will be assessed using the Numeric Pain Scale (0 = no pain, 10 = worst imaginable pain). Lower Extremity Reaction Time Measurement: FITLIGHT Corp, a wireless light-sensor system, will be used to measure reaction time. Participants will deactivate randomly lit sensors using the affected and unaffected lower extremities. Task variations will include cognitive dual tasks (e.g., counting backward by fives) and motor dual tasks (e.g., tossing and catching a ball) to assess dual-task performance. Joint Position Sense: Passive joint position sense will be evaluated using a joint repositioning task at 15Â° and 45Â° knee flexion, with measurements taken using the "Clinometer" smartphone application. Cognitive and motor tasks will also be incorporated. Proprioceptive Force Sense: Proprioceptive force sense will be assessed using the StabilizerTM biofeedback device. Participants will perform isometric contractions, and differences between targeted and actual force values will be recorded. Cognitive and motor dual tasks will also be included. Static Balance Test: Single-leg stance tests will evaluate static balance under open-eye conditions. Dual-task conditions will include verbal tasks (e.g., naming words starting with specific letters) and motor tasks (e.g., holding a tray with a cup of water). Activity Level: Pre-injury activity levels will be measured using the Tegner Activity Scale, which scores activity from 0 (no activity) to 10 (elite-level competition). IKDC Subjective Knee Form: Knee symptoms, function, and activity levels will be evaluated using the International Knee Documentation Committee (IKDC) Subjective Knee Evaluation Form. The total score ranges from 0 to 100, with higher scores indicating better function. Treatment Protocol Participants meeting progression criteria will undergo an 8-week mid-phase rehabilitation program (twice weekly). Patients will be randomly assigned to two groups: Group 1: Exercises performed without secondary tasks. Group 2: Exercises performed with cognitive or motor dual tasks (e.g., rhythmic counting, reverse spelling, ball manipulation). Example Exercises (Weeks 8-16): Quadriceps and hamstring strengthening exercises, Hip, lumbo-pelvic, and gastrocnemius-soleus strengthening, Closed kinetic chain exercises, Functional exercises (e.g., squats, lunges, leg press), Balance training (e.g., tandem walking, single-leg stance with open and closed eyes). Exercises will include 8-12 repetitions across 3 sets, ensuring optimal loading without over-stressing healing tissues. Pain and swelling will be closely monitored, with exercise intensity adjusted as necessary. Resistance will start at 40-50% of the unaffected limb's capacity and progress to 70-80%, depending on the patient's functional status.</t>
  </si>
  <si>
    <t>LNCT06755398</t>
  </si>
  <si>
    <t>https://clinicaltrials.gov/study/NCT06755398</t>
  </si>
  <si>
    <t>https://www.embase.com/search/results?subaction=viewrecord&amp;id=LNCT06755398&amp;from=export</t>
  </si>
  <si>
    <t>Comparison of Conservative Treatment With Blood Flow Restriction With Standard Management in Total ACL Rupture. "Randomized Clinical Trial"</t>
  </si>
  <si>
    <t>clinicaltrials.gov (2024). Date of Publication: 30 Nov 2024</t>
  </si>
  <si>
    <t>Brief SummaryThe goal of this randomised clinical trial is to evaluate the effects of exercise with blood flow restriction (BFR) in patients with a complete anterior cruciate ligament (ACL) rupture. The main questions it aims to answer are: 1. Does blood flow restriction adds any additional benefits to conservative treatment of the ACL? 2. Does bracing promotes spontaneous healing to the ACL Researchers will compare bracing and BFR to bracing and sham BFR to see if the intervention provides any additional benefits to the conservative management of this injury. Participants will: 1. Use a knee brace for 6 weeks with adjustments according to protocol 2. Follow and identical exercise plan with either BFR (intervention group) or BFR sham (control group) 3. Follow a home based exercise program.Detailed DescriptionMethodological design: For the purposes of the present study, a double-blind, two-arm randomised clinical trial will be conducted. Participants in the intervention group will undergo and exercise protocol with the use of blood flow restriction (BFR). Participants in control group will follow the same exercise protocol but with sham BFR instead. Both groups will follow the same brace protocol. Intervention group: The intervention group will consist of people with a recent ACL tear who meet the eligibility criteria. Participants in this group will follow a splint use protocol. In particular, during the first 3 weeks (phase 1) a splint will be used with the knee immobilised at 90Â°, non-weight bearing walking with the use of walking aids according to age and mobility. During the 4th and 5th week (phase 2) the range of motion of the splint will be set to 60Â° to 90Â° and from 30Â° to 90Â° respectively. Walking will remain non-weight bearing. During the 6th week (phase 3) the degree of freedom of the splint will be placed at 0Â° allowing full flexion but preventing hyperextension of the joint. During this phase, partial bearing is allowed with the use of a walking aid. From the 7th week (phase 4) onwards the splint is removed and walking is done with no loading restrictions. Regarding the exercise program, participants in this group, during phase 1, will perform isometric quadriceps and hamstring contractions guided by a visual stimulus from an electronic hand dynamometer. The exercise parameters will be 75 repetitions divided into 4 sets (30,15,15,15) at 30% of the 1st maximum of the opposite leg. During phase 2, the exercise protocol is maintained as phase 1 with the only differences that the exercises will be performed at 60 degrees too. Additionally, the "sliding" exercise will be added where the heel is dragged on the bed causing knee flexion as well as the skateboard sliding exercise from a seated position in the allowed range of motion. Exercise parameters remain the same for all exercises as previous phase. In the 3rd phase, single leg squats up to 45Â° are added. Exercise parameters remain the same. In the 4th phase, the exercise protocol changes. Subjects start at a stationary bike for 5 minutes (without BFR) and the quadriceps and hamstrings isometrics are replaced with resistance exercises for extension and knee flexion. Sliding and single-leg squats are performed at an increased range of flexion (up to 90Â°) and climbing a 30cm step is added. All exercise parameters remain the same as in the previous phases. During the last phase (5th) gait retraining on a treadmill for 5 minutes and Y balance exercise is added. Both of these exercises will be performed without BFR. The break between sets will be 30 seconds and between exercises 1 minute. The exercise program of the intervention group will be performed under lower extremity blood flow restriction. Cuff pressure will be reduced during the breaks. The execution speed of the exercises will be 2 seconds of contraction followed by 2 seconds of return. Hold in all isometric exercises will be 3 seconds. Initial measurements will be taken upon enrollment of participants and will include MRI, Lachman test, arthrometer, strength, swelling, Lysholm scale, Tegner scale, pain (Vas), exercise pain (Vas). By the end of 2nd and 4th week, strength, swelling and pain (Vas) will be reassessed. The final measurements will be taken at the end of the intervention period and will include all the measurements taken initially. The participants will be given a home-base exercise program through an electronic platform which will provide the possibility of monitoring their compliance. At the same time, through the platform, the correct execution of the exercises will be ensured as all the exercises will be presented with videos and specific exercise parameters. Control Group: The control group will perform an identical program of splinting, exercises, home exercises and measurements as the intervention group. The blood flow restriction protocol will be performed in an identical manner to the intervention group, with only difference being that variables setting will be set at a control program (sham).</t>
  </si>
  <si>
    <t>LNCT06727344</t>
  </si>
  <si>
    <t>https://clinicaltrials.gov/study/NCT06727344</t>
  </si>
  <si>
    <t>https://www.embase.com/search/results?subaction=viewrecord&amp;id=LNCT06727344&amp;from=export</t>
  </si>
  <si>
    <t>Mo I.F., Harlem T., Faleide A.G.H., Strand T., Vindfeld S., Solheim E., Inderhaug E.</t>
  </si>
  <si>
    <t>(Mo I.F.; Faleide A.G.H.; Vindfeld S.; Solheim E.; Inderhaug E.) University of Bergen, Bergen, Norway. , (Mo I.F.; Harlem T.; Faleide A.G.H.; Strand T.; Vindfeld S.; Inderhaug E.) Haraldsplass Deaconess Hospital, Bergen, Norway. , (Solheim E.) Aleris Hospital Nesttun Bergen, Bergen, Norway. , (Inderhaug E.) Haukeland University Hospital, Bergen, Norway.</t>
  </si>
  <si>
    <t>The American journal of sports medicine (2024) 52:8 (1927-1936). Date of Publication: 1 Jul 2024</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</si>
  <si>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 PURPOSE: To investigate differences between the all-inside (quadrupled semitendinosus) and traditional hamstring (double-stranded semitendinosus and gracilis) technique regarding (1) self-reported function, (2) hamstring strength, and (3) knee laxity. STUDY DESIGN: Randomized controlled trial; Level of evidence, 1. 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 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 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</si>
  <si>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L644457447</t>
  </si>
  <si>
    <t>http://dx.doi.org/10.1177/03635465241254048</t>
  </si>
  <si>
    <t>https://www.embase.com/search/results?subaction=viewrecord&amp;id=L644457447&amp;from=export</t>
  </si>
  <si>
    <t>https://catalyst.library.jhu.edu/openurl/01JHU_INST/01JHU_INST:JHU?sid=EMBASE&amp;sid=EMBASE&amp;issn=15523365&amp;id=doi:10.1177%2F03635465241254048&amp;atitle=ACL+Reconstruction+Using+Quadrupled+Semitendinosus+Versus+Double-Stranded+Semitendinosus+and+Gracilis+Autograft%3A+2-Year+Results+From+a+Prospective+Randomized+Controlled+Study&amp;stitle=Am+J+Sports+Med&amp;title=The+American+journal+of+sports+medicine&amp;volume=52&amp;issue=8&amp;spage=1927&amp;epage=1936&amp;aulast=Mo&amp;aufirst=Ingunn+Fleten&amp;auinit=I.F.&amp;aufull=Mo+I.F.&amp;coden=&amp;isbn=&amp;pages=1927-1936&amp;date=2024&amp;auinit1=I&amp;auinitm=F</t>
  </si>
  <si>
    <t>Early effectiveness of local injection of multimodal drug cocktail during anterior cruciate ligament reconstruction and its influence on cartilage</t>
  </si>
  <si>
    <t>Yu H., Dong Z., Shi Z., Li L., Dong K., Liu H., Li Y.</t>
  </si>
  <si>
    <t>(Yu H.; Shi Z.; Li L.; Dong K.; Liu H.; Li Y.) Department of Sports Medicine, First Affiliated Hospital of Kunming Medical University, Kunming Yunnan, China. , (Dong Z.) Department of Imaging, First Affiliated Hospital of Kunming Medical University, Kunming Yunnan, China.</t>
  </si>
  <si>
    <t>Zhongguo xiu fu chong jian wai ke za zhi = Zhongguo xiufu chongjian waike zazhi = Chinese journal of reparative and reconstructive surgery (2024) 38:5 (562-569). Date of Publication: 15 May 2024</t>
  </si>
  <si>
    <t>Zhongguo xiu fu chong jian wai ke za zhi = Zhongguo xiufu chongjian waike zazhi = Chinese journal of reparative and reconstructive surgery</t>
  </si>
  <si>
    <t>1002-1892</t>
  </si>
  <si>
    <t>Objective: To explore the early effectiveness and influence on cartilage of local injection of multimodal drug cocktail (MDC) during anterior cruciate ligament reconstruction (ACLR). Methods: Between February 2022 and August 2023, patients undergone arthroscopic ACLR using autologous hamstring tendons were selected as the study subjects. Among them, 90 patients met the selection criteria and were randomly divided into 3 groups ( n=30) according to the different injection drugs after ligament reconstruction. There was no significant difference in baseline data such as gender, age, body mass index, surgical side, disease duration, preoperative thigh circumference, and preoperative levels of tumor necrosis factor Î± (TNF-Î±), interleukin 6 (IL-6), IL-1, matrix metalloproteinase 3 (MMP-3), MMP-13, and aggrecan (ACAN) in synovial fluid between groups ( P&gt;0.05). After the ligament reconstruction during operation, corresponding MDC (consisting of ropivacaine, tranexamic acid, and betamethasone in group A, and ropivacaine, betamethasone, and saline in group B) or saline (group C) were injected into the joint and tendon site, respectively. The length of hospital stay, postoperative tramadol injection volume, incidence of complications, degree of knee joint swelling and range of motion, visual analogue scale (VAS) score, International Knee Documentation Committee (IKDC) score, Lyshlom score, and Hospital for Special Surgery (HSS) score were recorded and compared between groups. The T2 * values in different cartilage regions were detected by MRI examination and the levels of TNF-Î±, IL-6, IL-1, MMP-3, MMP-13, and ACAN in synovial fluid were detected by ELISA method. Results: The patients in group A, B, and C were followed up (12.53Â±3.24), (13.14Â±2.87), and (12.82Â±3.32) months, respectively. All incisions healed by first intention. Compared with group C, group A and group B had shorter length of hospital stay, less tramadol injection volume, and lower incidence of complications, showing significant differences ( P&lt;0.05); there was no significant difference between group A and group B ( P&gt;0.05). The degree of knee swelling in group A was significantly less than that in group B and group C ( P&lt;0.05), but there was no significant difference between group B and group C ( P&gt;0.05). At 3, 6, 12, 24, and 48 hours after operation, VAS scores of group A and group B were significantly lower than those of group C ( P&lt;0.05); at 72 hours after operation, there was no significant difference among the three groups ( P&gt;0.05). At 3 days, 14 days, and 1 month after operation, the range of motion of knee joint in group A were significantly better than those in group C ( P&lt;0.05), and there was no significant difference between the other groups ( P&gt;0.05). At 1 month after operation, the IKDC score of group A and group B was significantly higher than that of group C ( P&lt;0.05); there was no significant difference among the three groups at other time points ( P&gt;0.05). There was no significant difference in Lyshlom score and HSS score among the three groups at each time point ( P&gt;0.05). At 14 days after operation, the levels of IL-1 and IL-6 in the synovial fluid in groups A and B were significantly lower than those in group C ( P&lt;0.05). There was no significant difference in the levels of TNF-Î±, MMP-3, MMP-13, and ACAN between groups A and B ( P&gt;0.05). At 1 month after operation, there was no significant difference in the above indicators among the three groups ( P&gt;0.05). At 3, 6, and 12 months after operation, there was no significant difference in the T2 * values of different cartilage regions among the three groups ( P&gt;0.05). Conclusion: Injecting MDC (ropivacaine, tranexamic acid, betamethasone) into the joint and tendon site during ACLR can achieve good early effectiveness without significant impact on cartilage.</t>
  </si>
  <si>
    <t>betamethasone (378-44-9), collagenase 3 (175449-82-8), ropivacaine (84057-95-4), stromelysin (79955-99-0)</t>
  </si>
  <si>
    <t>Chinese</t>
  </si>
  <si>
    <t>L644280667</t>
  </si>
  <si>
    <t>http://dx.doi.org/10.7507/1002-1892.202402054</t>
  </si>
  <si>
    <t>https://www.embase.com/search/results?subaction=viewrecord&amp;id=L644280667&amp;from=export</t>
  </si>
  <si>
    <t>https://catalyst.library.jhu.edu/openurl/01JHU_INST/01JHU_INST:JHU?sid=EMBASE&amp;sid=EMBASE&amp;issn=10021892&amp;id=doi:10.7507%2F1002-1892.202402054&amp;atitle=Early+effectiveness+of+local+injection+of+multimodal+drug+cocktail+during+anterior+cruciate+ligament+reconstruction+and+its+influence+on+cartilage&amp;stitle=Zhongguo+Xiu+Fu+Chong+Jian+Wai+Ke+Za+Zhi&amp;title=Zhongguo+xiu+fu+chong+jian+wai+ke+za+zhi+%3D+Zhongguo+xiufu+chongjian+waike+zazhi+%3D+Chinese+journal+of+reparative+and+reconstructive+surgery&amp;volume=38&amp;issue=5&amp;spage=562&amp;epage=569&amp;aulast=Yu&amp;aufirst=Hong&amp;auinit=H.&amp;aufull=Yu+H.&amp;coden=&amp;isbn=&amp;pages=562-569&amp;date=2024&amp;auinit1=H&amp;auinitm=</t>
  </si>
  <si>
    <t>Ebert J.R., Calvert N.D., Radic R.</t>
  </si>
  <si>
    <t>(Ebert J.R.; Calvert N.D.) School of Human Sciences (Exercise and Sport Science), University of Western Australia, Perth, WA, Australia. , (Ebert J.R.) HFRC Rehabilitation Clinic, Perth, WA, Australia. , (Ebert J.R.; Calvert N.D.; Radic R.) Perth Orthopaedic &amp; Sports Medicine Research Institute, Perth, WA, Australia. , (Calvert N.D.; Radic R.) Department of Orthopaedics, Royal Perth Hospital, Perth, WA, Australia. , (Calvert N.D.; Radic R.) Perth Orthopaedic &amp; Sports Medicine Centre, Perth, WA, Australia. , (Radic R.) School of Medicine, University of Western Australia, Perth, WA, Australia.</t>
  </si>
  <si>
    <t>The American journal of sports medicine (2024) 52:3 (660-669). Date of Publication: 1 Mar 2024</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</si>
  <si>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</si>
  <si>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L643379605</t>
  </si>
  <si>
    <t>http://dx.doi.org/10.1177/03635465231222279</t>
  </si>
  <si>
    <t>https://www.embase.com/search/results?subaction=viewrecord&amp;id=L643379605&amp;from=export</t>
  </si>
  <si>
    <t>https://catalyst.library.jhu.edu/openurl/01JHU_INST/01JHU_INST:JHU?sid=EMBASE&amp;sid=EMBASE&amp;issn=15523365&amp;id=doi:10.1177%2F03635465231222279&amp;atitle=A+Prospective+Randomized+Controlled+Trial+Investigating+Quadriceps+Versus+Hamstring+Tendon+Autograft+in+Anterior+Cruciate+Ligament+Reconstruction&amp;stitle=Am+J+Sports+Med&amp;title=The+American+journal+of+sports+medicine&amp;volume=52&amp;issue=3&amp;spage=660&amp;epage=669&amp;aulast=Ebert&amp;aufirst=Jay+R.&amp;auinit=J.R.&amp;aufull=Ebert+J.R.&amp;coden=&amp;isbn=&amp;pages=660-669&amp;date=2024&amp;auinit1=J&amp;auinitm=R</t>
  </si>
  <si>
    <t>The Efficacy of Intra-articular Tranexamic Acid Injection With Different Drainage Clamping Time in Postoperative Bleeding and Pain After Arthroscopic Anterior Cruciate Ligament Reconstruction</t>
  </si>
  <si>
    <t>clinicaltrials.gov (2024). Date of Publication: 20 Feb 2024</t>
  </si>
  <si>
    <t>Brief SummaryPost-anterior cruciate ligament reconstruction (ACLR) hemarthrosis may result in increased pain thus delaying postoperative rehabilitation, which may eventually lead to arthrofibrosis and a functional deficit. Many antifibrinolytic agents, including tranexamic acid (TXA), have been used in orthopedic surgeries to reduce postoperative bleeding. Moreover, TXA was proved effective to reduced the events of hemarthrosis and increased the post-operative functional outcomes of the patients in several studies. The purpose of this study is to evaluate the efficacy of intra-articular injection of TXA with different drainage clamping time in patients receiving arthroscopic ACLRs. Patients were randomized into four groups. An intra-articular suction drain was placed recorded 24 h postoperatively. Group 1 patients(TXA 4hr group) received the index procedures with a 10 mL intra-articular injection of TXA and following drainage clamped 4 hours. Group 2 patients(TXA 8hr group) received the index procedures with a 10 mL intra-articular injection of TXA and following drainage clamped 8 hours. Clinical evaluations using an IKDC functional score and a Visual Analogue Scale (VAS) pain score were performed during admission, at postoperative day 3 and week 4.Detailed DescriptionSurgical technique All patients participating in this study received surgery by the same surgeon (H.L.M.) with spinal anesthesia. Pneumatic tourniquet was routinely utilized during the procedure. A 3-cm incision was made over the medial proximal tibia to harvest the semitendinosus and gracilis tendons from the distal insertion. The tendons were quadrupled and whipstitched with No. 2 and No. 5 Ethibond sutures (Ethicon, Somerville, NJ) as previously described.12 The folded tendons' diameters were measured using sizing cylinders with 0.5 mm incremental changes in size. The femoral sockets were created by drilling from the insertion site at the lateral femoral condyle through the anteromedial portal. The tibial tunnel was drilled with an Acufex guide (Smith \&amp; Nephew, Andover, MA). The diameters of the sockets were matched to the size of the folded graft. The grafts were fixed with bioscrews (BioRCI-HA; Smith \&amp; Nephew) at the femoral site and at the tibial site with the knee flexed at 30Â°. The screw and tunnel sizes were identical. Following the procedure, a Hemovac suction drain (Zimmer, Warsaw, IN) was placed at the superior-lateral aspect of the joint. Additionally, in the TXA group, 10 mL of TXA solution (100 mg/mL; Daiichi Sankyo, Tokyo, Japan) was injected into the joint, and all closed suction drains were clamped for 4, or 8 hours based on the grouping results. Clinical evaluation Postoperative drainage output is the primary outcome of this study. The drain tubes were routinely removed postoperatively once the volume of drainage decreased, of which the total volume was recorded. The secondary outcomes included visual analog scale (VAS) and International Knee Documentation Committee (IKDC) functional score. The former was documented immediately after patients were transferred back to the ward from the post-anesthesia recovery room, on day 3 and at week 4 after surgery. Besides, the maximum of postoperative VAS score during admission was also documented. IKDC functional score was a subjective questionnaire including three categories with symptoms, athletic activity, and knee function. Higher score indicated better function with highest score of 10 and lowest of 0. All the objective measurements followed at postoperative 4 week were evaluated by an independent observer who was blinded to this study at the outpatient clinic. Statical analysis The power calculation was calculated using the G\*Power software (version 3.1; Heinrich-Heine-UniversitÃ¤t DÃ¼sseldorf, DÃ¼sseldorf, Germany). The volume of drainage between groups from our previous study was used as the primary variable. With a power of 0.8 and a significance level of .05, a total of 49 patients were required for each group. Oversampling of patients in each group was performed due to potential withdrawals and losses to follow-up. All data are expressed as mean and 95% confidence interval or standard deviation. The amounts of drainage and the functional scores were compared among four groups with Analysis of Variance(ANOVA) with post-hoc Tukey Honestly Significant Difference test. All statistical analyses were conducted using SPSS software (version 22.0, IBM, Armonk, NY). Differences were considered significant at P \&lt; 0.05.</t>
  </si>
  <si>
    <t>LNCT06280456</t>
  </si>
  <si>
    <t>https://clinicaltrials.gov/study/NCT06280456</t>
  </si>
  <si>
    <t>https://www.embase.com/search/results?subaction=viewrecord&amp;id=LNCT06280456&amp;from=export</t>
  </si>
  <si>
    <t>Rezansoff A., Firth A.D., Bryant D.M., Litchfield R., Getgood A.M.J., Bryant D.M., Litchfield R., Getgood A.M.J., Bryant D.M., McCormack R.G., McCormack R.G., Heard M., MacDonald P.B., MacDonald P.B., Spalding T., Verdonk P.C.M., Verdonk P.C.M., Bardana D., Peterson D., Bardana D.,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t>
  </si>
  <si>
    <t>(Rezansoff A.) University of Calgary Sport Medicine Centre, Calgary, Canada. , (Firth A.D.) Health and Rehabilitation Sciences, Faculty of Health Sciences, Western University, London, Canada. , (Bryant D.M.; Litchfield R.; Getgood A.M.J., agetgoo@uwo.ca) Fowler Kennedy Sport Medicine Clinic, London, Canada. , (Bryant D.M.; Litchfield R.; Getgood A.M.J., agetgoo@uwo.ca) Department of Surgery, Schulich School of Medicine and Dentistry, Western University, London, Canada. , (Bryant D.M.) School of Physical Therapy, Western University, London, Canada. , (McCormack R.G.) Department of Orthopedics, University of British Columbia, Vancouver, Canada. , (McCormack R.G.) New West Orthopaedic &amp; Sports Medicine Centre, New Westminster, Canada. , (Heard M.) Department of Surgery, University of Calgary, Calgary, Canada. , (Heard M.) Banff Sport Medicine, Banff, Canada. , (MacDonald P.B.) Department of Surgery, University of Manitoba, Winnipeg, Canada. , (MacDonald P.B.) Pan Am Clinic, Winnipeg, Canada. , (Spalding T.) University Hospitals Coventry and Warwickshire National Health Service Trust, Coventry, United Kingdom. , (Verdonk P.C.M.) Department of Physical Medicine and Orthopedics, Ghent University, Ghent, Belgium. , (Verdonk P.C.M.) Antwerp Orthopedic Center, Antwerp, Belgium. , (Bardana D.) Department of Surgery, McMaster University, Hamilton, Canada. , (Peterson D.; Bardana D.) Department of Surgery, Queen's University, Kingston, Canada. , (Heard M.; Getgood A.M.J.; Bryant D.M.; Litchfield R.; Willits K.; Birmingham T.; Hewison C.; Firth A.D.; Pinto R.; Martindale A.; O'Neill L.; Jennings M.; Daniluk M.; McCormack R.G.; Boyer D.; Zomar M.; Buchko G.M.; Hiemstra L.A.; Kerslake S.; Tynedal J.; MacDonald P.B.; Stranges G.; McRae S.; Brown H.; Rezansoff A.; Mohtadi N.; Chan D.; Garven A.; Peterson D.; Simunovic N.; Duong A.; Skelly M.; Shanmugaraj A.; Bardana D.; Howells F.; Spalding T.; Thompson P.; Metcalfe A.; Verdonk P.C.M.; Declerq G.) , ()</t>
  </si>
  <si>
    <t>A.M.J. Getgood, Fowler Kennedy Sport Medicine Clinic, 3M Building, Western University, 1151 Richmond Street, London, ON, Canada. Email: agetgoo@uwo.ca</t>
  </si>
  <si>
    <t>Arthroscopy - Journal of Arthroscopic and Related Surgery (2024) 40:2 (384-396.e1). Date of Publication: 1 Feb 2024</t>
  </si>
  <si>
    <t>Purpose: To determine whether the addition of lateral extra-articular tenodesis (LET) to anterior cruciate ligament reconstruction (ACLR) would improve return-to-sport (RTS) rates in young, active patients who play high-risk sports. Methods: This multicenter randomized controlled trial compared standard hamstring tendon ACLR with combined ACLR and LET using a strip of the iliotibial band (modified Lemaire technique). Patients aged 25 years or younger with an anterior cruciate ligamentâ€“deficient knee were included. Patients also had to meet 2 of the following criteria: (1) pivot-shift grade 2 or greater, (2) participation in a high-risk or pivoting sport, and (3) generalized ligamentous laxity. Time to return and level of RTS were determined via administration of a questionnaire at 24 months postoperatively. Results: We randomized 618 patients in this study, 553 of whom played high-risk sports preoperatively. The proportion of patients who did not RTS was similar between the ACLR (11%) and ACLR-LET (14%) groups; however, the graft rupture rate was significantly different (11.2% in ACLR group vs 4.1% in ACLR-LET group, P =.004). The most cited reason for no RTS was lack of confidence and/or fear of reinjury. A stable knee was associated with nearly 2 times greater odds of returning to a high-level high-risk sport postoperatively (odds ratio, 1.92; 95% confidence interval, 1.11-3.35; P =.02). There were no significant differences in patient-reported functional outcomes or hop test results between groups (P &gt;.05). Patients who returned to high-risk sports had better hamstring symmetry than those who did not RTS (P =.001). Conclusions: At 24 months postoperatively, patients who underwent ACLR plus LET had a similar RTS rate to those who underwent ACLR alone. Although the subgroup analysis did not show a statistically significant increase in RTS with the addition of LET, on returning, the addition of LET kept subjects playing longer by reducing graft failure rates. Level of Evidence: Level I, randomized controlled trial.</t>
  </si>
  <si>
    <t>ClinicalTrials.gov (NCT02018354)</t>
  </si>
  <si>
    <t>L2027200698</t>
  </si>
  <si>
    <t>http://dx.doi.org/10.1016/j.arthro.2023.05.019</t>
  </si>
  <si>
    <t>https://www.embase.com/search/results?subaction=viewrecord&amp;id=L2027200698&amp;from=export</t>
  </si>
  <si>
    <t>https://catalyst.library.jhu.edu/openurl/01JHU_INST/01JHU_INST:JHU?sid=EMBASE&amp;sid=EMBASE&amp;issn=15263231&amp;id=doi:10.1016%2Fj.arthro.2023.05.019&amp;atitle=Anterior+Cruciate+Ligament+Reconstruction+Plus+Lateral+Extra-articular+Tenodesis+Has+a+Similar+Return-to-Sport+Rate+to+Anterior+Cruciate+Ligament+Reconstruction+Alone+but+a+Lower+Failure+Rate&amp;stitle=Arthroscopy+J.+Arthroscopic+Relat.+Surg.&amp;title=Arthroscopy+-+Journal+of+Arthroscopic+and+Related+Surgery&amp;volume=40&amp;issue=2&amp;spage=384&amp;epage=396.e1&amp;aulast=Rezansoff&amp;aufirst=Alex&amp;auinit=A.&amp;aufull=Rezansoff+A.&amp;coden=ARTHE&amp;isbn=&amp;pages=384-396.e1&amp;date=2024&amp;auinit1=A&amp;auinitm=</t>
  </si>
  <si>
    <t>Tang N., Eren M., Gurpinar T., Ozturkmen Y.</t>
  </si>
  <si>
    <t>(Tang N., nesettang@gmail.com) Department of Orthopedics and Traumatology, Istanbul Bakirkoy Training and Research Hospital, Tevfik Saglam St. Number 11, Bakirkoy/Istanbul, Turkey. , (Eren M.; Ozturkmen Y.) Department of Orthopedics and Traumatology, Istanbul Training and Research Hospital, Istanbul, Turkey. , (Gurpinar T.) Joondalup Orthopaedic Group, Joondalup, WA, Australia.</t>
  </si>
  <si>
    <t>N. Tang, Department of Orthopedics and Traumatology, Istanbul Bakirkoy Training and Research Hospital, Tevfik Saglam St. Number 11, Bakirkoy/Istanbul, Turkey. Email: nesettang@gmail.com</t>
  </si>
  <si>
    <t>European Journal of Orthopaedic Surgery and Traumatology (2024) 34:1 (293-301). Date of Publication: 1 Jan 2024</t>
  </si>
  <si>
    <t>European Journal of Orthopaedic Surgery and Traumatology</t>
  </si>
  <si>
    <t>1432-1068 (electronic),1633-8065</t>
  </si>
  <si>
    <t>Introduction: 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 Methods: Between June 2018 and December 2019, 46 patients were enrolled in the study and randomly assigned to one of two groups for the ACL reconstruction surgeryâ€”the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Patientsâ€™ scores on the International Knee Documentation Committee (IKDC) evaluation form and the Lysholm Knee Scoring Scale were used to evaluate patient-reported outcomes. The two groups were also compared in terms of postoperative complications and activity levels. Results: 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Â± 6.99 and 87.12 Â±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 Conclusion: 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 Level of Evidence I It is a randomized controlled trial.</t>
  </si>
  <si>
    <t>L2024539214</t>
  </si>
  <si>
    <t>http://dx.doi.org/10.1007/s00590-023-03636-5</t>
  </si>
  <si>
    <t>https://www.embase.com/search/results?subaction=viewrecord&amp;id=L2024539214&amp;from=export</t>
  </si>
  <si>
    <t>https://catalyst.library.jhu.edu/openurl/01JHU_INST/01JHU_INST:JHU?sid=EMBASE&amp;sid=EMBASE&amp;issn=14321068&amp;id=doi:10.1007%2Fs00590-023-03636-5&amp;atitle=A+prospective+randomized+controlled+study+of+hamstring+and+bone-free+quadriceps+tendons+autografts+in+arthroscopic+ACL+reconstruction&amp;stitle=Eur.+J.+Orthop.+Surg.+Traumatol.&amp;title=European+Journal+of+Orthopaedic+Surgery+and+Traumatology&amp;volume=34&amp;issue=1&amp;spage=293&amp;epage=301&amp;aulast=Tang&amp;aufirst=Neset&amp;auinit=N.&amp;aufull=Tang+N.&amp;coden=EJOTF&amp;isbn=&amp;pages=293-301&amp;date=2024&amp;auinit1=N&amp;auinitm=</t>
  </si>
  <si>
    <t>Comparative Study Between Functional Outcome of Knee with ACL Recontruction Using Hamstring Graft vs Peroneus longus Graft</t>
  </si>
  <si>
    <t>Siddique M.S., Chhutani D., Vatsa A.</t>
  </si>
  <si>
    <t>(Siddique M.S.) Apollomedics Hospital, Lucknow, India. , (Siddique M.S.; Chhutani D.) DNB Orthopaedic Surgery, MNAMS, India. , (Vatsa A.) Apollomedics Hospital Lucknow, DNB Orthopaedic surgery, India. , (Chhutani D.) MGM Medical College, M.P., Indore, India.</t>
  </si>
  <si>
    <t>D. Chhutani, Apollomedics Hospital, Lucknow, India.</t>
  </si>
  <si>
    <t>Research Journal of Medical Sciences (2024) 18:3 (254-259). Date of Publication: 2024</t>
  </si>
  <si>
    <t>Research Journal of Medical Sciences</t>
  </si>
  <si>
    <t>1993-6095 (electronic),1815-9346</t>
  </si>
  <si>
    <t>MAK Hill Publications</t>
  </si>
  <si>
    <t>Anterior cruciate ligament (ACL) reconstruction is a crucial procedure for managing ACL deficiency, with various autograft options available. Recent interest has focused on the peroneus longus tendon (PLT) as a potential alternative to hamstring tendons (HT) due to its biomechanical properties and potential advantages. However, comparative studies assessing functional outcomes between PLT and HT in ACLR are lacking. We conducted a crossâ€_x0090_sectional study involving 60 ACL injury cases treated with ACL reconstruction using either hamstring or peroneus longus tendon grafts. Patient selection was randomized, and assessments included preoperative planning, surgery under spinal or combined spinalâ€_x0090_epidural anesthesia, and postoperative rehabilitation protocols. Functional scores were assessed using the Lysholm Knee Score and IKDC Score at various followâ€_x0090_up intervals. Both groups showed favorable outcomes in terms of knee stability and functional scores. There were no statistically significant differences in Lysholm and IKDC scores between the two groups at any time point during the followâ€_x0090_up period. Additionally, postoperative complications did not significantly differ between the groups. The study findings suggest that ACL reconstruction using peroneus longus tendon autografts yields comparable outcomes to hamstring tendon autografts in terms of knee stability and functional scores. The use of peroneus longus tendon grafts may offer advantages such as larger size, satisfactory ankle function preservation and avoidance of potential complications associated with hamstring graft harvesting. Thus, peroneus longus tendon autografts could be considered a safe and viable option for ACL reconstruction, particularly in specific patient populations showing a preference for this approach.</t>
  </si>
  <si>
    <t>L2035509225</t>
  </si>
  <si>
    <t>10.59218/makrjms.2024.3.254.259</t>
  </si>
  <si>
    <t>http://dx.doi.org/10.59218/makrjms.2024.3.254.259</t>
  </si>
  <si>
    <t>https://www.embase.com/search/results?subaction=viewrecord&amp;id=L2035509225&amp;from=export</t>
  </si>
  <si>
    <t>https://catalyst.library.jhu.edu/openurl/01JHU_INST/01JHU_INST:JHU?sid=EMBASE&amp;sid=EMBASE&amp;issn=19936095&amp;id=doi:10.59218%2Fmakrjms.2024.3.254.259&amp;atitle=Comparative+Study+Between+Functional+Outcome+of+Knee+with+ACL+Recontruction+Using+Hamstring+Graft+vs+Peroneus+longus+Graft&amp;stitle=Res.+J.+Med.+Sci.&amp;title=Research+Journal+of+Medical+Sciences&amp;volume=18&amp;issue=3&amp;spage=254&amp;epage=259&amp;aulast=Siddique&amp;aufirst=Mohammed+Sohail&amp;auinit=M.S.&amp;aufull=Siddique+M.S.&amp;coden=&amp;isbn=&amp;pages=254-259&amp;date=2024&amp;auinit1=M&amp;auinitm=S</t>
  </si>
  <si>
    <t>Zarzycki R., Cummer K., Arhos E., Failla M., Capin J.J., Smith A.H., Snyder-Mackler L.</t>
  </si>
  <si>
    <t>(Zarzycki R.) Department of Physical Therapy, Arcadia University, Glenside, PA, United States. , (Cummer K.) Division of Physical Therapy, Department of Rehabilitation Medicine, University of Washington, Seattle, WA, United States. , (Arhos E.; Snyder-Mackler L.) Biomechanics and Movement Science, University of Delaware, Newark, DE, United States. , (Arhos E.; Smith A.H.; Snyder-Mackler L.) Physical Therapy, University of Delaware, Newark, DE, United States. , (Failla M.) Rehabilitation and Movement Science, University of Vermont Burlington, VT, United States. , (Capin J.J.) Department of Physical Therapy, Marquette University, Milwaukee, WI, United States. , (Capin J.J.) Clinical and Translational Institute, Medical College of Wisconsin, Milwaukee, WI, United States.</t>
  </si>
  <si>
    <t>Sports health (2024) 16:1 (149-154). Date of Publication: 1 Jan 2024</t>
  </si>
  <si>
    <t>Sports health</t>
  </si>
  <si>
    <t>1941-0921 (electronic)</t>
  </si>
  <si>
    <t>BACKGROUND: Approximately 1 in 4 athletes returning to sports will sustain a second anterior cruciate ligament (ACL) injury. Psychological factors related to kinesiophobia, confidence, and psychological readiness are associated with second ACL injury; however, the evidence is conflicting. HYPOTHESIS: Athletes who sustain a second ACL injury (ie, graft rupture or contralateral ACL rupture) within 2 years of ACL reconstruction (ACLR) would have greater kinesiophobia, less confidence, and lower psychological readiness prior to return to sport (RTS) compared with athletes who do not sustain a second ACL injury. STUDY DESIGN: Secondary analysis of a prospective randomized trial.Level 3. METHODS: A total of 39 female Level I/II athletes completed the following measures after postoperative rehabilitation and a 10-session RTS and second ACL injury prevention program: ACL Return to Sport after Injury (ACL-RSI) scale, the 11-item Tampa Scale of Kinesiophobia (TSK-11), and question 3 on the Knee injury and Osteoarthritis Outcome Score (KOOS) quality of life (QoL) subscale. Athletes were dichotomized based on whether they sustained a second ACL injury within 2 years of ACLR or not. Independent t tests determined group differences in TSK-11, KOOS-QoL, ACL-RSI, and the 3 individual components of the ACL-RSI (ie, emotions, confidence, risk appraisal). RESULTS: Nine athletes sustained a second ACL injury (4 graft ruptures and 5 contralateral ACL ruptures). The group that sustained a second ACL injury had higher scores on the ACL-RSI (P = 0.03), higher on the risk appraisal questions of the ACL-RSI (P &lt; 0.01), and met RTS criteria sooner than athletes who did not (P = 0.04). All second ACL injuries occurred in athletes who underwent primary ACLR with hamstring tendon autografts. CONCLUSION: Athletes who sustained a second ACL within 2 years of ACLR had a more positive psychological outlook, higher scores on the specific questions related to the risk appraisal construct of the ACL-RSI, and met RTS criteria sooner than athletes who did not sustain a second ACL injury. CLINICAL RELEVANCE: Counseling athletes about delaying RTS to reduce the risk of second ACL injury may be especially important in athletes who display high psychological readiness and meet RTS criteria sooner.</t>
  </si>
  <si>
    <t>L640825410</t>
  </si>
  <si>
    <t>http://dx.doi.org/10.1177/19417381231155120</t>
  </si>
  <si>
    <t>https://www.embase.com/search/results?subaction=viewrecord&amp;id=L640825410&amp;from=export</t>
  </si>
  <si>
    <t>https://catalyst.library.jhu.edu/openurl/01JHU_INST/01JHU_INST:JHU?sid=EMBASE&amp;sid=EMBASE&amp;issn=19410921&amp;id=doi:10.1177%2F19417381231155120&amp;atitle=Female+Athletes+With+Better+Psychological+Readiness+Are+at+Higher+Risk+for+Second+ACL+Injury+After+Primary+ACL+Reconstruction&amp;stitle=Sports+Health&amp;title=Sports+health&amp;volume=16&amp;issue=1&amp;spage=149&amp;epage=154&amp;aulast=Zarzycki&amp;aufirst=Ryan&amp;auinit=R.&amp;aufull=Zarzycki+R.&amp;coden=&amp;isbn=&amp;pages=149-154&amp;date=2024&amp;auinit1=R&amp;auinitm=</t>
  </si>
  <si>
    <t>Ma W., Yang Y., Ha X.</t>
  </si>
  <si>
    <t>(Ma W.; Yang Y.) Department of Orthopaedics, Liaocheng People's Hospital, No. 67, Shandong Province, Dongchang west Road, China. , (Ha X.) Department of Electromyogram, Liaocheng People's Hospital, No. 67, Shandong Province, Dongchang west Road, China.</t>
  </si>
  <si>
    <t>BMC surgery (2023) 23:1 (371). Date of Publication: 8 Dec 2023</t>
  </si>
  <si>
    <t>BMC surgery</t>
  </si>
  <si>
    <t>1471-2482 (electronic)</t>
  </si>
  <si>
    <t>OBJECTIVE: The purpose of this study was to evaluate the clinical outcomes of two-stage reconstruction (peripheral reconstruction in phase I and central anterior cruciate ligament (ACL) / posterior cruciate ligament (PCL) reconstruction in phase II) with remnant preservation for patients with knee dislocation. METHODS: A total of 70 patients (10 IIIM, 17 IIIL, and 43 IV) with knee dislocation were randomly divided into the remnant-preserved group and the simple reconstruction group. Patients underwent two-stage reconstruction, including the reconstruction of collateral ligament in phase I and the reconstruction of ACL/PCL in phase II (12 weeks after phase I). Grafts were harvested from the semitendinosus and gracilis tendons from both lower limbs. After the surgery, the joint flexion and extension, bone tunnel and ligament healing, and joint stability were evaluated. RESULTS: After the surgery, the lateral stability recovered in all patients, and X-ray revealed a good position of bone tunnel. Follow-up was performed at 12 months postoperatively and ranged from 24 to 91 months. At the final follow-up, knee flexion angle, IKDC, Lysholm, and Tegner scores were all higher in both groups compared to the preoperative period. Notably, the remnant-preserved group showed superior results in these parameters compared to the simple reconstruction group. There was statistical significance between the two groups in terms of the Lachman test. CONCLUSION: The knee function was well recovered after two-stage ligament reconstruction with remnant preservation.</t>
  </si>
  <si>
    <t>L642991335</t>
  </si>
  <si>
    <t>http://dx.doi.org/10.1186/s12893-023-02271-5</t>
  </si>
  <si>
    <t>https://www.embase.com/search/results?subaction=viewrecord&amp;id=L642991335&amp;from=export</t>
  </si>
  <si>
    <t>https://catalyst.library.jhu.edu/openurl/01JHU_INST/01JHU_INST:JHU?sid=EMBASE&amp;sid=EMBASE&amp;issn=14712482&amp;id=doi:10.1186%2Fs12893-023-02271-5&amp;atitle=Two-stage+ligament+reconstruction+with+remnant+preservation+as+treatment+of+knee+dislocation&amp;stitle=BMC+Surg&amp;title=BMC+surgery&amp;volume=23&amp;issue=1&amp;spage=371&amp;epage=&amp;aulast=Ma&amp;aufirst=Wenpu&amp;auinit=W.&amp;aufull=Ma+W.&amp;coden=&amp;isbn=&amp;pages=371-&amp;date=2023&amp;auinit1=W&amp;auinitm=</t>
  </si>
  <si>
    <t>Earlier Return to Sports, Reduced Donor-Site Morbidity with Doubled Peroneus Longus Versus Quadrupled Hamstring Tendon Autograft in ACL Reconstruction</t>
  </si>
  <si>
    <t>Saeed U.B., Ramzan A., Anwar M., Tariq H., Tariq H., Yasin A., Mehmood T.</t>
  </si>
  <si>
    <t>(Saeed U.B., doctorsaeed29@gmail.com) Department of Orthopedic Surgery, Abwa Medical College, Punjab, Faisalabad, Pakistan. , (Ramzan A., asadramzan61@yahoo.com) Shalamar Medical and Dental College, Punjab, Lahore, Pakistan. , (Anwar M., marryamanwar678@gmail.com) Noorda College of Osteopathic Medicine, Provo, UT, United States. , (Tariq H., hamza-tariq@live.com; Tariq H., zamanpark60@gmail.com) Allied Hospital, Faisalabad Medical University, Punjab, Faisalabad, Pakistan. , (Yasin A., jinnah414@gmail.com) Yasin Memorial Hospital, Punjab, Faisalabad, Pakistan. , (Mehmood T., tariq-ort@hotmail.com) Tariq Trauma Center, Punjab, Faisalabad, Pakistan.</t>
  </si>
  <si>
    <t>A. Ramzan, Shalamar Medical and Dental College, Punjab, Lahore, Pakistan. Email: asadramzan61@yahoo.com</t>
  </si>
  <si>
    <t>JBJS Open Access (2023) 8:4 Article Number: 00051. Date of Publication: 6 Dec 2023</t>
  </si>
  <si>
    <t>JBJS Open Access</t>
  </si>
  <si>
    <t>2472-7245 (electronic)</t>
  </si>
  <si>
    <t>Lippincott Williams and Wilkins</t>
  </si>
  <si>
    <t>Background:Graft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 See Instructions for Authors for a complete description of levels of evidence.</t>
  </si>
  <si>
    <t>L2029140011</t>
  </si>
  <si>
    <t>10.2106/JBJS.OA.23.00051</t>
  </si>
  <si>
    <t>http://dx.doi.org/10.2106/JBJS.OA.23.00051</t>
  </si>
  <si>
    <t>https://www.embase.com/search/results?subaction=viewrecord&amp;id=L2029140011&amp;from=export</t>
  </si>
  <si>
    <t>https://catalyst.library.jhu.edu/openurl/01JHU_INST/01JHU_INST:JHU?sid=EMBASE&amp;sid=EMBASE&amp;issn=24727245&amp;id=doi:10.2106%2FJBJS.OA.23.00051&amp;atitle=Earlier+Return+to+Sports%2C+Reduced+Donor-Site+Morbidity+with+Doubled+Peroneus+Longus+Versus+Quadrupled+Hamstring+Tendon+Autograft+in+ACL+Reconstruction&amp;stitle=JBJS+Open+Access&amp;title=JBJS+Open+Access&amp;volume=8&amp;issue=4&amp;spage=&amp;epage=&amp;aulast=Saeed&amp;aufirst=Usama+Bin&amp;auinit=U.B.&amp;aufull=Saeed+U.B.&amp;coden=&amp;isbn=&amp;pages=-&amp;date=2023&amp;auinit1=U&amp;auinitm=B</t>
  </si>
  <si>
    <t>ARAVET : Antero-lateral Ligament Reconstruction Versus Modified Lemaire's Lateral Extra-articular Tenodesis in Combination With ACL Reconstruction With a Minimum Follow up of 2 Years: a Randomized Controlled Trial</t>
  </si>
  <si>
    <t>clinicaltrials.gov (2023). Date of Publication: 17 Nov 2023</t>
  </si>
  <si>
    <t>Brief SummaryAnterior cruciate ligament (ACL) tears are associated with concomitant lesions of the anterolateral ligament (ALL), which increase rotatory instability of the knee. If untreated, ALL insufficiency can compromise the results of ACL reconstruction, with higher risk of iterative ACL tear or additional meniscal lesion. Several surgical techniques have been described to reconstruct the ALL. Indications are increasingly frequent and actually, consensus being young patients, patients practising pivot sports, significant rotational laxity on clinical examination with a positive pivot shift test, or in cases of iterative surgery. To date, the two most popular techniques are the Lemaire technique (use of a fascia lata strip) and LAL reconstruction plasty (use of part of an accessory hamstring tendon). The older Lemaire procedure, popularized in the 1980s has proved its efficiency in terms of biomechanics, safety and reproducibility. More recently, following a new, precise anatomical description, anterolateral ligament plasty (ALL) has been developed, which is intended to be more anatomical than Lemaire's technique, but whose clinical superiority has not yet been demonstrated. Both techniques are currently used in our department, with the choice of technique left to the surgeon's discretion. To date, no randomized prospective study has demonstrated the clinical superiority of one technique over the other with a long term follow up. The aim of this study was to compare graft survival of ALL reconstruction versus modified Lemaire LET in combination with ACL reconstruction with a minimum follow up of 2 years. Secondary aim was to compare functional outcomes between both groups.</t>
  </si>
  <si>
    <t>LNCT06147427</t>
  </si>
  <si>
    <t>https://clinicaltrials.gov/study/NCT06147427</t>
  </si>
  <si>
    <t>https://www.embase.com/search/results?subaction=viewrecord&amp;id=LNCT06147427&amp;from=export</t>
  </si>
  <si>
    <t>Chen J., Wu T., Guo Y.</t>
  </si>
  <si>
    <t>(Chen J.) Hunan Mechanical Electrical Polytechnic, Changsha, Hunan, China. , (Wu T., wutianyubsu@163.com) Beijing Sport University, Beijing, China. , (Wu T., wutianyubsu@163.com) People's Liberation Army Joint Logistic Support Force Sanya Rehabilitation and Recuperation Center, Sanya, Hainan, China. , (Guo Y.) Qiongzhong People's Hospital of Li and Miao Autonomous Country, Qiongzhong County, Hainan, China.</t>
  </si>
  <si>
    <t>Scientific reports (2023) 13:1 (19039). Date of Publication: 3 Nov 2023</t>
  </si>
  <si>
    <t>Scientific reports</t>
  </si>
  <si>
    <t>2045-2322 (electronic)</t>
  </si>
  <si>
    <t>To study the effect of using Nordic hamstring exercise method on muscle strength and knee joint stability of patients after ACL reconstruction. 60 patients admitted to our hospital for ACL reconstruction were randomly divided into a test group (n = 30, applying Nordic hamstring exercise) and a control group (n = 30, applying conventional rehabilitation training methods), and the difference in the circumference of the thighs of the patients in the two groups was analysed after training, and the peak torque (PT), total torque (PT), and flexion and extension strength were measured by using the Biodex system3 Multi-joint Isokinetic Testing System at knee joints with an angular velocity of 60Â°/s and 120Â°/s. The peak torque (PT), total work (TW), and average peak torque (AVG PT) were measured by extension and flexion strength at angular velocity, and the Lysholm Knee Score was used to assess the knee function of 60 patients. There was no difference in the difference in thigh circumference between the two groups before surgery (P &gt; 0.05); the difference in thigh circumference between the patients in the test group at 12 and 24 weeks after surgery was (- 0.35 Â± 0.22) cm and (0.12 Â± 0.03) cm, respectively, which were higher than those in the control group, (- 0.51 Â± 0.15) cm and (- 0.41 Â± 0.34) cm (P &lt; 0.05). At the 12th and 24th postoperative weeks, the popliteal muscle strength of both groups was improved compared with that before surgery; among them, by comparing the popliteal peak moments with different angular velocities, the ratio of popliteal peak moment on the affected side/peak moment on the healthy side of the popliteal muscle of the experimental group was significantly higher than that of the control group, and the difference was significant (P &lt; 0.05), but there was still a gap compared with that of the healthy side. The Lachmen test and the anterior drawer test were negative in the test and control groups at the 24th postoperative week of review, and the anterior tibial shift was &lt; 5 mm in the KT-1000 test, and the difference in the anterior shift was &lt; 3 mm compared with the healthy side, and there was no significant difference between the two groups. By Nordic hamstring exercise can make patients after knee ACL reconstruction reduce patient pain, accelerate the recovery of knee function, improve the swelling of the lower limb, reach the level of flexor strength of the healthy side within 24 weeks, and can increase the stability of the knee joint.</t>
  </si>
  <si>
    <t>L642688422</t>
  </si>
  <si>
    <t>http://dx.doi.org/10.1038/s41598-023-45817-6</t>
  </si>
  <si>
    <t>https://www.embase.com/search/results?subaction=viewrecord&amp;id=L642688422&amp;from=export</t>
  </si>
  <si>
    <t>https://catalyst.library.jhu.edu/openurl/01JHU_INST/01JHU_INST:JHU?sid=EMBASE&amp;sid=EMBASE&amp;issn=20452322&amp;id=doi:10.1038%2Fs41598-023-45817-6&amp;atitle=Nordic+hamstring+exercises+in+functional+knee+rehabilitation+after+anterior+cruciate+ligament+reconstruction%3A+a+prospective%2C+randomised%2C+controlled+study&amp;stitle=Sci+Rep&amp;title=Scientific+reports&amp;volume=13&amp;issue=1&amp;spage=19039&amp;epage=&amp;aulast=Chen&amp;aufirst=JiaWei&amp;auinit=J.&amp;aufull=Chen+J.&amp;coden=&amp;isbn=&amp;pages=19039-&amp;date=2023&amp;auinit1=J&amp;auinitm=</t>
  </si>
  <si>
    <t>Mousavi S.H., Radi M., Kazemi D., Izadpanah F., Shahrouzian A.</t>
  </si>
  <si>
    <t>(Mousavi S.H.; Radi M.; Kazemi D., kazemi.kums@gmail.com; Shahrouzian A.) Orthopedics Department, Isfahan University of Medical Sciences, Isfahan, Iran. , (Izadpanah F.) Food and Drug Laboratory Research Center and Food and Drug Reference Control Laboratories Center, Food and Drug Administration of Iran, MOH &amp; ME, Tehran, Iran.</t>
  </si>
  <si>
    <t>D. Kazemi, Orthopedics Department, Isfahan University of Medical Sciences, Isfahan, Iran. Email: kazemi.kums@gmail.com</t>
  </si>
  <si>
    <t>European Journal of Orthopaedic Surgery and Traumatology (2023) 33:7 (3033-3036). Date of Publication: 1 Oct 2023</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</si>
  <si>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10â€“15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t>
  </si>
  <si>
    <t>L2022343982</t>
  </si>
  <si>
    <t>http://dx.doi.org/10.1007/s00590-023-03522-0</t>
  </si>
  <si>
    <t>https://www.embase.com/search/results?subaction=viewrecord&amp;id=L2022343982&amp;from=export</t>
  </si>
  <si>
    <t>https://catalyst.library.jhu.edu/openurl/01JHU_INST/01JHU_INST:JHU?sid=EMBASE&amp;sid=EMBASE&amp;issn=14321068&amp;id=doi:10.1007%2Fs00590-023-03522-0&amp;atitle=Evaluation+the+results+of+anterior+cruciate+ligament+reconstruction+with+or+without+using+antibiotic+solution+during+graft+preparation&amp;stitle=Eur.+J.+Orthop.+Surg.+Traumatol.&amp;title=European+Journal+of+Orthopaedic+Surgery+and+Traumatology&amp;volume=33&amp;issue=7&amp;spage=3033&amp;epage=3036&amp;aulast=Mousavi&amp;aufirst=Seyed+Hamid&amp;auinit=S.H.&amp;aufull=Mousavi+S.H.&amp;coden=EJOTF&amp;isbn=&amp;pages=3033-3036&amp;date=2023&amp;auinit1=S&amp;auinitm=H</t>
  </si>
  <si>
    <t>Autologous Peroneus Longus Versus Hamstring Tendon for Anterior Cruciate Ligament Reconstruction in Knee</t>
  </si>
  <si>
    <t>Kumar D., Kunder R., Verma P.K., Lakhtakia P.K.</t>
  </si>
  <si>
    <t>(Kumar D., oyedinesh@gmail.com) Department of Orthopedics, Shyam Shah Medical College, M.P, Rewa, India. , (Kunder R.; Verma P.K.) Department of Orthopedics, Shyam Shah Medical College, M.P, Rewa, India. , (Lakhtakia P.K.) Department of Orthopedics, Shyam Shah Medical College, M.P, Rewa, India.</t>
  </si>
  <si>
    <t>D. Kumar, Department of Orthopedics, Shyam Shah Medical College, M.P, Rewa, India. Email: oyedinesh@gmail.com</t>
  </si>
  <si>
    <t>International Journal of Life Sciences Biotechnology and Pharma Research (2023) 12:4 (2052-2054). Date of Publication: 1 Oct 2023</t>
  </si>
  <si>
    <t>Background:An anterior cruciate ligament (ACL) injury is a common knee injury, especially among athletes who participate in sports that involve sudden stops, changes in direction, or jumping. The present study was conducted to assess autologous peroneus longus and hamstring tendon for anterior cruciate ligament reconstruction in knee. Materials &amp; Methods:80 patients with ACL injury of both genderswere divided into 2 groups of 40 each. Group I undergoing autologous peroneus longus tendon and group II undergoing hamstrings tendon graft in ACL reconstruction.Both the group of patients were regularly followed up in post-operatively 1 month, 3 months and 6 months and outcomes were measured via IKDC score Results: Group I had 22 males and 18 females and group II had 24 males and 16 females. The right side was involved in 23 in group I and 19 in group II and the left side in 17 in group I and 21 in group II. IKDC score at 1 month was 57.1 in group I, and 58.6 in group II, at 3 months was 66.9 in group I and 67.4 in group II, and at 6 months was 91.2 in group I, and 90.5 in group II. The difference was significant (P&lt; 0.05). Conclusion: The donor site morbidity and post-operative knee functional score were similar for both groups.</t>
  </si>
  <si>
    <t>L2039492805</t>
  </si>
  <si>
    <t>https://www.embase.com/search/results?subaction=viewrecord&amp;id=L2039492805&amp;from=export</t>
  </si>
  <si>
    <t>https://catalyst.library.jhu.edu/openurl/01JHU_INST/01JHU_INST:JHU?sid=EMBASE&amp;sid=EMBASE&amp;issn=22503137&amp;id=doi:&amp;atitle=Autologous+Peroneus+Longus+Versus+Hamstring+Tendon+for+Anterior+Cruciate+Ligament+Reconstruction+in+Knee&amp;stitle=Int.+J.+Life+Sci.+Biotechnol.+Pharma+Res.&amp;title=International+Journal+of+Life+Sciences+Biotechnology+and+Pharma+Research&amp;volume=12&amp;issue=4&amp;spage=2052&amp;epage=2054&amp;aulast=Kumar&amp;aufirst=Dinesh&amp;auinit=D.&amp;aufull=Kumar+D.&amp;coden=&amp;isbn=&amp;pages=2052-2054&amp;date=2023&amp;auinit1=D&amp;auinitm=</t>
  </si>
  <si>
    <t>Lan X., Huang J., Tian F., Wang S., Liu C., Wang J.</t>
  </si>
  <si>
    <t>(Lan X.; Huang J.; Tian F.; Wang S.; Liu C.; Wang J.)</t>
  </si>
  <si>
    <t>Alternative therapies in health and medicine (2023) 29:7 (360-364). Date of Publication: 1 Oct 2023</t>
  </si>
  <si>
    <t>Alternative therapies in health and medicine</t>
  </si>
  <si>
    <t>1078-6791</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</si>
  <si>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Î±, and Î² angles (P &gt; .05). The preparation time for the femoral tunnel was significantly shorter in the personalized guide group (6.18 Â± 0.92 min) compared to the traditional group (15.94 Â±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</si>
  <si>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L641894585</t>
  </si>
  <si>
    <t>https://www.embase.com/search/results?subaction=viewrecord&amp;id=L641894585&amp;from=export</t>
  </si>
  <si>
    <t>https://catalyst.library.jhu.edu/openurl/01JHU_INST/01JHU_INST:JHU?sid=EMBASE&amp;sid=EMBASE&amp;issn=10786791&amp;id=doi:&amp;atitle=Application+of+3D-Printed+Personalized+Guide+for+Lateral+Femoral+Positioning+in+Anterior+Cruciate+Ligament+Reconstruction+of+the+Knee&amp;stitle=Altern+Ther+Health+Med&amp;title=Alternative+therapies+in+health+and+medicine&amp;volume=29&amp;issue=7&amp;spage=360&amp;epage=364&amp;aulast=Lan&amp;aufirst=Xiaoquan&amp;auinit=X.&amp;aufull=Lan+X.&amp;coden=&amp;isbn=&amp;pages=360-364&amp;date=2023&amp;auinit1=X&amp;auinitm=</t>
  </si>
  <si>
    <t>No increase in adverse events with lateral extra-articular tenodesis augmentation of anterior cruciate ligament reconstruction â€“ Results from the stability randomized trial</t>
  </si>
  <si>
    <t>Heard M., Marmura H., Bryant D., Litchfield R., McCormack R., MacDonald P., Spalding T., Verdonk P., Peterson D., Bardana D., Rezansoff A., Getgood A.</t>
  </si>
  <si>
    <t>(Marmura H.; Bryant D.; Litchfield R.; Getgood A., alan.getgood@uwo.ca) Fowler Kennedy Sport Medicine Clinic, N6A 3K7, Canada. , (Litchfield R.; Getgood A., alan.getgood@uwo.ca) Department of Surgery, Schulich School of Medicine and Dentistry, Western University, N6A 5C1, Canada. , (Marmura H.; Bryant D.) School of Physical Therapy, Western University, N6A 3K7, Canada. , (McCormack R.) Department of Orthopaedics, University of British Columbia, V5Z 1M9, Canada. , (McCormack R.) New West Orthopaedic &amp; Sports Medicine Centre, V3L 5P5, Canada. , (Heard M.; Rezansoff A.) Deparment of Surgery, University of Calgary, T2N 1N4, Canada. , (Heard M.) Banff Sport Medicine, T1W 0L5, Canada. , (MacDonald P.) Department of Surgery, University of Manitoba, R3A 1R9, Canada. , (MacDonald P.) Pan Am Clinic, R3M 3E4, Canada. , (Spalding T.) University Hospital Coventry and Warwickshire NHS Trust, CV2 2DX, United Kingdom. , (Verdonk P.) Department of Physical Medicine and Orthopedics, Ghent University, 9000, Belgium. , (Verdonk P.) Antwerp Orthopedic Center, 2018, Belgium. , (Peterson D.) Department of Surgery, McMaster University, L8S 4K1, Canada. , (Bardana D.) Department of Surgery, Queen's University, K7L 2V7, Canada. , (Rezansoff A.) University of Calgary Sport Medicine Centre, T2N 1N4, Canada. , ()</t>
  </si>
  <si>
    <t>A. Getgood, Fowler Kennedy Sport Medicine Clinic, 3M Centre, Western University, London, ON, Canada. Email: alan.getgood@uwo.ca</t>
  </si>
  <si>
    <t>Journal of ISAKOS (2023) 8:4 (246-254). Date of Publication: 1 Aug 2023</t>
  </si>
  <si>
    <t>Journal of ISAKOS</t>
  </si>
  <si>
    <t>2059-7762 (electronic),2059-7754</t>
  </si>
  <si>
    <t>International Society of Arthroscopy Knee Surgery and Orthopaedic Sports Medicine</t>
  </si>
  <si>
    <t>Objectives: Results from the Stability Study suggest that adding a lateral extra-articular tenodesis (LET) to a hamstring tendon autograft reduces the rate of anterior cruciate ligament reconstruction (ACLR) failure in high-risk patients. The purpose of this study is to report adverse events over the 2-year follow-up period and compare groups (ACLR alone vs. ACLR + LET). Methods: Stability is a randomized clinical trial comparing hamstring tendon ACLR with and without LET. Patients aged 14â€“25 years with an ACL deficient knee were included. Patients were followed and adverse events documented (type, actions taken, resolution) with visits at 3, 6, 12, and 24 months postoperatively. Adverse events were categorized as none, minor medical, minor surgical, contralateral ACL rupture, or graft rupture. Patient reported outcome measures (PROMs) collected at each visit included the Knee Injury and Osteoarthritis Outcome Score (KOOS), International Knee Documentation Committee Score (IKDC), and ACL Quality of Life Questionnaire (ACL-QOL). Results: In total, 618 patients were randomized (mean age 18.9 years, 302 (49%) male). Forty-five patients (7%) suffered graft rupture; 34 (11%) in the ACLR group compared to 11 (4%) in the ACLR + LET group (RRR = 0.67, 95% CI 0.36 to 0.83, p &lt; 0.001). There were no differences in effusion or infection rates between groups. The ACLR + LET group experienced an increased number of hardware removals (10 vs. 4). Overall, the rate of minor medical events (11%), minor surgical events (7%), and ipsilateral or contralateral ACL tears (10%) were low considering the high-risk patient profile. Increasing severity of adverse events was associated with lower PROMs at 24 months post-operative. Patients in the ACLR + LET group reported greater degree of pain at 3 months only. There were no clinically significant differences in range of motion between groups. Conclusions: The addition of LET to hamstring tendon autograft ACLR in young patients at high risk of re-injury resulted in a statistically significant reduction in graft rupture. While the addition of LET may increase rates of hardware irritation, there was no significant increase in overall rates of minor medical adverse events, minor surgical events, or overall re-operation rates. The concerns regarding complications associated with a LET did not materialize in this study. Level of evidence: Level I</t>
  </si>
  <si>
    <t>L2024445408</t>
  </si>
  <si>
    <t>http://dx.doi.org/10.1016/j.jisako.2022.12.001</t>
  </si>
  <si>
    <t>https://www.embase.com/search/results?subaction=viewrecord&amp;id=L2024445408&amp;from=export</t>
  </si>
  <si>
    <t>https://catalyst.library.jhu.edu/openurl/01JHU_INST/01JHU_INST:JHU?sid=EMBASE&amp;sid=EMBASE&amp;issn=20597762&amp;id=doi:10.1016%2Fj.jisako.2022.12.001&amp;atitle=No+increase+in+adverse+events+with+lateral+extra-articular+tenodesis+augmentation+of+anterior+cruciate+ligament+reconstruction+%E2%80%93+Results+from+the+stability+randomized+trial&amp;stitle=J.+ISAKOS&amp;title=Journal+of+ISAKOS&amp;volume=8&amp;issue=4&amp;spage=246&amp;epage=254&amp;aulast=Marmura&amp;aufirst=H.&amp;auinit=H.&amp;aufull=Marmura+H.&amp;coden=&amp;isbn=&amp;pages=246-254&amp;date=2023&amp;auinit1=H&amp;auinitm=</t>
  </si>
  <si>
    <t>Functional Outcomes of Quadriceps Tendon versus Hamstring Tendon Autograft using Suspensory Fixation at Femoral and Tibial Sites for Primary Anterior Cruciate Ligament Reconstruction: A Randomised Controlled Study</t>
  </si>
  <si>
    <t>Khatri R.Y., Patil V., Kulkarni S., Naik S., Nandi S.</t>
  </si>
  <si>
    <t>(Khatri R.Y.; Patil V.; Kulkarni S.; Naik S., sandippkmc@gmail.com; Nandi S.) Department of Orthopaedics, BLDEâ€™s Shri BM Patil Medical College and Research Centre, Karnataka, Vijayapur, India.</t>
  </si>
  <si>
    <t>S. Naik, Department of Orthopaedics, BLDEâ€™s Shri BM Patil Medical College and Research Centre, 2nd Floor, Karnataka, Vijayapur, India. Email: sandippkmc@gmail.com</t>
  </si>
  <si>
    <t>Journal of Clinical and Diagnostic Research (2023) 17:8 (RC17-RC21). Date of Publication: 1 Aug 2023</t>
  </si>
  <si>
    <t>Journal of Clinical and Diagnostic Research</t>
  </si>
  <si>
    <t>RC17</t>
  </si>
  <si>
    <t>RC21</t>
  </si>
  <si>
    <t>0973-709X (electronic),2249-782X</t>
  </si>
  <si>
    <t>JCDR Research and Publications Pvt Ltd</t>
  </si>
  <si>
    <t>Introduction: Arthroscopic Anterior Cruciate Ligament (ACL) reconstruction using hamstring tendon autografts is commonly used in day-to-day practice. Recently, the quadriceps tendon has been considered as a graft choice for primary ACL reconstruction due to its reliable graft size and resistance to rupture. The available literature comparing Quadriceps and Hamstring autografts in ACL reconstruction is limited. Therefore, the present study was conducted to compare the functional outcomes of these autografts using suspensory fixation at the femoral and tibial sites. Aim: To compare the functional outcomes of quadriceps tendon versus hamstring tendon autografts for primary ACL reconstruction. Materials and Methods: A randomised controlled study was conducted at Department of Orthopaedics, BLDEâ€™s Shri BM Patil Medical College and Research Centre, Vijayapur, Karnataka, India, from January 2021 to April 2023. Thirty-four patients were included in the study and randomised into two groups: one group was operated with a quadriceps tendon graft, and the other group used a hamstring tendon autograft. Both groups underwent surgery using suspensory fixation, and postoperative rehabilitation was similar. Functional outcomes (assessed using Lysholm and International Knee Documentation Committee (IKDC) scores), return to preinjury activity, and complications were evaluated. Statistical analysis was performed using Statistical Package for Social Sciences (SPSS) version 20.0. The Mann-Whitney U test was applied to compare pre- and postoperative functional outcomes (Lysholm and IKDC scores) at 6, 12, and 24 months, with a significance level of p&lt;0.05. Results: Out of 34 patients, 27 (79%) were male and 7 (21%) were female. The follow-up period ranged from a minimum of 24 months to a maximum of 26 months. The mean Lysholm score in the hamstring group increased from 47 preoperatively to 92 at six months postoperatively, while in the quadriceps group, it increased from 46 preoperatively to 90 at six months postoperatively. The reliability and validity of the IKDC score for the hamstring group also increased from 46 preoperatively to 79 at six months, and for the quadriceps group, it increased from 44 preoperatively to 78 at six months. A total 31 of the cases (91%) returned to their preinjury activity, while 3 patients (9%) (2 from the hamstring group and 1 from the quadriceps group) experienced knee stiffness, which restricted their ability to squat and sit cross-legged. There were no significant differences in Lysholm and IKDC scores between the hamstring and quadriceps tendon autografts at 6, 12, and 24 months postoperatively. Conclusion: Patients undergoing single bundle ACL reconstruction have comparable functional outcomes with either hamstring or quadriceps grafts at the end of the 2-year follow-up period, with no specific graft site complications. The soft tissue quadriceps tendon autograft can be considered as an equally viable option for graft selection.</t>
  </si>
  <si>
    <t>L2034905231</t>
  </si>
  <si>
    <t>10.7860/JCDR/2023/64284.18350</t>
  </si>
  <si>
    <t>http://dx.doi.org/10.7860/JCDR/2023/64284.18350</t>
  </si>
  <si>
    <t>https://www.embase.com/search/results?subaction=viewrecord&amp;id=L2034905231&amp;from=export</t>
  </si>
  <si>
    <t>https://catalyst.library.jhu.edu/openurl/01JHU_INST/01JHU_INST:JHU?sid=EMBASE&amp;sid=EMBASE&amp;issn=0973709X&amp;id=doi:10.7860%2FJCDR%2F2023%2F64284.18350&amp;atitle=Functional+Outcomes+of+Quadriceps+Tendon+versus+Hamstring+Tendon+Autograft+using+Suspensory+Fixation+at+Femoral+and+Tibial+Sites+for+Primary+Anterior+Cruciate+Ligament+Reconstruction%3A+A+Randomised+Controlled+Study&amp;stitle=J.+Clin.+Diagn.+Res.&amp;title=Journal+of+Clinical+and+Diagnostic+Research&amp;volume=17&amp;issue=8&amp;spage=RC17&amp;epage=RC21&amp;aulast=Khatri&amp;aufirst=Ronak+Yashwantbhai&amp;auinit=R.Y.&amp;aufull=Khatri+R.Y.&amp;coden=&amp;isbn=&amp;pages=RC17-RC21&amp;date=2023&amp;auinit1=R&amp;auinitm=Y</t>
  </si>
  <si>
    <t>Clinical Translation of Biodegradable Magnesium Wire for Augmentation of Anterior Cruciate Ligament (ACL) Reconstruction From Bench Side to Bedside: A Multicentre, Double-blinded, Randomised Controlled Trial</t>
  </si>
  <si>
    <t>clinicaltrials.gov (2023). Date of Publication: 31 Jul 2023</t>
  </si>
  <si>
    <t>Brief SummaryBackground: ACLR with autologous tendon graft is commonly used for the treatment of ACL injury. However, as the BTI healing is poor, this can lead to a failure rate of 5% in the first-year post-operation; a long and unpredictable rehabilitation period is expected and 35 % of patients never return to preinjury level of sports. Biological enhancement of BTI healing will help to cut down the medical cost related to poor prognosis. As a biodegradable metal, Mg has been developed as implants in orthopaedics for decades, yet without clinical implants developed for ACLR. Our team has been working on this area in the past 10 years preclinically. Our animal studies showed that supplementation of magnesium wire significantly promotes osteogenesis at BTI and improves mechanical strength in ACLR. Recently, our team developed a highly pure (99.99%) Mg wire (Fig 2) in collaboration with metallic engineers for tendon graft braiding during ACLR and with its improved physical quality and strength, it is suitable for graft braiding and then its degradation in vivo can promote tunnel bone formation and bone tendon interface integration. Objective: To investigate if anterior cruciate ligament (ACL) reconstruction augmented with magnesium (Mg) wire enhances osteogenesis at the bone-tendon interface (BTI), improving post-op rehabilitation and leading to better clinical outcomes. Hypothesis: Patients with ACL reconstruction using Mg wire will experience improved osteogenesis at the BTI, more effective rehabilitation, and superior knee strength and function. Design and Subjects: A multicentre, double-blinded, randomized controlled trial will recruit patients aged 18-30 with unilateral ACL tear for primary ACLR with a hamstring graft at four sites. Instruments: Mg-based wire. Interventions: Participants will receive either 99.99% purity Mg wire or 2-0 vicryl as a control. Main Outcomes: Osteogenesis will be assessed by High-Resolution Peripheral Quantitative Computed Tomography (HR-pQCT), muscle strength via Biodex tests, and functional recovery with International Knee Documentation Committee (IKDC) and Tegner scores at multiple post-op intervals. Knee stability will be checked with KT-1000 arthrometer. Blood samples will be analyzed for inflammatory markers and metabolic effects related to Mg wire. Data Analysis and Expected Results: A repeated-measures ANOVA will be utilized for data analysis. The expectation is that Mg wire augmentation will significantly enhance osteogenesis at the BTI and improve rehabilitation outcomes.</t>
  </si>
  <si>
    <t>LNCT05983692</t>
  </si>
  <si>
    <t>https://clinicaltrials.gov/study/NCT05983692</t>
  </si>
  <si>
    <t>https://www.embase.com/search/results?subaction=viewrecord&amp;id=LNCT05983692&amp;from=export</t>
  </si>
  <si>
    <t>Posterior tibial slope (PTS) â‰¥ 10 degrees is a risk factor for further anterior cruciate ligament (ACL) injury; BMI is not</t>
  </si>
  <si>
    <t>Fares A., Horteur C., Abou Al Ezz M., Hardy A., Rubens-Duval B., Karam K., Gaulin B., Pailhe R.</t>
  </si>
  <si>
    <t>(Fares A., md.alifares@gmail.com; Horteur C., chorteur@chu-grenoble.fr; Rubens-Duval B., BRubensduval@chu-grenoble.fr; Gaulin B., BGaulin@chu-grenoble.fr; Pailhe R., rpailhe@chu-grenoble.fr) Department of Osteoarthritis and Sport Surgery, Grenoble-Alpes CHU, South Teaching Hospital, Kimberley Avenue, BP 338, Ã‰chirolles Cedex, France. , (Abou Al Ezz M., moradaboualezz@gmail.com; Hardy A., alexandre.hardy@me.com; Karam K., karamarkaram@gmail.com) Chirurgie du Sport, Clinique du Sport Paris V, Ramsay-GÃ©nÃ©rale de SantÃ©, Paris, France.</t>
  </si>
  <si>
    <t>A. Fares, Department of Osteoarthritis and Sport Surgery, Grenoble-Alpes CHU, South Teaching Hospital, Kimberley Avenue, BP 338, Ã‰chirolles Cedex, France. Email: md.alifares@gmail.com</t>
  </si>
  <si>
    <t>European Journal of Orthopaedic Surgery and Traumatology (2023) 33:5 (2091-2099). Date of Publication: 1 Jul 2023</t>
  </si>
  <si>
    <t>Purpose: This caseâ€“control study aimed to assess the influence of BMI and PTS on subsequent ACL injury affecting either ACL graft or the native ACL of the contralateral knee after primary ACL reconstruction. Methods: A retrospective caseâ€“control study was performed using a cohort of patients who underwent arthroscopic ACL reconstruction between 2010 and 2020 using the same surgical procedure: Hamstring tendon autograft. The study group (group I) included all the patients (n = 94) during this period who sustained a subsequent ACL injury. The control group (group II) consisted of 94 patients randomly selected (matched Group I in terms of sex, age, and ACL graft) who did not sustain any further ACL injury. PTS was measured by two blinded surgeons on lateral knee view radiographs of the operated knee after primary ACL. BMI in kg/m(2) was measured during the preoperative anesthesia consultation. Exclusion criteria were: non-true or rotated lateral knee radiographs of the operated knee post-ACLR, associated knee ligament injury requiring surgical management, iterative knee surgeries, open growth plate, and related fracture. Results: The mean posterior tibial slope in group I was 7.5Â° Â± 2.9, and 7.2Â° Â± 2.0 in group II. A PTS angle cutoff was set at 10 degrees. The rate of patients showing a PTS â‰¥ 10Â° was significantly higher in group I compared to group II (p &lt; 0.01). Patients with PTS â‰¥ 10Â° were 5.7 times more likely to sustain a subsequent ACL injury, (OR: 5.7 95% CI[1.858â€“17.486]). The Average BMI in group I was 24.5 Â± 3.7 kg.m(âˆ’2) compared to group II which was 23.3 Â± 3.0 kg.m(âˆ’2). There were no significant differences in any of the four BMI categories between both groups (p value 0.289). A series of BMI cut-offs were also analyzed at 23 to30 kg/m(2), and there was no significant difference between both groups. Conclusions: A posterior tibial slope equal to or above 10 degrees measured on lateral knee radiographs was associated with 5.7 times higher risk of ACL graft rupture or contralateral native ACL injury; however, BMI was not.</t>
  </si>
  <si>
    <t>L2019416934</t>
  </si>
  <si>
    <t>10.1007/s00590-022-03406-9</t>
  </si>
  <si>
    <t>http://dx.doi.org/10.1007/s00590-022-03406-9</t>
  </si>
  <si>
    <t>https://www.embase.com/search/results?subaction=viewrecord&amp;id=L2019416934&amp;from=export</t>
  </si>
  <si>
    <t>https://catalyst.library.jhu.edu/openurl/01JHU_INST/01JHU_INST:JHU?sid=EMBASE&amp;sid=EMBASE&amp;issn=14321068&amp;id=doi:10.1007%2Fs00590-022-03406-9&amp;atitle=Posterior+tibial+slope+%28PTS%29+%E2%89%A5+10+degrees+is+a+risk+factor+for+further+anterior+cruciate+ligament+%28ACL%29+injury%3B+BMI+is+not&amp;stitle=Eur.+J.+Orthop.+Surg.+Traumatol.&amp;title=European+Journal+of+Orthopaedic+Surgery+and+Traumatology&amp;volume=33&amp;issue=5&amp;spage=2091&amp;epage=2099&amp;aulast=Fares&amp;aufirst=Ali&amp;auinit=A.&amp;aufull=Fares+A.&amp;coden=EJOTF&amp;isbn=&amp;pages=2091-2099&amp;date=2023&amp;auinit1=A&amp;auinitm=</t>
  </si>
  <si>
    <t>Osteoconductive Scaffold Placed at the Femoral Tunnel Aperture in Hamstring Tendon ACL Reconstruction: A Randomized Controlled Trial</t>
  </si>
  <si>
    <t>GÃ¶tschi T., Hodel S., KÃ¼hne N., Bachmann E., Li X., Zimmermann S.M., Snedeker J.G., Fucentese S.F.</t>
  </si>
  <si>
    <t>(GÃ¶tschi T.; Hodel S.; KÃ¼hne N.; Zimmermann S.M.; Snedeker J.G.; Fucentese S.F., sandro.fucentese@balgrist.ch) Department of Orthopaedics, Balgrist University Hospital, University of Zurich, Zurich, Switzerland. , (GÃ¶tschi T.; Snedeker J.G.) Institute for Biomechanics, ETH Zurich, Zurich, Switzerland. , (Bachmann E.; Li X.) ZuriMED Technologies AG, Zurich, Switzerland.</t>
  </si>
  <si>
    <t>S.F. Fucentese, Department of Orthopaedics, Balgrist University Hospital, University of Zurich, Zurich, Switzerland. Email: sandro.fucentese@balgrist.ch</t>
  </si>
  <si>
    <t>Orthopaedic Journal of Sports Medicine (2023) 11:6. Date of Publication: 1 Jun 2023</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</si>
  <si>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 =.775) including 2 partial reruptures in both groups. The approach was feasible, although 1 case was encountered where the osteoconductive scaffold was malpositioned without adversely affecting the patientâ€™s recovery. There was no difference between the intervention and control groups in femoral bone tunnel enlargement, as expressed by the relative change in tunnel volume from surgery to 4.5 months (mean Â± SD, 36% Â± 25% vs 40% Â± 25%; P =.644) and 1 year (19% Â± 20% vs 17% Â± 25%; P =.698). Conclusion: Press-fit graft fixation with an osteoconductive scaffold positioned at the femoral tunnel aperture is safe but does not decrease femoral bone tunnel enlargement at postoperative 1 year. Registration: NCT03462823 (ClinicalTrials.gov identifier).</t>
  </si>
  <si>
    <t>ClinicalTrials.gov (NCT03462823)</t>
  </si>
  <si>
    <t>L2023633083</t>
  </si>
  <si>
    <t>10.1177/23259671231174478</t>
  </si>
  <si>
    <t>http://dx.doi.org/10.1177/23259671231174478</t>
  </si>
  <si>
    <t>https://www.embase.com/search/results?subaction=viewrecord&amp;id=L2023633083&amp;from=export</t>
  </si>
  <si>
    <t>https://catalyst.library.jhu.edu/openurl/01JHU_INST/01JHU_INST:JHU?sid=EMBASE&amp;sid=EMBASE&amp;issn=23259671&amp;id=doi:10.1177%2F23259671231174478&amp;atitle=Osteoconductive+Scaffold+Placed+at+the+Femoral+Tunnel+Aperture+in+Hamstring+Tendon+ACL+Reconstruction%3A+A+Randomized+Controlled+Trial&amp;stitle=Orthop.+J.+Sports+Med.&amp;title=Orthopaedic+Journal+of+Sports+Medicine&amp;volume=11&amp;issue=6&amp;spage=&amp;epage=&amp;aulast=G%C3%B6tschi&amp;aufirst=Tobias&amp;auinit=T.&amp;aufull=G%C3%B6tschi+T.&amp;coden=&amp;isbn=&amp;pages=-&amp;date=2023&amp;auinit1=T&amp;auinitm=</t>
  </si>
  <si>
    <t>Effects of Platelet-Rich Fibrin on Knee Muscle Strength and Function in Patients With Anterior Cruciate Ligament Reconstruction</t>
  </si>
  <si>
    <t>clinicaltrials.gov (2023). Date of Publication: 27 May 2023</t>
  </si>
  <si>
    <t>Brief SummaryThe study was conducted to investigate the effects of platelet-rich fibrin on knee stability, knee muscle strength and knee function in patients with ACL reconstruction. Thirty patients with ACL reconstruction were included to the study and randomly divided into two groups. Patients were assessed preoperative and at the postoperative 1-year.Detailed DescriptionThe study was conducted yo investigate the effects of platelet-rich fibrin (PRF) on the knee stability and function in patients with anterior cruciate ligament (ACL) reconstruction. Thirty patients with ACL reconstruction were included to the study and randomly divided into two groups (PRF group and control group). Hamstring tendon autograft was used in all patients for the reconstruction of the teared ACL. A standardized postoperative rehabilitation program was applied to all patients. Patients' knee stability, knee muscle strength and knee function were assessed preoperatively and one-year postoperatively. Knee stability was assessed using KT-2000 Knee Arthrometer. Quadriceps femoris and hamstring muscle strength measurements were conducted with an isokinetic dynamometer at 60Ëš/sec and 180Ëš/sec angular velocities. One Leg Hop (OLH) and Y-Balance tests, and International Knee Documentation Committee (IKDC) were used to evaluate the knee function.</t>
  </si>
  <si>
    <t>LNCT05904158</t>
  </si>
  <si>
    <t>https://clinicaltrials.gov/study/NCT05904158</t>
  </si>
  <si>
    <t>https://www.embase.com/search/results?subaction=viewrecord&amp;id=LNCT05904158&amp;from=export</t>
  </si>
  <si>
    <t>Extracorporeal Shockwave Therapy Improves Outcome after Primary Anterior Cruciate Ligament Reconstruction with Hamstring Tendons</t>
  </si>
  <si>
    <t>Weninger P., Thallinger C., Chytilek M., Hanel Y., Steffel C., Karimi R., Feichtinger X.</t>
  </si>
  <si>
    <t>(Weninger P., patrick@dr-weninger.at; Thallinger C., christoph.thallinger@aon.at; Chytilek M., ordination@dr-weninger.at; Hanel Y.; Steffel C.; Feichtinger X.) Sports Medical Center, Am Hof 11/9, Vienna, Austria. , (Weninger P., patrick@dr-weninger.at; Karimi R.) DÃ¶bling Private Clinic, HeiligenstÃ¤dter StraÃŸe 55-63, Vienna, Austria.</t>
  </si>
  <si>
    <t>P. Weninger, Sports Medical Center, Am Hof 11/9, Vienna, Austria. Email: patrick@dr-weninger.at</t>
  </si>
  <si>
    <t>Journal of Clinical Medicine (2023) 12:10 Article Number: 3350. Date of Publication: 1 May 2023</t>
  </si>
  <si>
    <t>Journal of Clinical Medicine</t>
  </si>
  <si>
    <t>2077-0383 (electronic)</t>
  </si>
  <si>
    <t>Multidisciplinary Digital Publishing Institute (MDPI)</t>
  </si>
  <si>
    <t>Purpose: The decision regarding the timepoint of a return to sports after anterior cruciate ligament (ACL) reconstruction is complex and depends on many factors, including objectively tested physical and psychological readiness as well as biological healing. The aim of this study was to investigate the influence of repetitive extracorporeal shockwave therapy (ESWT) on return-to-sports duration, clinical results and MRI results after ACL reconstruction with hamstring tendons (HT). Material and Methods: In this prospective controlled study, all patients with acute ACL ruptures were treated by ACL reconstruction with HT. Patients were randomized into two groups (Group A: ESWT group; Group B: control group). Patients in the ESWT group received focused shockwave therapy 4, 5 and 6 weeks after ACL surgery. Follow-up investigations including IKDC score, Lysholm score, VAS and evaluation regarding return-to-sports timepoints that were conducted 3-, 6-, 9- and 12-months post-operation. An MRI investigation was performed 12-months post-operation and graft maturation (signal intensity ratio (SIR)) as well as femoral and tibial tunnel characteristics (bone marrow oedema, tunnel fluid effusion) were assessed. Results: In total, 65 patients (27.65 Â± 7.07 years; 35 male/30 female) were included in this study. The mean timepoint for â€œreturn-to-pivoting-sportsâ€_x009d_ was 27.92 weeks (Â±2.99) in the ESWT group as well as 42.64 weeks (Â±5.18) in the control group (p &lt; 0.001). In the ESWT group 31 patients (vs. control group: n = 6) attained the â€œpre-injury activity levelâ€_x009d_, whereas 6 patients (vs. control group: n = 22) did not reach this level within 12 months post-operation. The IKDC score, Lysholm score, and VAS showed significant improvement in the ESWT group compared with the control group for all time-points (p &lt; 0.001). The mean SIR in the ESWT group revealed 1.81 (Â±0.88), whereas the control group showed a mean SIR of 2.68 (Â±1.04) (p &lt; 0.01). Discussion: In conclusion, this is the first study investigating the effect of repetitive ESWT on ACL reconstruction with clinical outcome measurements, including the duration of return-to-sports activity and an MRI follow-up examination. Return-to-sports parameters, clinical scores and graft maturation were significantly improved in the ESWT group. This study may support an earlier return-to-sports timepoint by ESWT and is of high clinical relevance as ESWT is a cost-effective treatment option with no relevant side effects.</t>
  </si>
  <si>
    <t>L2023426209</t>
  </si>
  <si>
    <t>10.3390/jcm12103350</t>
  </si>
  <si>
    <t>http://dx.doi.org/10.3390/jcm12103350</t>
  </si>
  <si>
    <t>https://www.embase.com/search/results?subaction=viewrecord&amp;id=L2023426209&amp;from=export</t>
  </si>
  <si>
    <t>https://catalyst.library.jhu.edu/openurl/01JHU_INST/01JHU_INST:JHU?sid=EMBASE&amp;sid=EMBASE&amp;issn=20770383&amp;id=doi:10.3390%2Fjcm12103350&amp;atitle=Extracorporeal+Shockwave+Therapy+Improves+Outcome+after+Primary+Anterior+Cruciate+Ligament+Reconstruction+with+Hamstring+Tendons&amp;stitle=J.+Clin.+Med.&amp;title=Journal+of+Clinical+Medicine&amp;volume=12&amp;issue=10&amp;spage=&amp;epage=&amp;aulast=Weninger&amp;aufirst=Patrick&amp;auinit=P.&amp;aufull=Weninger+P.&amp;coden=&amp;isbn=&amp;pages=-&amp;date=2023&amp;auinit1=P&amp;auinitm=</t>
  </si>
  <si>
    <t>Comparison of Two Muscle Strengthening Programs on the Return-to-exercise Criteria in Patients With Anterior Cruciate Ligament Reconstruction</t>
  </si>
  <si>
    <t>clinicaltrials.gov (2023). Date of Publication: 30 Mar 2023</t>
  </si>
  <si>
    <t>Brief SummaryAnterior cruciate ligament injury is very common in recreational and elite athletes. It is considered the second most frequent pathology seeing in Sports Medicine Services. After the injury and ACLR, there is a marked decrease in the strength of the knee extensors/flexors muscles. Strength exercise programs are aimed at recovering strength and functionality, however, a low percentage of patients manage to achieve the optimal return-to-exercise criteria. Therefore, it is relevant to design and evaluate exercise programs that allow early recovery of muscle strength and knee functionality. The main purpose of this study is to investigate a neuromuscular exercise program compared with a standard institutional program in the recovery of the strength and functionality of the knee extensor/flexor muscles after ACLR.Detailed DescriptionStudy design: this is a 22-week, randomized trial. 62 participants will be recruited from the medical services of the National Institute of Rehabilitation (NIR). Participants: adults between 20-40 years old, with a body mass index \&lt;30.0 kg/mË†2, history of sports practice immediately prior to the injury, post-operated unilaterally for ACL with the hamstring autograft technique (semitendinosus-gracilis tendons), with full ranges of motion and no edema will be recruited. Participants with multi-ligament knee injuries, with more than 12 months from the injury to surgery or more than 8 months after surgery, with uncompensated metabolic diseases or acute illnesses/infections under treatment will not be recruited. Intervention: participants will be randomized to 1) neuromuscular or 2) institutional exercise program with computer-generated random numbers. Both programs consist of isotonic open and closed kinetic chain exercises for the hip and knee. The neuromuscular program also includes exercises to improve vastus medialis and lateralis strength, hamstrings, hip flexors and extensors, proprioception, and core stability. On the other hand, the institutional program includes concentric and eccentric knee exercises. Both programs will be performed 3 days/week, 3 sets, 18-22 repetitions for each exercise; the intensity will initiate at 65-75% (1RM), and it will be increased to 75-85%; the workload will be increased 5-10% from the fifth week according to perceived exertion. The exercises will be done with both legs; however, the injured leg will be exercised complementary. The last 6 weeks of the programs correspond to functional exercises according the sport. Every training session will consist of 15 minutes of warm-up, 40-60 minutes of resistance training, and 15 minutes of cool-down; all training sessions will take place in the NIR Sports Medicine therapeutic gym. The knee flexors/extensors muscle strength will be determined by isokinetic dynamometry (at 60Â°/s). The knee function will be evaluated by hop tests and agility T-test. The patient's perception of daily functional activities after ACL reconstruction will be assessed by the Lysholm knee score. For each participant, the study length will be 22 weeks with 66 exercise sessions. The beginning of the study corresponds to session 1 of exercise. Initial evaluation will be performed 5 days prior to the start of the intervention, while final evaluations will be conducted at the end of 22 weeks of follow-up (2 days after the last day of the intervention). Data will be recorded by study investigators.</t>
  </si>
  <si>
    <t>LNCT05814445</t>
  </si>
  <si>
    <t>https://clinicaltrials.gov/study/NCT05814445</t>
  </si>
  <si>
    <t>https://www.embase.com/search/results?subaction=viewrecord&amp;id=LNCT05814445&amp;from=export</t>
  </si>
  <si>
    <t>Brace-Free Rehabilitation after Isolated Anterior Cruciate Ligament Reconstruction with Hamstring Tendon Autograft Is Not Inferior to Brace-Based Rehabilitationâ€”A Randomised Controlled Trial</t>
  </si>
  <si>
    <t>Schoepp C., Ohmann T., Martin W., Praetorius A., Seelmann C., Dudda M., Stengel D., Hax J.</t>
  </si>
  <si>
    <t>(Schoepp C., christian.schoepp@bg-klinikum-duisburg.de) Department of Arthroscopic Surgery, Sports Traumatology and Sports Medicine, BG Klinikum Duisburg gGmbH, GroÃŸenbaumer Allee 250, Duisburg, Germany. , (Schoepp C., christian.schoepp@bg-klinikum-duisburg.de; Praetorius A.) Athletikum Rhein Ruhr, BG Klinikum Duisburg gGmbH, GroÃŸenbaumer Allee 250, Duisburg, Germany. , (Schoepp C., christian.schoepp@bg-klinikum-duisburg.de; Dudda M.) Department of Trauma, Hand and Reconstructive Surgery, University Hospital, HufelandstraÃŸe 55, Essen, Germany. , (Ohmann T.; Seelmann C.) Research Department, BG Klinikum Duisburg gGmbH, GroÃŸenbaumer Allee 250, Duisburg, Germany. , (Martin W.; Dudda M.) Department of Trauma and Reconstructive Surgery, BG Klinikum Duisburg gGmbH, GroÃŸenbaumer Allee 250, Duisburg, Germany. , (Stengel D.) BG Klinikenâ€”Klinikverbund der Gesetzlichen Unfallversicherung gGmbH, Leipziger Pl. 1, Berlin, Germany. , (Hax J.) Department of Knee and Hip Surgery, Schulthess Clinic, Lengghalde 2, Zurich, Switzerland.</t>
  </si>
  <si>
    <t>C. Schoepp, Department of Arthroscopic Surgery, Sports Traumatology and Sports Medicine, BG Klinikum Duisburg gGmbH, GroÃŸenbaumer Allee 250, Duisburg, Germany. Email: christian.schoepp@bg-klinikum-duisburg.de</t>
  </si>
  <si>
    <t>Journal of Clinical Medicine (2023) 12:5 Article Number: 2074. Date of Publication: 1 Mar 2023</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</si>
  <si>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Â±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participantsâ€™ subjective perceptions. Secondary endpoints included objective knee function assessed by IKDC, instrumented knee laxity measurements, isokinetic strength tests of the knee extensors and flexors, Lysholm Knee Score, Tegner Activity Score, Anterior Cruciate Ligamentâ€”Return to Sport after Injury Score, and quality of life determined by Short Form-36 (SF36). Results: There were no statistically significant or clinically meaningful differences in IKDC scores between the two study groups (3.29, 95% confidence interval (CI) âˆ’1.39 to 7.97, p = 0.03 for evidence of non-inferiority of brace-free compared with brace-based rehabilitation). The difference in Lysholm score was 3.20 (95% CI âˆ’2.47 to 8.87); the difference in SF36 physical component score 0.09 (95% CI âˆ’1.93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</si>
  <si>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L2022039392</t>
  </si>
  <si>
    <t>10.3390/jcm12052074</t>
  </si>
  <si>
    <t>http://dx.doi.org/10.3390/jcm12052074</t>
  </si>
  <si>
    <t>https://www.embase.com/search/results?subaction=viewrecord&amp;id=L2022039392&amp;from=export</t>
  </si>
  <si>
    <t>https://catalyst.library.jhu.edu/openurl/01JHU_INST/01JHU_INST:JHU?sid=EMBASE&amp;sid=EMBASE&amp;issn=20770383&amp;id=doi:10.3390%2Fjcm12052074&amp;atitle=Brace-Free+Rehabilitation+after+Isolated+Anterior+Cruciate+Ligament+Reconstruction+with+Hamstring+Tendon+Autograft+Is+Not+Inferior+to+Brace-Based+Rehabilitation%E2%80%94A+Randomised+Controlled+Trial&amp;stitle=J.+Clin.+Med.&amp;title=Journal+of+Clinical+Medicine&amp;volume=12&amp;issue=5&amp;spage=&amp;epage=&amp;aulast=Schoepp&amp;aufirst=Christian&amp;auinit=C.&amp;aufull=Schoepp+C.&amp;coden=&amp;isbn=&amp;pages=-&amp;date=2023&amp;auinit1=C&amp;auinitm=</t>
  </si>
  <si>
    <t>El-Azab H., Moursy M., Mohamed M.A., Elsayed M.</t>
  </si>
  <si>
    <t>(El-Azab H., hosam_elazab@yahoo.com; Mohamed M.A.; Elsayed M.) Department of Orthopaedics and Traumatology, Sohag Faculty of Medicine, Sohag University, Egypt. , (Moursy M.) Department of Orthopedics and Traumatology, Paracelsus Medical University, Salzburg, Austria.</t>
  </si>
  <si>
    <t>H. El-Azab, Department of Orthopaedics and Traumatology, Sohag Faculty of Medicine, Sohag University, Egypt. Email: hosam_elazab@yahoo.com</t>
  </si>
  <si>
    <t>Injury (2023) 54:3 (976-982). Date of Publication: 1 Mar 2023</t>
  </si>
  <si>
    <t>Introduction: Many patients who have had anterior cruciate ligament (ACL) reconstruction (R) complain of instability, inability to return to previous levels of sports activity, and possible ACL graft failure. Graft size was discovered to be an important factor in lowering ACL failure rates. Also, extraarticular tenodesis decreases recurrent instability, A comparative study was done to compare the effect of graft size and lateral external tenodesis on the recurrence of instability after ACL-R. Patients and methods: A Prospective Blinded Randomized Controlled study included 100 consecutive patients who underwent ACL-R with hamstring tendon grafts in our Hospital. The patients were allocated into two groups (Group A and B) with randomization; group A received ACL-R with a large-size ACL-graft diameter of 6 strands, and group B received ACL-R of 4 strands combined with lateral extraarticular tenodesis (LET) (Modified Lemaire). Each group had fifty patients. The follow-up time was two years. They were examined for graft failure, anterolateral rotatory instability with the pivot shift test, and clinical outcomes, which were evaluated with the International Knee Documentation Committee score (IKDC) both subjective and objective. Results: In this study; group A, graft failure occurred in three (6.3%) patients, a positive pivot shift test grade I was detected in eight (17.8%) patients, grade II in three (6.7%) patients, and grade III in one (2.2%) patient. The subjective IKDC score was 87.9 (Â± 7.19) points. The objective IKDC score was normal or nearly normal in 43 (93.4%) patients. In group B, one (2.1%) patient had graft failure, five (10.9%) had a positive pivot shift test grade I, one (2.1%) had a grade II, and no patient had a grade III. The subjective IKDC score was 91.9 (Â± 8.9) points. The objective IKDC score was normal or nearly normal in 44 (95.6%) patients. As regard the subjective IKDC score, there was a non-significant difference between both groups (p value = 0.465). Conclusion: Both groups showed a low ACL-graft failure rate, low anterolateral rotatory instability, and a good clinical outcome. Although there was no significant difference in subjective IKDC score between both groups, the failure rate and anterolateral rotatory instability were significantly lower in the ACL-R (4 strands) with LET combination group than in the group with the large-diameter (6 strands) graft. Level of evidence: Level 1; Randomized Comparative Study.</t>
  </si>
  <si>
    <t>L2022461565</t>
  </si>
  <si>
    <t>http://dx.doi.org/10.1016/j.injury.2023.01.033</t>
  </si>
  <si>
    <t>https://www.embase.com/search/results?subaction=viewrecord&amp;id=L2022461565&amp;from=export</t>
  </si>
  <si>
    <t>https://catalyst.library.jhu.edu/openurl/01JHU_INST/01JHU_INST:JHU?sid=EMBASE&amp;sid=EMBASE&amp;issn=18790267&amp;id=doi:10.1016%2Fj.injury.2023.01.033&amp;atitle=A+comparison+of+the+outcomes+of+anterior+curciate+ligament+reconstruction+with+large-size+graft+versus+reconstruction+with+average-size+graft+combined+with+extraarticular+tenodesis&amp;stitle=Injury&amp;title=Injury&amp;volume=54&amp;issue=3&amp;spage=976&amp;epage=982&amp;aulast=El-Azab&amp;aufirst=Hossam&amp;auinit=H.&amp;aufull=El-Azab+H.&amp;coden=INJUB&amp;isbn=&amp;pages=976-982&amp;date=2023&amp;auinit1=H&amp;auinitm=</t>
  </si>
  <si>
    <t>KuliÅ„ski K., WaÅ›ko M.K., TramÅ› E., Malesa K., Pomianowski S., KamiÅ„ski R.</t>
  </si>
  <si>
    <t>(KuliÅ„ski K.; TramÅ› E.; Malesa K.; Pomianowski S.; KamiÅ„ski R.) Department of Orthopaedics and Trauma Surgery, Professor Adam Gruca Teaching Hospital, Centre of Postgraduate Medical Education, Otwock, Poland. , (WaÅ›ko M.K.) Department of Radiology, Centre of Postgraduate Medical Education, Warsaw, Poland.</t>
  </si>
  <si>
    <t>The American journal of sports medicine (2023) 51:3 (615-626). Date of Publication: 1 Mar 2023</t>
  </si>
  <si>
    <t>BACKGROUND: Hamstring tendon grafts are the most common choice for anterior cruciate ligament (ACL) reconstruction (ACLR). Previous studies have provided evidence that offers conflicting opinions concerning the most favorable graft choice. PURPOSE: To identify whether the use of a quadrupled semitendinosus tendon (ST) or doubled semitendinosus tendon and gracilis tendon (ST/G) graft provides comparable anterior tibial translation (ATT) with similar functional results and similar donor site morbidity. STUDY DESIGN: Randomized controlled trial; Level of evidence, 1. METHODS: 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 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 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 TRIAL REGISTRATION: clinicaltrials.gov: NCT03626883.</t>
  </si>
  <si>
    <t>ClinicalTrials.gov (NCT03626883)</t>
  </si>
  <si>
    <t>L640443246</t>
  </si>
  <si>
    <t>http://dx.doi.org/10.1177/03635465221149738</t>
  </si>
  <si>
    <t>https://www.embase.com/search/results?subaction=viewrecord&amp;id=L640443246&amp;from=export</t>
  </si>
  <si>
    <t>https://catalyst.library.jhu.edu/openurl/01JHU_INST/01JHU_INST:JHU?sid=EMBASE&amp;sid=EMBASE&amp;issn=15523365&amp;id=doi:10.1177%2F03635465221149738&amp;atitle=Anterior+Cruciate+Ligament+Reconstruction+Using+a+4-Strand+Semitendinosus+Tendon+Graft+or+a+Doubled+Semitendinosus+and+Gracilis+Tendon+Graft%3A+A+4.5-Year+Prospective%2C+Randomized%2C+Double-Blind%2C+Parallel-Group+Study&amp;stitle=Am+J+Sports+Med&amp;title=The+American+journal+of+sports+medicine&amp;volume=51&amp;issue=3&amp;spage=615&amp;epage=626&amp;aulast=Kuli%C5%84ski&amp;aufirst=Krzysztof&amp;auinit=K.&amp;aufull=Kuli%C5%84ski+K.&amp;coden=&amp;isbn=&amp;pages=615-626&amp;date=2023&amp;auinit1=K&amp;auinitm=</t>
  </si>
  <si>
    <t>Prospective Study of Assessment of Proprioception Recovery Post Anatomical Anterior Cruciate Ligament Reconstruction with Remnant Retention</t>
  </si>
  <si>
    <t>Bansal A., Dachepalli S., Agarwal S.</t>
  </si>
  <si>
    <t>(Bansal A.; Dachepalli S.; Agarwal S.) Yashoda Hospital, Somajiguda, Telangana, Hyderabad, India.</t>
  </si>
  <si>
    <t>S. Agarwal, Yashoda Hospital, Somajiguda, Telangana, Hyderabad, India.</t>
  </si>
  <si>
    <t>International Journal of Pharmaceutical and Clinical Research (2023) 15:4 (1619-1629). Date of Publication: 2023</t>
  </si>
  <si>
    <t>International Journal of Pharmaceutical and Clinical Research</t>
  </si>
  <si>
    <t>0975-1556 (electronic)</t>
  </si>
  <si>
    <t>Dr Yashwant Research Labs Pvt Ltd</t>
  </si>
  <si>
    <t>Background: Most of proprioception receptors of anterior cruciate ligament (ACL) for somatosensory reflex arc are present in tibial footprint. These receptors start disappearing after tear and degenerate by the end of a year. Retaining these receptors can help in early rehabilitation, graft ligamentization and reducing postoperative graft re-ruptures. Objectives: To evaluate proprioception post ACL reconstruction between remnant retaining and remnant non retaining group by Lysholm knee score and clinical propriception assessment. Methods: Participants between age 15-45 years within 6 months of ACL injury presented to our hospital between January 2021 to December 2021 were randomised and divided into two groups of remnant retaining (RR) and non-Remnant retaining surgery (NRR), were evaluated by joint position sense weight bearing (WB) and non-weight bearing (NWB) tests, followed by functional scoring with Lysholm knee score at 6weeks, 3 months, 6 months, 1 year and 2 years. Result: 31 patients (M-18, F-13) were enrolled in RR (n-17) and NRR (n-14) depending upon surgical technique with mean age 34.1Â±7.6 years and 32.2Â±4.8 years respectively. Preoperative mean scores were 53Â±4.4 and 52Â±5.7 in each group. Mean of preoperative NWB test were 42Â±2.7 (RR) and 40.7Â±3 (NRR) respectively. Mean score of the preoperative WB test were 44.3Â±3.3 (RR) and 44Â±3.3 (NRR) respectively. At 6 weeks, RR group had score 63Â±3.4, NWB 40.4Â±2.8, WB 42.3Â±3. NRR group had similar picture (Score 66Â±2.8, NWB 42.5Â±2.4, and WB 46.3Â±2.6). There was significant difference in score and proprioception test between groups at the end of 6 months and thereafter till 2 years. In RR group, numbers were following (score-85Â±7, NWB-33Â±3, WB-35Â±3.7) as compared to NRR group (score 73Â±4, NWB-39Â±3, WB-41Â±3.4). Patients of RR group were followed till end of 2 years had mean score 98. Conclusion: Remnant retaining anatomical ACL reconstruction using hamstring graft have better proprioception recovery compared to non-remnant retaining group in short period of time which can avoid serious complication post-surgery like re-rupture of graft due to frequent falls.</t>
  </si>
  <si>
    <t>L2023822448</t>
  </si>
  <si>
    <t>https://www.embase.com/search/results?subaction=viewrecord&amp;id=L2023822448&amp;from=export</t>
  </si>
  <si>
    <t>https://catalyst.library.jhu.edu/openurl/01JHU_INST/01JHU_INST:JHU?sid=EMBASE&amp;sid=EMBASE&amp;issn=09751556&amp;id=doi:&amp;atitle=Prospective+Study+of+Assessment+of+Proprioception+Recovery+Post+Anatomical+Anterior+Cruciate+Ligament+Reconstruction+with+Remnant+Retention&amp;stitle=Intl.+J.+Pharm.+Clin.+Res.&amp;title=International+Journal+of+Pharmaceutical+and+Clinical+Research&amp;volume=15&amp;issue=4&amp;spage=1619&amp;epage=1629&amp;aulast=Bansal&amp;aufirst=A.&amp;auinit=A.&amp;aufull=Bansal+A.&amp;coden=&amp;isbn=&amp;pages=1619-1629&amp;date=2023&amp;auinit1=A&amp;auinitm=</t>
  </si>
  <si>
    <t>Use of Nordic Hamstring Exercise to Improve Hamstrings Function in Patients After ACL Reconstruction</t>
  </si>
  <si>
    <t>clinicaltrials.gov (2022). Date of Publication: 2 Nov 2022</t>
  </si>
  <si>
    <t>Brief SummaryAnterior cruciate ligament (ACL) injuries constitute a significant portion of major knee joint injuries sustained by young, active individuals, and significantly increase risk for long-term disability. Yet the recommended solution to restore joint stability following injury--ACL reconstruction (ACLR)--does not prevent post-traumatic knee osteoarthritis (PTOA). Post-traumatic quadriceps (dys)function is a hallmark characteristic following ACLR, reported to accelerate the onset of PTOA after ACL injury, making the recovery of muscle function a primary concern to clinicians. However, hamstrings muscle function is drastically underrepresented relative to the quadriceps in the context of recovery from ACLR, which impedes the ability to develop targeted treatment approaches. Persistent hamstrings weakness is widely reported in patients who undergo ACLR with a hamstring tendon (HT) autograft, which increases ACL strain, and may contribute to higher graft failure rates in this population. To effectively treat muscular impairments, underlying neuromuscular adaptations known to occur in response to ACLR must be targeted. Eccentric exercise is uniquely suited to enhance neuromuscular function. The Nordic hamstring exercise (NHE) is a specific form of eccentric exercise that is clinically relevant and easy to implement, but has not been explored as an intervention for hamstrings neuromuscular dysfunction in patients who undergo ACLR with HT. To establish an evidence-based treatment model, the investigators will use a single-blind, randomized controlled clinical trial to establish the feasibility and efficacy of a 4-week NHE protocol in patients who undergo ACLR with HT. Separate factorial ANOVAs will be used to assess the effects of group (NHE, control) and time (baseline, 4 weeks) on selected outcomes. Effect sizes will be calculated for within- and between-group comparisons. The investigators expect to observe improvements in hamstrings neuromuscular function following the NHE protocol, and that those improvements will be greater than the control group. Additionally, the investigators expect the protocol to be feasible in terms of intervention adherence and patient retention. This study will identify specific barriers to the implementation of NHE in patients who undergo ACLR with HT, and will provide support for the application of an easy to implement clinical intervention able to address a complex neurophysiological problem.</t>
  </si>
  <si>
    <t>LNCT05738200</t>
  </si>
  <si>
    <t>https://clinicaltrials.gov/study/NCT05738200</t>
  </si>
  <si>
    <t>https://www.embase.com/search/results?subaction=viewrecord&amp;id=LNCT05738200&amp;from=export</t>
  </si>
  <si>
    <t>Beaudoin A., Ogborn D., McRae S., Larose G., Brown H., McCormack R., MacDonald P.</t>
  </si>
  <si>
    <t>(Beaudoin A.) Max Rady College of Medicine, University of Manitoba, 75 Poseidon Bay, Winnipeg, MB, Canada. , (Ogborn D.; McRae S.; Brown H.; MacDonald P.) Pan Am Clinic Foundation, Winnipeg, MB, Canada. , (Ogborn D.; McRae S.; Larose G.; MacDonald P.) Department of Surgery, Orthopedic Section, University of Manitoba, Winnipeg, MB, Canada. , (Ogborn D.; McRae S.) Department of Physical Therapy, University of Manitoba, Winnipeg, MB, Canada. , (McCormack R.) Department of Orthopaedic Surgery, University of British Columbia, Vancouver, BC, Canada.</t>
  </si>
  <si>
    <t>Knee surgery, sports traumatology, arthroscopy : official journal of the ESSKA (2022) 30:11 (3718-3725). Date of Publication: 1 Nov 2022</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</si>
  <si>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Â± 9.5 years of age, 31 males, 19 females) reported on re-injury at 12.6 Â±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patients.Level II.</t>
  </si>
  <si>
    <t>L637925651</t>
  </si>
  <si>
    <t>http://dx.doi.org/10.1007/s00167-022-06980-x</t>
  </si>
  <si>
    <t>https://www.embase.com/search/results?subaction=viewrecord&amp;id=L637925651&amp;from=export</t>
  </si>
  <si>
    <t>https://catalyst.library.jhu.edu/openurl/01JHU_INST/01JHU_INST:JHU?sid=EMBASE&amp;sid=EMBASE&amp;issn=14337347&amp;id=doi:10.1007%2Fs00167-022-06980-x&amp;atitle=No+differences+found+in+long-term+outcomes+of+a+randomized+controlled+trial+comparing+ipsilateral+versus+contralateral+hamstring+graft+in+ACL+reconstruction&amp;stitle=Knee+Surg+Sports+Traumatol+Arthrosc&amp;title=Knee+surgery%2C+sports+traumatology%2C+arthroscopy+%3A+official+journal+of+the+ESSKA&amp;volume=30&amp;issue=11&amp;spage=3718&amp;epage=3725&amp;aulast=Beaudoin&amp;aufirst=Alisha&amp;auinit=A.&amp;aufull=Beaudoin+A.&amp;coden=&amp;isbn=&amp;pages=3718-3725&amp;date=2022&amp;auinit1=A&amp;auinitm=</t>
  </si>
  <si>
    <t>Vieira de Melo R.F., Komatsu W.R., Freitas M.S., Vieira de Melo M.E., Cohen M.</t>
  </si>
  <si>
    <t>(Vieira de Melo R.F.) Universidade Federal de SÃ£o Paulo, SÃ£o Paulo, Brazil. , (Komatsu W.R.; Freitas M.S.; Cohen M.) Universidade Federal de SÃ£o Paulo, SÃ£o Paulo, Brazil. , (Vieira de Melo M.E.) Universidade CatÃ³lica de Pernambuco, Recife, Brazil.</t>
  </si>
  <si>
    <t>Journal of rehabilitation medicine (2022) 54 (jrm00337). Date of Publication: 1 Nov 2022</t>
  </si>
  <si>
    <t>Journal of rehabilitation medicine</t>
  </si>
  <si>
    <t>jrm00337</t>
  </si>
  <si>
    <t>1651-2081 (electronic)</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</si>
  <si>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</si>
  <si>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L639177457</t>
  </si>
  <si>
    <t>http://dx.doi.org/10.2340/jrm.v54.2550</t>
  </si>
  <si>
    <t>https://www.embase.com/search/results?subaction=viewrecord&amp;id=L639177457&amp;from=export</t>
  </si>
  <si>
    <t>https://catalyst.library.jhu.edu/openurl/01JHU_INST/01JHU_INST:JHU?sid=EMBASE&amp;sid=EMBASE&amp;issn=16512081&amp;id=doi:10.2340%2Fjrm.v54.2550&amp;atitle=Comparison+of+Quadriceps+and+Hamstring+Muscle+Strength+after+Exercises+with+and+without+Blood+Flow+Restriction+following+Anterior+Cruciate+Ligament+Surgery%3A+A+Randomized+Controlled+Trial&amp;stitle=J+Rehabil+Med&amp;title=Journal+of+rehabilitation+medicine&amp;volume=54&amp;issue=&amp;spage=jrm00337&amp;epage=&amp;aulast=Vieira+de+Melo&amp;aufirst=Rafael+Francisco&amp;auinit=R.F.&amp;aufull=Vieira+de+Melo+R.F.&amp;coden=&amp;isbn=&amp;pages=jrm00337-&amp;date=2022&amp;auinit1=R&amp;auinitm=F</t>
  </si>
  <si>
    <t>Comparison of Two ACL Reconstruction Techniques: All-inside Versus Complete Tibial Tunnel Technique Using Adjustable Suspensory Fixation</t>
  </si>
  <si>
    <t>Brief SummaryThis study intends to perform an all-inside and complete tibial tunnel ACL reconstruction technique in 80 patients, and compare the clinical and radiological outcomes of the two surgical procedures through follow-up.Detailed DescriptionThis is a prospective randomized, controlled, single-center clinical trial study on ACL reconstruction surgery technique. In this study, 80 patients with ACL rupture were recruited according to the enrollment criteria. The recruited patients were randomly divided into groups. The ratio of the control group is 1:1. In this study, 40 patients with ACL rupture in the experimental group will be treated with all-inside reconstruction technique, and 40 patients with ACL rupture in the control group will be treated with complete tibial tunnel technique. All operations will be performed with 4-strand autologous semitendinosus tendon. All fixations will be performed using an adjustable cortical suspensory system. After reconstruction, all subjects will participate in the collection of clinical function scores including Marx Activity score, IKDC score, and clinical evaluation including physical examination, joint laxity, CT and MRI imaging analysis.</t>
  </si>
  <si>
    <t>LNCT05574946</t>
  </si>
  <si>
    <t>https://clinicaltrials.gov/study/NCT05574946</t>
  </si>
  <si>
    <t>https://www.embase.com/search/results?subaction=viewrecord&amp;id=LNCT05574946&amp;from=export</t>
  </si>
  <si>
    <t>Cruz C.A., Mannino B.J., Pike A., Thoma D., Lindell K., Kerbel Y.E., McCadden A., Lopez A.J., Bottoni C.R.</t>
  </si>
  <si>
    <t>(Cruz C.A., chcruz93@gmail.com; Mannino B.J.; Pike A.; McCadden A.; Lopez A.J.; Bottoni C.R.) Department of Orthopaedic Surgery, Tripler Army Medical Center, Honolulu, HI, United States. , (Thoma D.; Lindell K.) Department of Radiology, Tripler Army Medical Center, Honolulu, HI, United States. , (Kerbel Y.E.) Department of Orthopaedic Surgery, University of Pennsylvania, Philadelphia, PA, United States.</t>
  </si>
  <si>
    <t>C.A. Cruz, 1 Jarrett White Rd, Honolulu, HI, United States. Email: chcruz93@gmail.com</t>
  </si>
  <si>
    <t>Journal of ISAKOS (2022) 7:5 (100-104). Date of Publication: 1 Oct 2022</t>
  </si>
  <si>
    <t>Introduction: Anterior cruciate ligament (ACL) reconstruction failure remains a commonly seen complication despite advances in technique and graft options. Recently, several studies have shown that the inclination of the tibial plateau in the sagittal plane affects the stability of the knee joint. The purpose of this study was to determine if an increased posterior slope of the tibia is associated with failure of ACL reconstruction irrespective of the graft used. Methods: From June 2002 to August 2003, a total of 100 patients with a symptomatic ACL-deficient knee were randomised to receive either a hamstring autograft or posterior tibialis allograft. All allografts were from a single tissue bank, aseptically processed, and fresh-frozen without terminal irradiation. ACL graft failures requiring reoperation with a minimum of 10-year follow-up were identified via telephone survey. Lateral radiographs of the knee of all patients were reviewed, and the slope of the tibia was measured using a standardised technique. Two fellowship-trained orthopaedic sports medicine specialists, one board-certified general orthopaedic surgeon, and two fellowship-trained musculoskeletal radiologists measured the tibial slope in all patients. Results: At a minimum of 10-year follow-up, there were four (8.3%) autograft and 13 (26.5%) allograft failures that required revision reconstruction. The overall average tibial slope of the nonfailure cohort was 9.4Â°. The overall average tibial slope of the failure cohort was 11.9Â° (P â€‹= â€‹0.0002). The average slope of the allograft failures was 11.5Â°compared with an average slope of 9.6Â° in the nonfailures (P â€‹= â€‹0.01). The average slope of the autograft failures was 13.1Â° compared with 9.3Â° in the nonfailures (P â€‹= â€‹0.011). The mean difference in tibial slope measurements was 0.665 (95% confidence interval: 0.569â€“0.750). The interrater reliability, as measured by the intraclass correlation coefficient, for tibial slope was 0.898 (95% confidence interval: 0.859â€“0.928). The Cronbach Î± was 0.904. Conclusion: In a prospective, randomised trial of ACL reconstructions using either autograft or allograft, failures were associated with a significantly increased slope of the tibia compared with the nonfailures at 10-year follow-up.</t>
  </si>
  <si>
    <t>L2018413743</t>
  </si>
  <si>
    <t>http://dx.doi.org/10.1016/j.jisako.2022.04.002</t>
  </si>
  <si>
    <t>https://www.embase.com/search/results?subaction=viewrecord&amp;id=L2018413743&amp;from=export</t>
  </si>
  <si>
    <t>https://catalyst.library.jhu.edu/openurl/01JHU_INST/01JHU_INST:JHU?sid=EMBASE&amp;sid=EMBASE&amp;issn=20597762&amp;id=doi:10.1016%2Fj.jisako.2022.04.002&amp;atitle=Increased+posterior+tibial+slope+is+an+independent+risk+factor+of+anterior+cruciate+ligament+reconstruction+graft+rupture+irrespective+of+graft+choice&amp;stitle=J.+ISAKOS&amp;title=Journal+of+ISAKOS&amp;volume=7&amp;issue=5&amp;spage=100&amp;epage=104&amp;aulast=Cruz&amp;aufirst=Christian+A.&amp;auinit=C.A.&amp;aufull=Cruz+C.A.&amp;coden=&amp;isbn=&amp;pages=100-104&amp;date=2022&amp;auinit1=C&amp;auinitm=A</t>
  </si>
  <si>
    <t>Glasbrenner J., Raschke M.J., Kittl C., Herbst E., Peez C., Briese T., Michel P.A., Herbort M., KÃ¶sters C., Schliemann B.</t>
  </si>
  <si>
    <t>(Glasbrenner J.; Raschke M.J.; Kittl C.; Herbst E.; Peez C.; Briese T.; Michel P.A.; Schliemann B.) Department of Trauma, Hand and Reconstructive Surgery, University Hospital MÃ¼nster, MÃ¼nster, Germany. , (Herbort M.) Munich, Germany. , (KÃ¶sters C.) Department of Traumatology and Orthopedics, Greven, Germany.</t>
  </si>
  <si>
    <t>The American journal of sports medicine (2022) 50:12 (3256-3264). Date of Publication: 1 Oct 2022</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</si>
  <si>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(Î”ATT)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Â± 11.5 years in the ACL repair group and 27.1 Â± 11.5 years in the ACL reconstruction group. At 5 years postoperatively, a total of 64 patients (ACL repair: n = 34 of 43 [79%]; ACL reconstruction: n = 30 of 42 [71%]) were available for follow-up. At 5 years, Î”ATT was 1.7 Â± 1.6 mm in the ACL repair group and 1.4 Â± 1.3 mm in the ACL reconstruction group (P = .334). Preinjury PROs were restored as soon as 1 year after surgery and plateaued until 2 and 5 years postoperatively in both groups. At the 5-year follow-up, the mean Lysholm score was 97.0 Â± 5.4 versus 94.5 Â± 5.5 (P = .322), respectively, and the mean IKDC subjective score was 94.1 Â± 9.9 versus 89.9 Â± 7.8 (P = .047), respectively, in the ACL repair group versus ACL reconstruction group. At 5 years postoperatively, 12 patients in the ACL repair group (35%; age &lt;25 years: n = 10/12; Tegner score â‰¥7: n = 10/12) had recurrent instability, of whom 10 underwent single-stage revision ACL reconstruction. In the ACL reconstruction group, there were 6 patients with recurrent instability (20%; age &lt;25 years: n = 6/6; Tegner score â‰¥7: n = 5/6); however, in 5 patients, staged revision was required. Differences between both groups regarding recurrent instability (P = .09) or ACL revision surgery (P = .118) were not statistically significant. Recurrent instability was associated with age &lt;25 years and Tegner score &gt;7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â‰¥25 years with low to moderate activity levels (Tegner score &lt;7). REGISTRATION: DRKS00015466 (German Clinical Trials Register).</t>
  </si>
  <si>
    <t>L638838449</t>
  </si>
  <si>
    <t>http://dx.doi.org/10.1177/03635465221117777</t>
  </si>
  <si>
    <t>https://www.embase.com/search/results?subaction=viewrecord&amp;id=L638838449&amp;from=export</t>
  </si>
  <si>
    <t>https://catalyst.library.jhu.edu/openurl/01JHU_INST/01JHU_INST:JHU?sid=EMBASE&amp;sid=EMBASE&amp;issn=15523365&amp;id=doi:10.1177%2F03635465221117777&amp;atitle=Comparable+Instrumented+Knee+Joint+Laxity+and+Patient-Reported+Outcomes+After+ACL+Repair+With+Dynamic+Intraligamentary+Stabilization+or+ACL+Reconstruction%3A+5-Year+Results+of+a+Randomized+Controlled+Trial&amp;stitle=Am+J+Sports+Med&amp;title=The+American+journal+of+sports+medicine&amp;volume=50&amp;issue=12&amp;spage=3256&amp;epage=3264&amp;aulast=Glasbrenner&amp;aufirst=Johannes&amp;auinit=J.&amp;aufull=Glasbrenner+J.&amp;coden=&amp;isbn=&amp;pages=3256-3264&amp;date=2022&amp;auinit1=J&amp;auinitm=</t>
  </si>
  <si>
    <t>ACL Reconstruction with Bone Tendon Bone (BTB) Autograft with Versus Without Internal Brace - Clinical and Radiographic Outcomes</t>
  </si>
  <si>
    <t>clinicaltrials.gov (2022). Date of Publication: 4 Sep 2022</t>
  </si>
  <si>
    <t>Brief SummaryThere is no consensus regarding the best surgical management of primary ACL tears. Recent evidence suggests that internal brace augmentation may increase load failure and therefore stabilize the graft in-situ at the time of ACL reconstruction. This prospective randomized controlled trial aims to compare the time to return to activity, and participant reported outcomes in participants with bone-tendon-bone ACL reconstruction with and without (control) internal brace augmentation.Detailed DescriptionDespite the wide variety of surgical approaches and grafts that can be used in an ACL reconstruction, graft failure and recurrent knee instability are nevertheless ubiquitous issues that have facilitated interest in ways to strengthen the graft at the time of surgery. While both animal and biomechanical models have strongly suggested improved graft strength and patient outcomes by utilizing suture tape augmentation in ACL reconstructions, there is scant clinical literature available to assess these extrapolations. A retrospective cohort study of 60 patients undergoing ACL reconstruction with a hamstring autograft or allograft (30 suture tape vs 30 no suture tape; mean age: 30), found shorter time to return to activity (9.2 months suture tape group vs 12.9 months no suture tape group; p=0.002), lower Western Ontario and McMaster University Osteoarthritis Indices (WOMAC) (2.2 suture tape group vs 6.2 no suture tape group; p=0.024), higher international knee documentation committee (IKDC) scores (87.6 suture tape group vs 73.2 no suture tape group; p=0.006), lower average pain on the national pain rating scale (NPRS) (0.6 suture tape group vs 1.66 no suture tape group; p=0.021) and no significant difference in range of motion in degrees (129 suture tape group vs 127 no suture tape group; p=0.46), knee injury and osteoarthritis outcome score (KOOS) (92.2 suture tape group vs 87.1 no suture tape group; p=0.68), or complications (13% suture tape vs 10% no suture tape; p\&gt;0.05) at 2 years follow up. A retrospective cohort study of 108 patients undergoing ACL reconstruction with a hamstring autograft with and without suture tape reinforcement (36 suture tape vs 72 no suture tape; mean age: 25), found a significantly higher Tegner activity score (7.1 suture tape group vs 6.4 no suture tape group; p=0.026) but otherwise no significant difference in time to preinjury activity level (11.9 mos suture tape group vs 11.6 no suture tape group; p=0.59), range of motion (degrees) (136 suture tape group vs 137 no suture tape group; p=0.44) , Lysholm knee score (95.6 suture tape group vs 94 no suture tape group; p=0.165), IKDC score (94.4 suture tape group vs 93.8 no suture tape group; p=0.44), or complications (6% suture tape group vs 5% no suture tape group; p\&gt;0.05) at 2 years follow up. A prospective cohort study of 50 ACL reconstructions with hamstring autograft with and without suture tape reinforcement (25 suture tape group vs 25 no suture tape group; mean age: 30), found a significant improvement in greater than 2 grades of Lachman testing from preoperative assessment compared to 6 months follow-up (68% suture tape group vs 32% no suture tape group; p=0.039) but no difference in Lysholm knee score at 6 months (87.0 suture tape group vs 87.0 no suture tape group; p=0.756). Moreover, none of the already-limited clinical data investigates the use of internal braces with bone-tendon-bone grafts, which are a popular choice for young adults and athletes. Furthermore, there are no current level 1 data on this subject. Therefore, this study aims to compare the time to return to pre- injury activity level, incidence of recurrent knee instability, and patient reported outcomes of patients treated with ACL reconstruction using bone-tendon-bone autograft with and without (control group) internal brace stabilization.</t>
  </si>
  <si>
    <t>LNCT05532189</t>
  </si>
  <si>
    <t>https://clinicaltrials.gov/study/NCT05532189</t>
  </si>
  <si>
    <t>https://www.embase.com/search/results?subaction=viewrecord&amp;id=LNCT05532189&amp;from=export</t>
  </si>
  <si>
    <t>Radial Extracorporeal Shock Wave Therapy Enhances Graft Maturation at 2-Year Follow-up After ACL Reconstruction: A Randomized Controlled Trial</t>
  </si>
  <si>
    <t>Zhang S., Wen A., Li S., Yao W., Liu C., Lin Z., Jin Z., Chen J., Hua Y., Chen S., Li Y.</t>
  </si>
  <si>
    <t>(Zhang S.; Wen A.; Li S.; Yao W.; Liu C.; Lin Z.; Jin Z.; Chen J.; Hua Y.; Chen S.; Li Y., liyunxia912@aliyun.com) Department of Sports Medicine, Huashan Hospital, Fudan University, Shanghai, China. , (Wen A.) Department of Sport Rehabilitation, Shanghai University of Sport, Shanghai, China.</t>
  </si>
  <si>
    <t>Y. Li, Department of Sports Medicine, Huashan Hospital, Fudan University, Shanghai, China. Email: liyunxia912@aliyun.com</t>
  </si>
  <si>
    <t>Orthopaedic Journal of Sports Medicine (2022) 10:9. Date of Publication: 1 Sep 2022</t>
  </si>
  <si>
    <t>Background: Graft maturation is an important prognostic factor for hamstring autograft anterior cruciate ligament reconstruction (ACLR). It remains unclear whether extracorporeal shock wave therapy (ESWT) can promote graft healing after ACLR. Purpose: To evaluate the therapeutic and graft maturation effects of ESWT in hamstring autograft ACLR. Study Design: Randomized controlled trial; Level of evidence, 1. Methods: Between May 18, 2019, and September 20, 2019, we randomly assigned 30 patients who met study inclusion criteria to 2 groups. Patients in the control group followed a 5-week advanced rehabilitation training program (30 minutes/session, 5 times/week) starting at 3 months postoperatively. In the ESWT group, together with the 5-week advanced rehabilitation training, radial ESWT was applied once a week for 5 weeks. Functional scores (Lysholm, International Knee Documentation Committee, and Tegner scores), KT-1000 arthrometer knee laxity measurement, and magnetic resonance imaging scans were assessed at 3 months (baseline), 6 months, and 24 months postoperatively. To evaluate graft maturation, we assessed the graft signal-to-noise quotients (SNQs) of the tibial, intra-articular, and femoral sides on magnetic resonance imaging scans. Data were compared between the ESWT and control groups. Results: In total, 26 patients (13 with ESWT, 13 controls) were assessed. There were no significant between-group differences on any assessment at baseline, and no significant within-group or between-group differences were found in knee laxity at any point. At 24-month follow-up, the ESWT group had significantly higher Lysholm and Tegner scores compared with the controls (P =.012 and.017, respectively). Regarding graft maturation, at 6-month follow-up, the SNQ of the tibial intraosseous graft was significantly lower in the ESWT group versus controls (P =.006), but no differences were detected at the femoral intraosseous graft (P =.321) or the intra-articular graft (P =.314). At 24-month follow-up, the SNQs of the femoral intraosseous graft and intra-articular graft were significantly lower in the ESWT group versus controls (P =.020 and.044, respectively) but no difference was found at the tibial intraosseous graft (P =.579). Conclusion: Both enhanced graft maturation and improved functional scores at 24-month follow-up were seen in patients who received radial ESWT during rehabilitation after hamstring autograft ACLR. Registration: ChiCTR1900022853 (Chinese Clinical Trial Registry).</t>
  </si>
  <si>
    <t>L2019388551</t>
  </si>
  <si>
    <t>10.1177/23259671221116340</t>
  </si>
  <si>
    <t>http://dx.doi.org/10.1177/23259671221116340</t>
  </si>
  <si>
    <t>https://www.embase.com/search/results?subaction=viewrecord&amp;id=L2019388551&amp;from=export</t>
  </si>
  <si>
    <t>https://catalyst.library.jhu.edu/openurl/01JHU_INST/01JHU_INST:JHU?sid=EMBASE&amp;sid=EMBASE&amp;issn=23259671&amp;id=doi:10.1177%2F23259671221116340&amp;atitle=Radial+Extracorporeal+Shock+Wave+Therapy+Enhances+Graft+Maturation+at+2-Year+Follow-up+After+ACL+Reconstruction%3A+A+Randomized+Controlled+Trial&amp;stitle=Orthop.+J.+Sports+Med.&amp;title=Orthopaedic+Journal+of+Sports+Medicine&amp;volume=10&amp;issue=9&amp;spage=&amp;epage=&amp;aulast=Zhang&amp;aufirst=Shurong&amp;auinit=S.&amp;aufull=Zhang+S.&amp;coden=&amp;isbn=&amp;pages=-&amp;date=2022&amp;auinit1=S&amp;auinitm=</t>
  </si>
  <si>
    <t>Graft choices for anterolateral ligament knee reconstruction surgery: Current concepts</t>
  </si>
  <si>
    <t>Chalidis B., Pitsilos C., Kitridis D., Givissis P.</t>
  </si>
  <si>
    <t>(Chalidis B., byronchalidis@gmail.com; Kitridis D.; Givissis P.) 1st Orthopaedic Department, Aristotle University of Thessaloniki, School of Medicine, Thessaloniki, Greece. , (Pitsilos C.) 2nd Orthopaedic Department, Aristotle University of Thessaloniki, School of Medicine, Thessaloniki, Greece.</t>
  </si>
  <si>
    <t>B. Chalidis, 1st Orthopaedic Department, Aristotle University of Thessaloniki, School of Medicine, Thessaloniki, Greece. Email: byronchalidis@gmail.com</t>
  </si>
  <si>
    <t>World Journal of Clinical Cases (2022) 10:24 (8463-8473). Date of Publication: 26 Aug 2022</t>
  </si>
  <si>
    <t>World Journal of Clinical Cases</t>
  </si>
  <si>
    <t>2307-8960 (electronic)</t>
  </si>
  <si>
    <t>Baishideng Publishing Group Inc</t>
  </si>
  <si>
    <t>The anterolateral ligament (ALL) is a primary structure of the anterolateral complex of the knee that contributes to internal rotational stability of the joint. Injury of the ALL is commonly associated with rupture of the anterior cruciate ligament. If left untreated, ALL lesions may lead to residual anterolateral rotational instability of the knee after anterior cruciate ligament reconstruction, which is a common cause of anterior cruciate ligament graft failure. The function of the ALL can be restored by lateral extraarticular tenodesis or anterolateral ligament reconstruction (ALLR). In the lateral extraarticular tenodesis procedure, a strip of the iliotibial band is placed in a non-anatomical position to restrain the internal rotation of the tibia, while in ALLR, a free graft is fixed at the insertion points of the native ALL. Gracilis and semitendinosus grafts have mainly been utilized for ALLR, but other autografts have also been suggested. Furthermore, allografts and synthetic grafts have been applied to minimize donor-site morbidity and maximize the size and strength of the graft. Nevertheless, there has been no strong evidence to fully support one method over another thus far. The present review presents a detailed description of the graft choices for ALLR and the current literature available in regard to the effectiveness and outcomes of published surgical techniques.</t>
  </si>
  <si>
    <t>L2019754098</t>
  </si>
  <si>
    <t>10.12998/wjcc.v10.i24.8463</t>
  </si>
  <si>
    <t>http://dx.doi.org/10.12998/wjcc.v10.i24.8463</t>
  </si>
  <si>
    <t>https://www.embase.com/search/results?subaction=viewrecord&amp;id=L2019754098&amp;from=export</t>
  </si>
  <si>
    <t>https://catalyst.library.jhu.edu/openurl/01JHU_INST/01JHU_INST:JHU?sid=EMBASE&amp;sid=EMBASE&amp;issn=23078960&amp;id=doi:10.12998%2Fwjcc.v10.i24.8463&amp;atitle=Graft+choices+for+anterolateral+ligament+knee+reconstruction+surgery%3A+Current+concepts&amp;stitle=World+J.+Clin.+Cases&amp;title=World+Journal+of+Clinical+Cases&amp;volume=10&amp;issue=24&amp;spage=8463&amp;epage=8473&amp;aulast=Chalidis&amp;aufirst=Byron&amp;auinit=B.&amp;aufull=Chalidis+B.&amp;coden=&amp;isbn=&amp;pages=8463-8473&amp;date=2022&amp;auinit1=B&amp;auinitm=</t>
  </si>
  <si>
    <t>Single versus double hamstring tendon graft in anterior cruciate ligament reconstruction in the paediatric patient: A single-blind randomised controlled trial study protocol</t>
  </si>
  <si>
    <t>Bade D., Malayko G., Johnson L., Bradford K., Reddan T., Stockton C., Frawley K., Phillips T., Saxby D., Ware R.S., Byrnes J., Carty C.P.</t>
  </si>
  <si>
    <t>(Bade D.; Malayko G.; Johnson L.; Bradford K.; Phillips T.; Carty C.P., Christopher.Carty@health.qld.gov.au) Department of Orthopaedics, Children's Health Queensland Hospital and Health Service, South Brisbane, QLD, Australia. , (Bade D.; Saxby D.; Carty C.P., Christopher.Carty@health.qld.gov.au) Griffith Centre of Biomedical and Rehabilitation Engineering, Menzies Health Institute Queensland, Griffith University, Gold Coast, QLD, Australia. , (Reddan T.; Stockton C.; Frawley K.) Department of Medical Imaging and Nuclear Medicine, Children's Health Queensland Hospital and Health Service, South Brisbane, QLD, Australia. , (Ware R.S.) Menzies Health Institute Queensland, Griffith University, Brisbane, QLD, Australia. , (Byrnes J.) Centre for Applied Health Economics, Menzies Health Institute Queensland, Griffith University, Brisbane, QLD, Australia.</t>
  </si>
  <si>
    <t>C.P. Carty, Department of Orthopaedics, Children's Health Queensland Hospital and Health Service, South Brisbane, QLD, Australia. Email: Christopher.Carty@health.qld.gov.au</t>
  </si>
  <si>
    <t>BMJ Open (2022) 12:8 Article Number: e057465. Date of Publication: 19 Aug 2022</t>
  </si>
  <si>
    <t>BMJ Open</t>
  </si>
  <si>
    <t>2044-6055 (electronic)</t>
  </si>
  <si>
    <t>BMJ Publishing Group</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</si>
  <si>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tearÂ±meniscal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 Trial registration number ACTRN12620001170910p; Australian New Zealand Clinical Trials Registry.</t>
  </si>
  <si>
    <t>L2020022831</t>
  </si>
  <si>
    <t>10.1136/bmjopen-2021-057465</t>
  </si>
  <si>
    <t>http://dx.doi.org/10.1136/bmjopen-2021-057465</t>
  </si>
  <si>
    <t>https://www.embase.com/search/results?subaction=viewrecord&amp;id=L2020022831&amp;from=export</t>
  </si>
  <si>
    <t>https://catalyst.library.jhu.edu/openurl/01JHU_INST/01JHU_INST:JHU?sid=EMBASE&amp;sid=EMBASE&amp;issn=20446055&amp;id=doi:10.1136%2Fbmjopen-2021-057465&amp;atitle=Single+versus+double+hamstring+tendon+graft+in+anterior+cruciate+ligament+reconstruction+in+the+paediatric+patient%3A+A+single-blind+randomised+controlled+trial+study+protocol&amp;stitle=BMJ+Open&amp;title=BMJ+Open&amp;volume=12&amp;issue=8&amp;spage=&amp;epage=&amp;aulast=Bade&amp;aufirst=David&amp;auinit=D.&amp;aufull=Bade+D.&amp;coden=&amp;isbn=&amp;pages=-&amp;date=2022&amp;auinit1=D&amp;auinitm=</t>
  </si>
  <si>
    <t>Medial Collateral Ligament Reconstruction With Anteromedial Reinforcement for Medial and Anteromedial Rotatory Knee Instability</t>
  </si>
  <si>
    <t>clinicaltrials.gov (2022). Date of Publication: 3 Aug 2022</t>
  </si>
  <si>
    <t>Brief SummaryThe aim of this study is to assess the outcomes of the combined quadriceps tendon-bone (QTB) ACLR and MCLR with anteromedial reinforcement performed as described in the published technique: K. Malinowski, K. Hermanowicz, A. GÃ³ralczyk, R.F. LaPrade, Medial Collateral Ligament Reconstruction With Anteromedial Reinforcement for Medial and Anteromedial Rotatory Instability of the Knee, Arthrosc. Tech. 8 (2019) e807-e814. https://doi.org/10.1016/j.eats.2019.03.019.Detailed DescriptionMedial collateral ligament (MCL) injuries are one of the most common sports knee injuries, commonly occuring together with anterior cruciate ligament (ACL) injuries. Their effect on the knee joint can be detrimental with patients experiencing medial instability and anteromedial rotatory instability (AMRI), leading to progressive damage of the intraarticular structures. While healing potential of medial knee stabilizing structures is relatively high, medial collateral ligament reconstruction (MCLR) is sometimes indicated. Multiple reconstructions techniques were described, including both procedures utilizing native semitendinosus tendon with distal attachment left intact as well as with auto- or allo-grafts. However, in part of these techniques, AMRI is not addressed. Therefore, the aim of this study is to assess the outcomes of the combined quadriceps tendon-bone (QTB) ACLR and MCLR with anteromedial reinforcement performed as described in the published technique: K. Malinowski, K. Hermanowicz, A. GÃ³ralczyk, R.F. LaPrade, Medial Collateral Ligament Reconstruction With Anteromedial Reinforcement for Medial and Anteromedial Rotatory Instability of the Knee, Arthrosc. Tech. 8 (2019) e807-e814. https://doi.org/10.1016/j.eats.2019.03.019. The primary outcome consists of The International Knee Documentation Committee Questionnaire (IKDC) and the Knee injury and Osteoarthritis Outcome Score (KOOS).</t>
  </si>
  <si>
    <t>LNCT05489627</t>
  </si>
  <si>
    <t>https://clinicaltrials.gov/study/NCT05489627</t>
  </si>
  <si>
    <t>https://www.embase.com/search/results?subaction=viewrecord&amp;id=LNCT05489627&amp;from=export</t>
  </si>
  <si>
    <t>Is Peroneus longus autograft a better alternative to the Hamstring autograft for anterior cruciate ligament reconstruction? â€“ A randomised control study</t>
  </si>
  <si>
    <t>Vijay C., Santosh M.S., Avinash C., Adarsh T.</t>
  </si>
  <si>
    <t>(Vijay C.; Santosh M.S.; Avinash C.; Adarsh T., adarsht25@gmail.com) Department of Orthopaedics, JSS Medical College, JSS Academy of Higher Education and Research, Karnataka, Mysore, India.</t>
  </si>
  <si>
    <t>T. Adarsh, Department of Orthopaedics, JSS Medical College, JSS Academy of Higher Education and Research, Karnataka, Mysore, India. Email: adarsht25@gmail.com</t>
  </si>
  <si>
    <t>Journal of Orthopaedics, Trauma and Rehabilitation (2022) 29:1. Date of Publication: 1 Jun 2022</t>
  </si>
  <si>
    <t>Journal of Orthopaedics, Trauma and Rehabilitation</t>
  </si>
  <si>
    <t>2210-4925 (electronic),2210-4917</t>
  </si>
  <si>
    <t>SAGE Publications Inc.</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</si>
  <si>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1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</si>
  <si>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L2015583944</t>
  </si>
  <si>
    <t>10.1177/22104917221088335</t>
  </si>
  <si>
    <t>http://dx.doi.org/10.1177/22104917221088335</t>
  </si>
  <si>
    <t>https://www.embase.com/search/results?subaction=viewrecord&amp;id=L2015583944&amp;from=export</t>
  </si>
  <si>
    <t>https://catalyst.library.jhu.edu/openurl/01JHU_INST/01JHU_INST:JHU?sid=EMBASE&amp;sid=EMBASE&amp;issn=22104925&amp;id=doi:10.1177%2F22104917221088335&amp;atitle=Is+Peroneus+longus+autograft+a+better+alternative+to+the+Hamstring+autograft+for+anterior+cruciate+ligament+reconstruction%3F+%E2%80%93+A+randomised+control+study&amp;stitle=J.+Orthop.+Traum.+Rehabil.&amp;title=Journal+of+Orthopaedics%2C+Trauma+and+Rehabilitation&amp;volume=29&amp;issue=1&amp;spage=&amp;epage=&amp;aulast=Vijay&amp;aufirst=&amp;auinit=C.&amp;aufull=Vijay+C.&amp;coden=&amp;isbn=&amp;pages=-&amp;date=2022&amp;auinit1=C&amp;auinitm=</t>
  </si>
  <si>
    <t>Horstmann H., Petri M., Tegtbur U., Felmet G., Krettek C., Jagodzinski M.</t>
  </si>
  <si>
    <t>(Horstmann H., hauke.horstmann@diakovere.de; Krettek C.; Jagodzinski M.) Department of Trauma, Hannover Medical School (MHH), Carl-Neuberg-Str. 1, Hannover, Germany. , (Horstmann H., hauke.horstmann@diakovere.de; Petri M.) Department of Orthopaedic Surgery, Hannover Medical School, Anna-von-Borries-Str. 1-7, Hannover, Germany. , (Tegtbur U.) Department of Sports Medicine, Hannover Medical School (MHH), Carl-Neuberg-Str. 1, Hannover, Germany. , (Felmet G.) ARTICO Sportklinik, Hirschbergstrasse 25, Villingen-Schwenningen, Germany.</t>
  </si>
  <si>
    <t>H. Horstmann, Department of Trauma, Hannover Medical School (MHH), Carl-Neuberg-Str. 1, Hannover, Germany. Email: hauke.horstmann@diakovere.de</t>
  </si>
  <si>
    <t>Archives of Orthopaedic and Trauma Surgery (2022) 142:2 (281-289). Date of Publication: 1 Feb 2022</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</si>
  <si>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Â± 3.0 mm in patients with hamstring tendon reconstruction and 5.5 Â±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Â± 45.5 days while patients in the quadriceps tendon group needed 82.1 Â± 45.6 days. Conclusion: Quadriceps and hamstring tendon autografts yield comparably good results in primary anterior cruciate ligament reconstruction.</t>
  </si>
  <si>
    <t>L2010853895</t>
  </si>
  <si>
    <t>http://dx.doi.org/10.1007/s00402-021-03862-8</t>
  </si>
  <si>
    <t>https://www.embase.com/search/results?subaction=viewrecord&amp;id=L2010853895&amp;from=export</t>
  </si>
  <si>
    <t>https://catalyst.library.jhu.edu/openurl/01JHU_INST/01JHU_INST:JHU?sid=EMBASE&amp;sid=EMBASE&amp;issn=14343916&amp;id=doi:10.1007%2Fs00402-021-03862-8&amp;atitle=Quadriceps+and+hamstring+tendon+autografts+in+ACL+reconstruction+yield+comparably+good+results+in+a+prospective%2C+randomized+controlled+trial&amp;stitle=Arch.+Orthop.+Trauma+Surg.&amp;title=Archives+of+Orthopaedic+and+Trauma+Surgery&amp;volume=142&amp;issue=2&amp;spage=281&amp;epage=289&amp;aulast=Horstmann&amp;aufirst=Hauke&amp;auinit=H.&amp;aufull=Horstmann+H.&amp;coden=AOTSE&amp;isbn=&amp;pages=281-289&amp;date=2022&amp;auinit1=H&amp;auinitm=</t>
  </si>
  <si>
    <t>Clinical Outcomes of the Application of Platelet-Rich Fibrin during Anatomic Anterior Cruciate Ligament Reconstruction: Results of Prospective Randomised Study</t>
  </si>
  <si>
    <t>KlinickÃ© vÃ½sledky aplikace fibrinu bohatÃ©ho na destiÄ_x008d_ky bÄ›hem anatomickÃ© rekonstrukce pÅ™ednÃ­ho zkÅ™Ã­Å¾enÃ©ho vazu: vÃ½sledky prospektivnÃ­ randomizovanÃ© studie</t>
  </si>
  <si>
    <t>Kasl J., Zeman P., Pavelka T., CibulkovÃ¡ J., PilnÃ½ J., MatÄ›jka J.</t>
  </si>
  <si>
    <t>(Kasl J.; Zeman P., zempet@centrum.cz; Pavelka T.; MatÄ›jka J.) Klinika ortopedie a traumatologie pohybovÃ©ho ÃºstrojÃ­ LÃ©kaÅ™skÃ© fakulty Univerzity Karlovy a FakultnÃ­ nemocnice, PlzeÅˆ, Czech Republic. , (CibulkovÃ¡ J.) Klinika zobrazovacÃ­ch metod LÃ©kaÅ™skÃ© fakulty Univerzity Karlovy a FakultnÃ­ nemocnice, PlzeÅˆ, Czech Republic. , (PilnÃ½ J.) Ãšstav anatomie LÃ©kaÅ™skÃ© fakulty Univerzity Karlovy Hradec KrÃ¡lovÃ©, Czech Republic. , (PilnÃ½ J.) Katedra chirurgie, OstravskÃ¡ Univerzita, Czech Republic.</t>
  </si>
  <si>
    <t>P. Zeman, Klinika ortopedie a traumatologie pohybovÃ©ho ÃºstrojÃ­ LF, UK a FN PlzeÅˆ, Alej Svobody 80, PlzeÅˆ, Czech Republic. Email: zempet@centrum.cz</t>
  </si>
  <si>
    <t>Acta Chirurgiae Orthopaedicae et Traumatologiae Cechoslovaca (2022) 89:4 (279-285). Date of Publication: 2022</t>
  </si>
  <si>
    <t>Acta Chirurgiae Orthopaedicae et Traumatologiae Cechoslovaca</t>
  </si>
  <si>
    <t>0001-5415</t>
  </si>
  <si>
    <t>Galen s.r.o.</t>
  </si>
  <si>
    <t>PURPOSE OF THE STUDY It was a prospective, randomised, unblinded study. Effects of the application of platelet-rich fibrin (PRF) on the anatomic anterior ligament reconstruction were examined. MATERIAL AND METHODS A total of 40 patients who underwent a surgery between 2012 and 2014 were enrolled in the study. The patients were randomised into two groups: the group with PRF application (n=20) and the group without PRF application (n=20, control group). The study included 11 women and 29 men, with the mean age at the time of inclusion into the study 29.1 years. Vivostat Â® PRF was obtained perioperatively from the patient s blood and applied intraoperatively to the hamstring tendon graft. The ACL graft healing was assessed through magnetic resonance (MRI) at 6 and 12 months postoperatively. The clinical outcomes (the Lysholm score and the IKDC Subjective score, return to pre-injury sport levels, Pivot-shift test, graft failure) as well as standardised laxity measurements using GenouRob arthrometer were performed preoperatively and 12 months after surgery. RESULTS The study was completed by thirty-three (33) patients (17 in the PRF group and 16 in the control group). In two cases, postoperative graft failure was reported (both cases in the control group). No significant differences were found in the process of graft ligamentization evaluated through MRI (p=0.07). No significant difference between the groups was identified with respect to return to pre-injury sport levels (p=0.232), or the Lysholm score and IKDC Subjective score (p=0.259, and p=0.364 respectively). The postoperative knee laxity measurement using Genourob arthrometer did not reveal any significant differences between the PRF group and the control group. DISCUSSION Results similar to those arrived at by our study have recently been published also by other authors worldwide. We can therefore assume that the application of PRF can be of benefit, especially at the early stage of healing. The results still need to be verified on a larger study group, the study design should focus on the development in the early postoperative period. CONCLUSIONS In our study group, no significant difference was observed in the evaluated subjective and objective clinical parameters. Only the parameter regarding the ACL graft failure fell just short of statistical significance, namely to the disadvantage of the group without the PRF application.</t>
  </si>
  <si>
    <t>Czech</t>
  </si>
  <si>
    <t>L2019015352</t>
  </si>
  <si>
    <t>https://www.embase.com/search/results?subaction=viewrecord&amp;id=L2019015352&amp;from=export</t>
  </si>
  <si>
    <t>https://catalyst.library.jhu.edu/openurl/01JHU_INST/01JHU_INST:JHU?sid=EMBASE&amp;sid=EMBASE&amp;issn=00015415&amp;id=doi:&amp;atitle=Clinical+Outcomes+of+the+Application+of+Platelet-Rich+Fibrin+during+Anatomic+Anterior+Cruciate+Ligament+Reconstruction%3A+Results+of+Prospective+Randomised+Study&amp;stitle=Acta+Chir.+Orthop.+Traumatol.+Cech.&amp;title=Acta+Chirurgiae+Orthopaedicae+et+Traumatologiae+Cechoslovaca&amp;volume=89&amp;issue=4&amp;spage=279&amp;epage=285&amp;aulast=Kasl&amp;aufirst=&amp;auinit=J.&amp;aufull=Kasl+J.&amp;coden=ACOTA&amp;isbn=&amp;pages=279-285&amp;date=2022&amp;auinit1=J&amp;auinitm=</t>
  </si>
  <si>
    <t>Autologous Bone Effects On Femoral Tunnel Widening In Hamstring Acl Reconstruction</t>
  </si>
  <si>
    <t>Amr A.M., Abdel-Aziz M.K., Qandeel A.E., Elkalyoby A.S.</t>
  </si>
  <si>
    <t>(Amr A.M., amramr1101984@gmail.com) Mahalla General Hospital, Gharbia, Egypt. , (Abdel-Aziz M.K.; Qandeel A.E.; Elkalyoby A.S.) Orthopedics Department, Faculty of Medicine, Cairo University, Egypt.</t>
  </si>
  <si>
    <t>Journal of Pharmaceutical Negative Results (2022) 13 (8301-8315). Date of Publication: 2022</t>
  </si>
  <si>
    <t>Background: The anterior cruciate ligament (ACL) can be repaired using a variety of femoral graft fixation techniques. There are several techniques, however, it is unknown which is the most successful for femoral fixation. The three most common femoral fixation methods are cortical button fixation, transfemoral cross-pin fixation, and intra-osseous interference screws fixing. Aim: To assess the effects of ACL reconstruction with Endbutton femoral fixation versus Endbutton with a bone plug on femoral tunnel widening. Methods: At the faculty of medicine, Cairo University (Kasr Al Aini), and AL Haram hospital, a prospective blind controlled randomized trial was performed from February 2017 to April 2019 to evaluate two cohorts of patients. Cohort A (standard cohort) involved 20 patients with ACL reconstruction by an ipsilateral hamstring autograft with Endbutton femoral fixation. Cohort B (plug cohort) involved 20 patients with ACL reconstruction using ipsilateral hamstring autograft with the addition of a bone plug placed in the femoral tunnel. Results: We involved 40 patients who underwent ACL reconstruction surgery. Cohort A involved 20 patients who underwent the surgery using an ipsilateral hamstring autograft with end button femoral fixation. While cohort B underwent the surgery using an ipsilateral hamstring autograft with end button femoral fixation. The mean age in cohort A was 23.2 while the mean age in cohort B was 23.9. Conclusion: We reported that every ACL repair involved tunnel widening as a fixed finding. In comparison to a cohort without a bone plug, the use of autologous bone plugs next to the hamstring graft after ACL repair did not decrease femoral tunnel widening, according to the analysis of the postoperative radiological study. But it's still uncertain if this phenomenon has any therapeutic implications.</t>
  </si>
  <si>
    <t>L2022163258</t>
  </si>
  <si>
    <t>10.47750/pnr.2022.13.S09.975</t>
  </si>
  <si>
    <t>http://dx.doi.org/10.47750/pnr.2022.13.S09.975</t>
  </si>
  <si>
    <t>https://www.embase.com/search/results?subaction=viewrecord&amp;id=L2022163258&amp;from=export</t>
  </si>
  <si>
    <t>https://catalyst.library.jhu.edu/openurl/01JHU_INST/01JHU_INST:JHU?sid=EMBASE&amp;sid=EMBASE&amp;issn=22297723&amp;id=doi:10.47750%2Fpnr.2022.13.S09.975&amp;atitle=Autologous+Bone+Effects+On+Femoral+Tunnel+Widening+In+Hamstring+Acl+Reconstruction&amp;stitle=J.+Pharm.+Negat.+Results&amp;title=Journal+of+Pharmaceutical+Negative+Results&amp;volume=13&amp;issue=&amp;spage=8301&amp;epage=8315&amp;aulast=Amr&amp;aufirst=Amr+Mostafa&amp;auinit=A.M.&amp;aufull=Amr+A.M.&amp;coden=&amp;isbn=&amp;pages=8301-8315&amp;date=2022&amp;auinit1=A&amp;auinitm=M</t>
  </si>
  <si>
    <t>Repair versus reconstruction for proximal anterior cruciate ligament tears: a study protocol for a prospective multicenter randomized controlled trial</t>
  </si>
  <si>
    <t>van der List J.P., Vermeijden H.D., Sierevelt I.N., Rademakers M.V., Falke M.L.M., Helmerhorst G.T.T., Hoogeslag R.A.G., van der Wal W.A., van Noort A., Kerkhoffs G.M.M.J.</t>
  </si>
  <si>
    <t>(van der List J.P., jpjvanderlistmd@gmail.com; Sierevelt I.N.; Kerkhoffs G.M.M.J.) Department of Orthopaedic Surgery, Amsterdam UMC, University of Amsterdam, Amsterdam, Netherlands. , (van der List J.P., jpjvanderlistmd@gmail.com; Sierevelt I.N.; Rademakers M.V.; van Noort A.) Department of Orthopaedic Surgery, Spaarne Gasthuis, Hoofddorp, Netherlands. , (Vermeijden H.D.; Sierevelt I.N.) Orthopaedic Trauma Service, Department of Orthopaedic Surgery, Hospital for Special Surgery, New York, NY, United States. , (Falke M.L.M.; Helmerhorst G.T.T.) Department of Orthopaedic Surgery, Flevoziekenhuis, Almere, Netherlands. , (Hoogeslag R.A.G.) Department of Orthopaedic Surgery, Centre for Orthopaedic Surgery OCON, Hengelo, Netherlands. , (van der Wal W.A.) Department of Orthopaedic Surgery, Ziekenhuis Gelderse Vallei, Ede, Netherlands. , (Kerkhoffs G.M.M.J.) Amsterdam UMC, University of Amsterdam, Academic Center for Evidence based Sports medicine (ACES), Amsterdam, Netherlands. , (Kerkhoffs G.M.M.J.) Amsterdam UMC, Amsterdam Collaboration on Health &amp; Safety in Sports (ACHSS), University of Amsterdam and Vrije Universiteit Amsterdam IOC Research Center, Amsterdam, Netherlands.</t>
  </si>
  <si>
    <t>J.P. van der List, Department of Orthopaedic Surgery, Spaarne Gasthuis, Hoofddorp, Netherlands. Email: jpjvanderlistmd@gmail.com</t>
  </si>
  <si>
    <t>BMC Musculoskeletal Disorders (2021) 22:1 Article Number: 399. Date of Publication: 1 Dec 2021</t>
  </si>
  <si>
    <t>Background: For active patients with a tear of the anterior cruciate ligament (ACL) who would like to return to active level of sports, the current surgical gold standard is reconstruction of the ACL. Recently, there has been renewed interest in repairing the ACL in selected patients with a proximally torn ligament. Repair of the ligament has (potential) advantages over reconstruction of the ligament such as decreased surgical morbidity, faster return of range of motion, and potentially decreased awareness of the knee. Studies comparing both treatments in a prospective randomized method are currently lacking. Methods: This study is a multicenter prospective block randomized controlled trial. A total of 74 patients with acute proximal isolated ACL tears will be assigned in a 1:1 allocation ratio to either (I) ACL repair using cortical button fixation and additional suture augmentation or (II) ACL reconstruction using an all-inside autologous hamstring graft technique. The primary objective is to assess if ACL repair is non-inferior to ACL reconstruction regarding the subjective International Knee Documentation Committee (IKDC) score at two-years postoperatively. The secondary objectives are to assess if ACL repair is non-inferior with regards to (I) other patient-reported outcomes measures (i.e. Knee Injury and Osteoarthritis Outcome Score, Lysholm score, Forgotten Joint Score, patient satisfaction and pain), (II) objective outcome measures (i.e. failure of repair or graft defined as rerupture or symptomatic instability, reoperation, contralateral injury, and stability using the objective IKDC score and Rollimeter/KT-2000), (III) return to sports assessed by Tegner activity score and the ACL-Return to Sports Index at two-year follow-up, and (IV) long-term osteoarthritis at 10-year follow-up. Discussion: Over the last decade there has been a resurgence of interest in repair of proximally torn ACLs. Several cohort studies have shown encouraging short-term and mid-term results using these techniques, but prospective randomized studies are lacking. Therefore, this randomized controlled trial has been designed to assess whether ACL repair is at least equivalent to the current gold standard of ACL reconstruction in both subjective and objective outcome scores. Trial registration: Registered at Netherlands Trial Register (NL9072) on 25th of November 2020.</t>
  </si>
  <si>
    <t>L2011332456</t>
  </si>
  <si>
    <t>10.1186/s12891-021-04280-y</t>
  </si>
  <si>
    <t>http://dx.doi.org/10.1186/s12891-021-04280-y</t>
  </si>
  <si>
    <t>https://www.embase.com/search/results?subaction=viewrecord&amp;id=L2011332456&amp;from=export</t>
  </si>
  <si>
    <t>https://catalyst.library.jhu.edu/openurl/01JHU_INST/01JHU_INST:JHU?sid=EMBASE&amp;sid=EMBASE&amp;issn=14712474&amp;id=doi:10.1186%2Fs12891-021-04280-y&amp;atitle=Repair+versus+reconstruction+for+proximal+anterior+cruciate+ligament+tears%3A+a+study+protocol+for+a+prospective+multicenter+randomized+controlled+trial&amp;stitle=BMC+Musculoskelet.+Disord.&amp;title=BMC+Musculoskeletal+Disorders&amp;volume=22&amp;issue=1&amp;spage=&amp;epage=&amp;aulast=van+der+List&amp;aufirst=Jelle+P.&amp;auinit=J.P.&amp;aufull=van+der+List+J.P.&amp;coden=&amp;isbn=&amp;pages=-&amp;date=2021&amp;auinit1=J&amp;auinitm=P</t>
  </si>
  <si>
    <t>Effects of a neuromuscular training program using external focus attention cues in male athletes with anterior cruciate ligament reconstruction: a randomized clinical trial</t>
  </si>
  <si>
    <t>Ghaderi M., Letafatkar A., Thomas A.C., Keyhani S.</t>
  </si>
  <si>
    <t>(Ghaderi M.) Faculty of Physical Education and Sports Sciences, Kharazmi University, Tehran, Iran. , (Letafatkar A., letafatkaramir@yahoo.com) Sport Injury and Corrective Exercises, Kharazmi University, Tehran, Iran. , (Letafatkar A., letafatkaramir@yahoo.com) Biomechanics and Corrective Exercise Laboratory, Faculty of Physical Education and Sport sciences, Kharazmi University, Mirdamad Blvd., Hesari St, Tehran, Iran. , (Thomas A.C.) Department of Kinesiology, University of North Carolina at Charlotte, Charlotte, NC, United States. , (Keyhani S.) Orthopedic Department Chair, Akhtar Orthopedic Hospital, Shahid Beheshti University of Medical Sciences, Tehran, Iran.</t>
  </si>
  <si>
    <t>A. Letafatkar, Biomechanics and Corrective Exercise Laboratory, Faculty of Physical Education and Sport sciences, Kharazmi University, Mirdamad Blvd., Hesari St, Tehran, Iran. Email: letafatkaramir@yahoo.com</t>
  </si>
  <si>
    <t>BMC Sports Science, Medicine and Rehabilitation (2021) 13:1 Article Number: 49. Date of Publication: 1 Dec 2021</t>
  </si>
  <si>
    <t>BMC Sports Science, Medicine and Rehabilitation</t>
  </si>
  <si>
    <t>2052-1847 (electronic)</t>
  </si>
  <si>
    <t>Background: Athletes who have undergone anterior cruciate ligament (ACL) reconstruction often exhibit persistent altered biomechanics and impaired function. Neuromuscular training programs appear to be effective for reducing high-risk landing mechanics and preventing primary ACL injuries; however, there have been few attempts to examine their effects in athletes who have undergone ACL reconstruction. The purpose of our study was to examine the effects of a neuromuscular training program that emphasizes external focus of attention cuing on biomechanics, knee proprioception, and patient-reported function in athletes who had undergone ACL reconstruction and completed conventional post-operative rehabilitation. Methods: Twenty-four male athletes who had undergone primary, unilateral, hamstring autograft ACL reconstruction and completed conventional post-operative rehabilitation were randomly allocated to an experimental group (n = 12) who took part in an 8-week neuromuscular training program or a control group (n = 12) who continued a placebo program. The neuromuscular training program included lower extremity strengthening and plyometric exercises, balance training, and movement pattern re-training. Biomechanics during single-leg landing, knee proprioception, and patient-reported function were assessed before and after the 8-week training period. Results: Athletes in the experimental group demonstrated increased trunk, hip, and knee flexion angles and decreased knee abduction, internal rotation angles and knee valgus during landing following the intervention. Further, the experimental group decreased their peak knee extension and abduction moments and vertical ground reaction force on landing post-intervention. International Knee Documentation Committee questionnaire (IKDC) scores increased in the experimental group following training. The control group demonstrated no changes in any variable over the same time period. Conclusions: Neuromuscular training with external focus of attention cueing improved landing biomechanics in patients after ACL reconstruction. Neuromuscular training programs beneficially mitigate second ACL injury risk factors and should be emphasized during and after traditional post-operative rehabilitation. Trial registration: Current Controlled Trials using the IRCT website with ID number of, IRCT20180412039278N1 â€œProspectively registeredâ€_x009d_ at 21/12/2018.</t>
  </si>
  <si>
    <t>L2011450691</t>
  </si>
  <si>
    <t>10.1186/s13102-021-00275-3</t>
  </si>
  <si>
    <t>http://dx.doi.org/10.1186/s13102-021-00275-3</t>
  </si>
  <si>
    <t>https://www.embase.com/search/results?subaction=viewrecord&amp;id=L2011450691&amp;from=export</t>
  </si>
  <si>
    <t>https://catalyst.library.jhu.edu/openurl/01JHU_INST/01JHU_INST:JHU?sid=EMBASE&amp;sid=EMBASE&amp;issn=20521847&amp;id=doi:10.1186%2Fs13102-021-00275-3&amp;atitle=Effects+of+a+neuromuscular+training+program+using+external+focus+attention+cues+in+male+athletes+with+anterior+cruciate+ligament+reconstruction%3A+a+randomized+clinical+trial&amp;stitle=BMC+Sports+Sci.+Med.+Rehabil.&amp;title=BMC+Sports+Science%2C+Medicine+and+Rehabilitation&amp;volume=13&amp;issue=1&amp;spage=&amp;epage=&amp;aulast=Ghaderi&amp;aufirst=Mohamad&amp;auinit=M.&amp;aufull=Ghaderi+M.&amp;coden=&amp;isbn=&amp;pages=-&amp;date=2021&amp;auinit1=M&amp;auinitm=</t>
  </si>
  <si>
    <t>Sole G., Lamb P., Pataky T., Klima S., Navarre P., Hammer N.</t>
  </si>
  <si>
    <t>(Sole G., gisela.sole@otago.ac.nz) Centre for Health, Activity and Rehabilitation Research (CHARR), School of Physiotherapy, University of Otago, Dunedin, New Zealand. , (Lamb P., peter.lamb@otago.ac.nz) School of Physical Education, Sport and Exercise Sciences, University of Otago, Dunedin, New Zealand. , (Pataky T., pataky.todd.2m@kyoto-u.ac.jp) Graduate School of Medicine, Department of Human Health Sciences, Kyoto University, Kyoto, Japan. , (Klima S., dr.stefan.klima@gmail.com) Orthopaedicus Leipzig, Leipzig, Germany. , (Navarre P., navarre.pierre@gmail.com) Orthopaedic Surgeon, Southland Hospital, Invercargill, New Zealand. , (Navarre P., navarre.pierre@gmail.com) University of Otago, Dunedin, New Zealand. , (Hammer N., niels.hammer@medunigraz.at) Department of Macroscopic and Clinical Anatomy, Medical University of Graz, Graz, Austria. , (Hammer N., niels.hammer@medunigraz.at) Department of Orthopaedic and Trauma Surgery, University of Leipzig, Leipzig, Germany. , (Hammer N., niels.hammer@medunigraz.at) Fraunhofer IWU, Dresden, Germany.</t>
  </si>
  <si>
    <t>G. Sole, Centre for Health, Activity and Rehabilitation Research (CHARR), School of Physiotherapy, University of Otago, Dunedin, New Zealand. Email: gisela.sole@otago.ac.nz</t>
  </si>
  <si>
    <t>BMC Musculoskeletal Disorders (2021) 22:1 Article Number: 655. Date of Publication: 1 Dec 2021</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</si>
  <si>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0.4â€“6.8 %,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 Trial registration: The trial was prospectively registered with the Australia New Zealand Clinical Trials Registry No: ACTRN12618001083280, 28 June 2018.</t>
  </si>
  <si>
    <t>L2013376220</t>
  </si>
  <si>
    <t>http://dx.doi.org/10.1186/s12891-021-04540-x</t>
  </si>
  <si>
    <t>https://www.embase.com/search/results?subaction=viewrecord&amp;id=L2013376220&amp;from=export</t>
  </si>
  <si>
    <t>https://catalyst.library.jhu.edu/openurl/01JHU_INST/01JHU_INST:JHU?sid=EMBASE&amp;sid=EMBASE&amp;issn=14712474&amp;id=doi:10.1186%2Fs12891-021-04540-x&amp;atitle=Immediate+and+6-week+effects+of+wearing+a+knee+sleeve+following+anterior+cruciate+ligament+reconstruction%3A+a+cross-over+laboratory+and+randomised+clinical+trial&amp;stitle=BMC+Musculoskelet.+Disord.&amp;title=BMC+Musculoskeletal+Disorders&amp;volume=22&amp;issue=1&amp;spage=&amp;epage=&amp;aulast=Sole&amp;aufirst=Gisela&amp;auinit=G.&amp;aufull=Sole+G.&amp;coden=&amp;isbn=&amp;pages=-&amp;date=2021&amp;auinit1=G&amp;auinitm=</t>
  </si>
  <si>
    <t>Kulshrestha V., Sood M., Kumar S., Kawale A.</t>
  </si>
  <si>
    <t>(Kulshrestha V., doctorvikasortho1971@gmail.com) Senior Advisor &amp; Head of Department, Department of Orthopaedics, Command Hospital (WC), Chandimandir, India. , (Sood M., soodmunishafmc@gmail.com) Classified Specialist Orthopaedics and Trained in Arthroscopy, Command Hospital (WC), Chandimandir, India. , (Kumar S., sankush77upare@gmail.com) Classified Specialist Orthopaedics, Department of Orthopaedics, Command Hospital Air Force Station Bangalore, Bengaluru, India. , (Kawale A., dranuragkawale@gmail.com) Orthopaedics Surgeon, Department of Orthopaedics, Health City Hospital Nagpur, Nagpur, India.</t>
  </si>
  <si>
    <t>M. Sood, Classified Specialist Orthopaedics and Trained in Arthroscopy, Command Hospital (WC), Chandimandir, India. Email: soodmunishafmc@gmail.com</t>
  </si>
  <si>
    <t>European Journal of Orthopaedic Surgery and Traumatology (2021) 31:7 (1477-1483). Date of Publication: 1 Oct 2021</t>
  </si>
  <si>
    <t>Springer-Verlag Italia s.r.l.</t>
  </si>
  <si>
    <t>Background: Anteromedial portal technique (AMP) using hamstring autograft is a popular technique of arthroscopic ACL reconstruction allowing anatomical placement of femoral. In this technique, a cortical suspensory fixation of graft is used on the femoral side and interference screw fixation on the tibial side using a complete bone tunnel. All-inside translateral technique is a recently introduced technique which uses a closed loop of quadrupled semitendinosus graft with an adjustable cortical suspensory fixation on both sides allowing optimum tensioning of graft and near-complete filling of retrosockets created by the flip cutter on both femoral and tibial sides. With its proposed but unproven benefits, our study was planned to compare the two techniques. Methods: A total of 80 young active males requiring ACL reconstruction surgery were equally randomized to AMP and All-inside technique. The primary objective of the study was to compare the ability to return to pre-injury level of activity using Tegner activity scale and patient-reported outcome using new Knee Society Score (KSS) at two years of follow-up. Results: The mean improvement in Tegner score was significantly better (p = 0.0005) in all-inside group (2.34 Â± 0.97) as compared to AMP group (1.5 Â± 1.30). Among components of new KSS, patient satisfaction was better in all-inside group. Conclusion: All-inside ACL reconstruction provides a better chance of return to pre-injury level of activity with accompanied patient satisfaction as compared to AMP technique at two years of follow-up. Level of evidence: Level I, therapeutic study.</t>
  </si>
  <si>
    <t>L2010580005</t>
  </si>
  <si>
    <t>http://dx.doi.org/10.1007/s00590-021-02912-6</t>
  </si>
  <si>
    <t>https://www.embase.com/search/results?subaction=viewrecord&amp;id=L2010580005&amp;from=export</t>
  </si>
  <si>
    <t>https://catalyst.library.jhu.edu/openurl/01JHU_INST/01JHU_INST:JHU?sid=EMBASE&amp;sid=EMBASE&amp;issn=14321068&amp;id=doi:10.1007%2Fs00590-021-02912-6&amp;atitle=Original+study%3A+early+patient-reported+functional+outcome+of+all-inside+ACL+reconstruction+as+compared+to+anteromedial+portal+technique&amp;stitle=Eur.+J.+Orthop.+Surg.+Traumatol.&amp;title=European+Journal+of+Orthopaedic+Surgery+and+Traumatology&amp;volume=31&amp;issue=7&amp;spage=1477&amp;epage=1483&amp;aulast=Kulshrestha&amp;aufirst=Vikas&amp;auinit=V.&amp;aufull=Kulshrestha+V.&amp;coden=EJOTF&amp;isbn=&amp;pages=1477-1483&amp;date=2021&amp;auinit1=V&amp;auinitm=</t>
  </si>
  <si>
    <t>No Difference in Outcomes Between Suspensory (Fixed-Loop Cortical Button) Versus Expandable Anteromedial Femoral Fixation in Anterior Cruciate Ligament Reconstruction With Autologous Hamstring Tendons: A Prospective, Randomized, Controlled Study in Male Patients</t>
  </si>
  <si>
    <t>Panagopoulos A., Mylonas D., Kouzelis A., Zampakis P., Kraniotis P., Lakoumentas J., Gliatis J.</t>
  </si>
  <si>
    <t>(Panagopoulos A., andpan21@gmail.com; Mylonas D.; Kouzelis A.; Gliatis J.) Department of Sports Medicine, Patras University Hospital Greece, Patras, Greece. , (Zampakis P.; Kraniotis P.) Department of Radiology, Patras University Hospital Greece, Patras, Greece. , (Lakoumentas J.) Department of Medical Physics, School of Medicine, University of Patras, Patras, Greece.</t>
  </si>
  <si>
    <t>A. Panagopoulos, Patras University Hospital, Papanikolaou1, Rio-Patras, Greece. Email: andpan21@gmail.com</t>
  </si>
  <si>
    <t>Arthroscopy, Sports Medicine, and Rehabilitation (2021) 3:4 (e1155-e1163). Date of Publication: 1 Aug 2021</t>
  </si>
  <si>
    <t>Arthroscopy, Sports Medicine, and Rehabilitation</t>
  </si>
  <si>
    <t>e1155</t>
  </si>
  <si>
    <t>e1163</t>
  </si>
  <si>
    <t>2666-061X (electronic)</t>
  </si>
  <si>
    <t>Elsevier Inc.</t>
  </si>
  <si>
    <t>Purpose: To compare anterior cruciate ligament (ACL) autograft reconstruction using fixed-looped suspensory versus expandable femoral fixation through the anteromedial portal. Methods: After we performed prospective power analysis and obtained institutional review board, 70 patients with ACL rupture were block randomized to the expandable or suspensory femoral fixation group (35 in each group). All patients received autologous hamstring autograft through the anteromedial portal and fixed with a sheath-screw system in the tibia. The primary outcome measures were anteroposterior knee stability at 2 yearsâ€™ follow-up measured using the KT-1000 arthrometer and the degree of femoral and tibial tunnelsâ€™ widening measured by the use of computed tomography imaging performed immediately postoperative and 12 months postsurgery. Secondary outcome measures included pain score on a visual analog scale, the subjective International Knee Documentation Committee 2000 assessment form, the Lysholm score, and the Tegner activity scale at 3, 6, 12, and 24 months. Results: Twenty-four patients were excluded from further analysis, leaving a total of 48 patients (24 in each group) for the final evaluation. The anteroposterior knee stability (KT-1000) showed no difference between groups at 24 monthsâ€™ follow-up (P =.31). The percentile widening (%) of femoral and tibial tunnel at 1-year follow-up showed no difference also, except for greater values at the tibial coronal point T2 (P =.065) and tibial sagittal point T1 (P =.033) in the group of cortical buttons. Secondary clinical outcomes showed no statistical differences between groups at 3, 6, 12, and 24 monthsâ€™ postoperatively. Numerical pain scale (visual analog scale) was similar in both groups except for postoperative day 7, where the AperFix group showed better results (P =.014). There were no major intraoperative and late postoperative complications in any of the groups. Conclusions: Our results showed no significant differences in knee anteroposterior stability, tunnel enlargement or other clinical outcomes comparing expandable versus cortical button fixation in anteromedial hamstrings ACL reconstruction. Level of Evidence: Level II, randomized controlled trial.</t>
  </si>
  <si>
    <t>L2013245655</t>
  </si>
  <si>
    <t>10.1016/j.asmr.2021.05.003</t>
  </si>
  <si>
    <t>http://dx.doi.org/10.1016/j.asmr.2021.05.003</t>
  </si>
  <si>
    <t>https://www.embase.com/search/results?subaction=viewrecord&amp;id=L2013245655&amp;from=export</t>
  </si>
  <si>
    <t>https://catalyst.library.jhu.edu/openurl/01JHU_INST/01JHU_INST:JHU?sid=EMBASE&amp;sid=EMBASE&amp;issn=2666061X&amp;id=doi:10.1016%2Fj.asmr.2021.05.003&amp;atitle=No+Difference+in+Outcomes+Between+Suspensory+%28Fixed-Loop+Cortical+Button%29+Versus+Expandable+Anteromedial+Femoral+Fixation+in+Anterior+Cruciate+Ligament+Reconstruction+With+Autologous+Hamstring+Tendons%3A+A+Prospective%2C+Randomized%2C+Controlled+Study+in+Male+Patients&amp;stitle=Arthrosc.%2C+Sports+Med.%2C+Rehabil.&amp;title=Arthroscopy%2C+Sports+Medicine%2C+and+Rehabilitation&amp;volume=3&amp;issue=4&amp;spage=e1155&amp;epage=e1163&amp;aulast=Panagopoulos&amp;aufirst=Andreas&amp;auinit=A.&amp;aufull=Panagopoulos+A.&amp;coden=&amp;isbn=&amp;pages=e1155-e1163&amp;date=2021&amp;auinit1=A&amp;auinitm=</t>
  </si>
  <si>
    <t>A Randomized, Controlled, Multi-center Clinical Trial of the Round-tunnel and Flat-tunnel Technique of Anterior Cruciate Ligament (ACL) Reconstruction</t>
  </si>
  <si>
    <t>Brief SummaryThis study intends to perform round-tunnel and flat-tunnel ACL reconstruction technique in 144 patients, and compare the clinical outcomes of the two surgical procedures through follow-up.Detailed DescriptionThis is a prospective randomized, controlled, multi-center clinical trial study on ACL reconstruction surgery technique. It is jointly undertaken by the Peking University Third Hospital, Nanjing Drum Tower Hospital, Zhengzhou Orthopaedic Hospital, and Shenzhen Second People's Hospital. Peking University Third Hospital is the team leader unit. In this study, 144 patients with ACL rupture were recruited according to the enrollment criteria. Among them, 54 patients with ACL rupture were recruited and carried out by the Peking University Third Hospital. The recruited patients were randomly divided into groups. The ratio of the control group is 1:1. Each of the other three hospitals recruited 30 patients and randomly grouped them according to the same enrollment criteria. The ratio of the experimental group to the control group was also 1:1. In this study, 72 patients with ACL rupture in the experimental group will be treated with flat-tunnel reconstruction technique, and 72 patients with ACL rupture in the control group will be treated with round-tunnel technique. All operations will be performed with autologous hamstring tendons. After reconstruction, all subjects will participate in the collection of clinical function scores including Tegner score, Lysholm score, IKDC score, and clinical evaluation including physical examination, joint laxity, CT and MRI imaging analysis to verify ACL Advantages of flat-tunnel technique.</t>
  </si>
  <si>
    <t>LNCT04953676</t>
  </si>
  <si>
    <t>https://clinicaltrials.gov/study/NCT04953676</t>
  </si>
  <si>
    <t>https://www.embase.com/search/results?subaction=viewrecord&amp;id=LNCT04953676&amp;from=export</t>
  </si>
  <si>
    <t>Prospective Comparison Of Arthroscopic Anterior Cruciate Ligament Reconstrictions Made With Hamstring Tendon And Quadriceps Tendon Autografts</t>
  </si>
  <si>
    <t>clinicaltrials.gov (2021). Date of Publication: 11 Jun 2021</t>
  </si>
  <si>
    <t>Brief SummaryAnterior cruciate ligament reconstruction (ACLR) is one of the most common procedure all around the world, however optimal graft source for ACLR still remains controversial. Although Quadriceps tendon (QT) is the least used and least studied autograft, it could be an appropriate and good alternative for ACLR. If investigaters use the same surgical technique, and exert the same rehabilitation methods they may have better results than hamstring tendon (HT) autografts.Detailed DescriptionInvestigators enrolled 36 patient and randomized them to different group (HT, QT). at the first evaluation examination findings noted, PROMs (patient reported outcome measurements) questioned, thigh circumference measured, flexor and extensor thigh muscle strength recorded with help of Humac CYBEX Norm (CSMI, 2004) device. After these examinations and preparations all patients operated by the same surgeon who is familiar with both technique. The same surgical technique and fixation method used for both groups. At 1st year follow-up all evaluations PROMs (Ä°KDC,lysholm,VAS) and measurements repeated. Back to the sports rates and postoperative complications compared between HT-QT.</t>
  </si>
  <si>
    <t>LNCT04940169</t>
  </si>
  <si>
    <t>https://clinicaltrials.gov/study/NCT04940169</t>
  </si>
  <si>
    <t>https://www.embase.com/search/results?subaction=viewrecord&amp;id=LNCT04940169&amp;from=export</t>
  </si>
  <si>
    <t>Objective Results of Anterior Cruciate Ligament Reconstruction With and Without Internal Suture Augmentation Technique</t>
  </si>
  <si>
    <t>clinicaltrials.gov (2021). Date of Publication: 25 May 2021</t>
  </si>
  <si>
    <t>Brief SummaryThe purpose of this study is (1) To report, compare and corelate the patient reported outcomes (PRO) (IKDC score, Lysholm Score) and range of motion (ROM) among patients following hamstring autograft ACLR with and without independent suture tape reinforcement against objective laxity test using Lachmeter. (2) Rate of complications and reoperation.Detailed DescriptionInvestigators performed a randomized control trial in two groups utilizing All- inside ACLR. Group I was augmented by suture tape and Group 2 without suture tape augmentation. From October 2018 to June 2020, 20 patients underwent all-inside ACL reconstruction with internal suture augmentation technique (Group I, Brace group) and the other 18 patients underwent all- inside ACL reconstruction without internal suture augmentation technique (Group II, non-brace group). Demographic data (age, sex, side of injury, time since injury), manual assessment (Lachman test, pivot shift test, ROM), PROs (IKDC score, Lysholm score) and Lachmeter examination were collected and analyzed at fixed time points during follow-up period as mean duration of follow up in our series was 18 months Â± 3.4 (range, 12-24 months).</t>
  </si>
  <si>
    <t>LNCT04906538</t>
  </si>
  <si>
    <t>https://clinicaltrials.gov/study/NCT04906538</t>
  </si>
  <si>
    <t>https://www.embase.com/search/results?subaction=viewrecord&amp;id=LNCT04906538&amp;from=export</t>
  </si>
  <si>
    <t>Long-term outcomes of anterior cruciate ligament reconstruction surgery: 2020 OREF clinical research award paper</t>
  </si>
  <si>
    <t>Fleming B.C., Fadale P.D., Hulstyn M.J., Shalvoy R.M., Tung G.A., Badger G.J.</t>
  </si>
  <si>
    <t>(Fleming B.C., braden_fleming@brown.edu; Fadale P.D.; Hulstyn M.J.; Shalvoy R.M.; Tung G.A.) Department of Orthopaedics, Warren Alpert Medical School of Brown University/Rhode Island Hospital, Providence, RI, United States. , (Fleming B.C., braden_fleming@brown.edu) Center for Biomedical Engineering, Brown University, Providence, RI, United States. , (Badger G.J.) Department of Medical Biostatistics, University of Vermont, Burlington, VT, United States.</t>
  </si>
  <si>
    <t>B.C. Fleming, Department of Orthopaedics, Warren Alpert Medical School of Brown University/Rhode Island Hospital, Providence, RI, United States. Email: braden_fleming@brown.edu</t>
  </si>
  <si>
    <t>Journal of Orthopaedic Research (2021) 39:5 (1041-1051). Date of Publication: 1 May 2021</t>
  </si>
  <si>
    <t>Journal of Orthopaedic Research</t>
  </si>
  <si>
    <t>1554-527X (electronic),0736-0266</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</si>
  <si>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</si>
  <si>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L2005608662</t>
  </si>
  <si>
    <t>10.1002/jor.24794</t>
  </si>
  <si>
    <t>http://dx.doi.org/10.1002/jor.24794</t>
  </si>
  <si>
    <t>https://www.embase.com/search/results?subaction=viewrecord&amp;id=L2005608662&amp;from=export</t>
  </si>
  <si>
    <t>https://catalyst.library.jhu.edu/openurl/01JHU_INST/01JHU_INST:JHU?sid=EMBASE&amp;sid=EMBASE&amp;issn=1554527X&amp;id=doi:10.1002%2Fjor.24794&amp;atitle=Long-term+outcomes+of+anterior+cruciate+ligament+reconstruction+surgery%3A+2020+OREF+clinical+research+award+paper&amp;stitle=J.+Orthop.+Res.&amp;title=Journal+of+Orthopaedic+Research&amp;volume=39&amp;issue=5&amp;spage=1041&amp;epage=1051&amp;aulast=Fleming&amp;aufirst=Braden+C.&amp;auinit=B.C.&amp;aufull=Fleming+B.C.&amp;coden=JORED&amp;isbn=&amp;pages=1041-1051&amp;date=2021&amp;auinit1=B&amp;auinitm=C</t>
  </si>
  <si>
    <t>Five-Strand Versus Four-Strand Hamstring Autografts in Anterior Cruciate Ligament Reconstructionâ€”A Prospective Randomized Controlled Study</t>
  </si>
  <si>
    <t>Krishna L., Chan C.X., Lokaiah L., Chinnasamy D., Goyal S., Wang M., Singh A.</t>
  </si>
  <si>
    <t>(Krishna L.; Chan C.X., chloe.chan@mohh.com.sg; Goyal S.; Wang M.) Division of Sports Medicine and Surgery, Department of Orthopaedic Surgery, National University Hospital, National University Health System (NUHS), Singapore. , (Lokaiah L.; Chinnasamy D.) Department of Rehabilitation, National University Hospital, National University Health System (NUHS), Singapore. , (Singh A.) Department of Orthopaedic Surgery, Ng Teng Fong General Hospital, Singapore.</t>
  </si>
  <si>
    <t>C.X. Chan, Division of Sports Medicine and Surgery, Department of Orthopaedic Surgery, National University Hospital, National University Health System (NUHS), Singapore, 5 Lower Kent Ridge Rd., Singapore. Email: chloe.chan@mohh.com.sg</t>
  </si>
  <si>
    <t>Arthroscopy - Journal of Arthroscopic and Related Surgery (2021) 37:2 (579-585). Date of Publication: 1 Feb 2021</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</si>
  <si>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semitendinosusâ€“gracilis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Â± 9.2 vs 4-strand group 86.2 Â± 14.7, P = .04). The KT-2000 side-to-side difference was 2.79 Â± 2.11 mm in the 5-strand group and 2.54 Â±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</si>
  <si>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L2010448911</t>
  </si>
  <si>
    <t>http://dx.doi.org/10.1016/j.arthro.2020.08.012</t>
  </si>
  <si>
    <t>https://www.embase.com/search/results?subaction=viewrecord&amp;id=L2010448911&amp;from=export</t>
  </si>
  <si>
    <t>https://catalyst.library.jhu.edu/openurl/01JHU_INST/01JHU_INST:JHU?sid=EMBASE&amp;sid=EMBASE&amp;issn=15263231&amp;id=doi:10.1016%2Fj.arthro.2020.08.012&amp;atitle=Five-Strand+Versus+Four-Strand+Hamstring+Autografts+in+Anterior+Cruciate+Ligament+Reconstruction%E2%80%94A+Prospective+Randomized+Controlled+Study&amp;stitle=Arthroscopy+J.+Arthroscopic+Relat.+Surg.&amp;title=Arthroscopy+-+Journal+of+Arthroscopic+and+Related+Surgery&amp;volume=37&amp;issue=2&amp;spage=579&amp;epage=585&amp;aulast=Krishna&amp;aufirst=Lingaraj&amp;auinit=L.&amp;aufull=Krishna+L.&amp;coden=ARTHE&amp;isbn=&amp;pages=579-585&amp;date=2021&amp;auinit1=L&amp;auinitm=</t>
  </si>
  <si>
    <t>Autologous Semitendinosus Tendon Graft as Meniscal Transplant - a Clinical Pilot Study</t>
  </si>
  <si>
    <t>clinicaltrials.gov (2021). Date of Publication: 6 Jan 2021</t>
  </si>
  <si>
    <t>Brief SummaryRemoval of meniscal tissue is described to result in poor knee function and a significant risk for future development of osteoarthritis. Different implants have been suggested to substitute a removed meniscus. Meniscal allograft transplantation is not widely available due to costs and availability. The semitendinosus tendon is a known graft with biological properties with potential to remodel and revascularize in an intraarticular environment such as anterior cruciate ligament reconstruction. The objective for this study was to investigate whether the semitendinosus tendon graft could function as a meniscal transplant.</t>
  </si>
  <si>
    <t>LNCT04753424</t>
  </si>
  <si>
    <t>https://clinicaltrials.gov/study/NCT04753424</t>
  </si>
  <si>
    <t>https://www.embase.com/search/results?subaction=viewrecord&amp;id=LNCT04753424&amp;from=export</t>
  </si>
  <si>
    <t>Neuromuscular function in anterior cruciate ligament reconstructed patients at long-term follow-up</t>
  </si>
  <si>
    <t>Behnke A.L., Parola L.R., Karamchedu N.P., Badger G.J., Fleming B.C., Beveridge J.E.</t>
  </si>
  <si>
    <t>(Behnke A.L., analicia_behnke@brown.edu; Parola L.R., lauren_parola@brown.edu; Karamchedu N.P., naga_karamchedu@brown.edu; Fleming B.C., braden_fleming@brown.edu; Beveridge J.E., beverij2@ccf.org) Department of Orthopaedics, Warren Alpert Medical School of Brown University/Rhode Island Hospital, Providence, RI, United States. , (Badger G.J., gary.badger@uvm.edu) Department of Medical Biostatistics, University of Vermont, Burlington, VT, United States. , (Beveridge J.E., beverij2@ccf.org) Cleveland Clinic Biomedical Engineering Department, Cleveland, OH, United States.</t>
  </si>
  <si>
    <t>J.E. Beveridge, Department of Orthopaedics, Warren Alpert Medical, School of Brown University/Rhode Island Hospital Bioengineering Laboratory, Coro West, Suite 404 1 Hoppin Street, Providence, RI, United States. Email: beverij2@ccf.org</t>
  </si>
  <si>
    <t>Clinical Biomechanics (2021) 81 Article Number: 105231. Date of Publication: 1 Jan 2021</t>
  </si>
  <si>
    <t>Clinical Biomechanics</t>
  </si>
  <si>
    <t>1879-1271 (electronic),0268-0033</t>
  </si>
  <si>
    <t>Background: The permanence of neuromuscular adaptations following anterior cruciate ligament reconstruction is not known. The aim of this study was to compare bilateral muscle co-contraction indices, time to peak ground reaction force, and timing of muscle onset between anterior cruciate ligament reconstruction subjects 10â€“15 years post reconstruction with those of matched uninjured controls during a one-leg hop landing. Methods: Nine healthy controls and 9 reconstruction subjects were recruited. Clinical and functional knee exams were administered. Lower limb co-contraction indices, time to peak ground reaction force, and muscle onset times were measured bilaterally. Differences in clinical and functional outcomes were assessed with unpaired t-tests, and mixed model repeated measures were used to examine effects of group, limb and interaction terms in electromyography measures. Findings: 89% of control knees were clinically â€œnormalâ€_x009d_, whereas only 33% of reconstructed knees were â€œnormalâ€_x009d_. Anterior cruciate ligament-reconstructed subjects tended to achieve shorter functional hop distances but demonstrated symmetrical lower limb electromyography measures that were no different from those of controls' with the exception that biceps femoris activation was delayed bilaterally prior to ground contact but was greater during the injury risk phase of landing. Interpretation: With the exception of hamstring activation, lower limb electromyography measures were largely similar between ligament-reconstructed and matched control subjects, which was in contrast to the clinical findings. This result brings into question the significance of neuromuscular function at this long-term follow-up but raises new questions regarding the role of symmetry and pre-injury risk.</t>
  </si>
  <si>
    <t>L2010111504</t>
  </si>
  <si>
    <t>10.1016/j.clinbiomech.2020.105231</t>
  </si>
  <si>
    <t>http://dx.doi.org/10.1016/j.clinbiomech.2020.105231</t>
  </si>
  <si>
    <t>https://www.embase.com/search/results?subaction=viewrecord&amp;id=L2010111504&amp;from=export</t>
  </si>
  <si>
    <t>https://catalyst.library.jhu.edu/openurl/01JHU_INST/01JHU_INST:JHU?sid=EMBASE&amp;sid=EMBASE&amp;issn=18791271&amp;id=doi:10.1016%2Fj.clinbiomech.2020.105231&amp;atitle=Neuromuscular+function+in+anterior+cruciate+ligament+reconstructed+patients+at+long-term+follow-up&amp;stitle=Clin.+Biomech.&amp;title=Clinical+Biomechanics&amp;volume=81&amp;issue=&amp;spage=&amp;epage=&amp;aulast=Behnke&amp;aufirst=Analicia+L.&amp;auinit=A.L.&amp;aufull=Behnke+A.L.&amp;coden=CLBIE&amp;isbn=&amp;pages=-&amp;date=2021&amp;auinit1=A&amp;auinitm=L</t>
  </si>
  <si>
    <t>Application of two types of suspensory fixation in reconstruction of anterior cruciate ligament with a semitendinosus-gracilis graft â€“ A randomized prospective study</t>
  </si>
  <si>
    <t>Primena dva tipa suspenzione fiksacije kod rekonstrukcije prednje ukrÅ¡tene veze semitendinozus-gracilis graftom â€“ Randomizirana prospektivna studija</t>
  </si>
  <si>
    <t>DjordjeviÄ‡ D., PetroviÄ‡ M., Å½unÄ_x008d_iÄ‡ S.D., StojiljkoviÄ‡ P., GoluboviÄ‡ I., Kadija M., MiciÄ‡ I.</t>
  </si>
  <si>
    <t>(DjordjeviÄ‡ D., orthodusanw@gmail.com; PetroviÄ‡ M.) Military Hospital â€œDr. Vladan DjordjeviÄ‡â€_x009d_, Department of Orthopaedics and Traumatology, NiÅ¡, Serbia. , (Å½unÄ_x008d_iÄ‡ S.D.) Primary Health Center NiÅ¡, NiÅ¡, Serbia. , (StojiljkoviÄ‡ P.; GoluboviÄ‡ I.; MiciÄ‡ I.) Clinical Center NiÅ¡, Clinic of Orthopedics and Traumatology, NiÅ¡, Serbia. , (Kadija M.) Clinical Center of Serbia, Clinic of Orthopedics and Traumatology, Belgrade, Serbia.</t>
  </si>
  <si>
    <t>D. DjordjeviÄ‡, Military Hospital â€œDr. Vladan DjordjeviÄ‡â€_x009d_, Department of Orthopaedics and Traumatology, Bledska 4/20, NiÅ¡, Serbia. Email: orthodusanw@gmail.com</t>
  </si>
  <si>
    <t>Vojnosanitetski Pregled (2021) 78:10 (1053-1059). Date of Publication: 2021</t>
  </si>
  <si>
    <t>Vojnosanitetski Pregled</t>
  </si>
  <si>
    <t>2406-0720 (electronic),0042-8450</t>
  </si>
  <si>
    <t>Inst. Sci. inf., Univ. Defence in Belgrade</t>
  </si>
  <si>
    <t>Background/Aim. Injury to the anterior cruciate ligament (ACL) of the knee is the most common ligament injury that requires operative treatment. So far, multiple ACL reconstruction (ACLR) techniques using a variety of graft types and implants that fixate the grafts have been described. The aim of the study was to compare two different ACLR techniques using two implant types for suspensory graft fixation in the femoral tunnel. Methods. This randomized-prospective study encompassed 60 patients/subjects who underwent ACLR in the period between January 2015 and December 2017 at the Department of Orthopaedics and Traumatology of Military Hospital â€œDr Vladan DjordjeviÄ‡â€_x009d_ NiÅ¡. The ACLR in all patients included in the study was performed using a quadruple semitendinosus-gracilis (STG) graft with two types of suspensory fixation on the lateral femoral cortex, whereas the graft fixation in the tibial tunnel was performed using an osteoconductive bioresorbable screw. The post-operative knee stability was assessed 24 months after surgery using the Lachman test and the lateral pivot shift test, as well as the KT-1000 arthrometer test. Results. In patients whose graft was fixated using a fixed-length loop implant, the mean post-surgery knee stability, measured with the KT-1000, was 1.167 Â± 0.780; in patients whose graft was fixated using an adjustable-length loop implant, the mean value of the KT-1000 was 1.100 Â± 0.894 (p = 0.605). The mean post-surgery International Knee Documentation Committee (IKDC) score for the fixed-length loop group was 84.887 Â± 9.0207, while for the adjustable-length loop the score was 88.327 Â± 7.302. The mean Lysholm score was 93.50 Â± 6.872 for the fixed-length loop group of patients and 94.00 Â± 5.527 for the adjustable-length loop group of patients. Conclusion. Both types of implants can be used with success during ACLR, because the functional results of operative treatment using both implants were identical after surgery.</t>
  </si>
  <si>
    <t>English, Bosnian</t>
  </si>
  <si>
    <t>L2015705181</t>
  </si>
  <si>
    <t>10.2298/VSP200128026D</t>
  </si>
  <si>
    <t>http://dx.doi.org/10.2298/VSP200128026D</t>
  </si>
  <si>
    <t>https://www.embase.com/search/results?subaction=viewrecord&amp;id=L2015705181&amp;from=export</t>
  </si>
  <si>
    <t>https://catalyst.library.jhu.edu/openurl/01JHU_INST/01JHU_INST:JHU?sid=EMBASE&amp;sid=EMBASE&amp;issn=24060720&amp;id=doi:10.2298%2FVSP200128026D&amp;atitle=Application+of+two+types+of+suspensory+fixation+in+reconstruction+of+anterior+cruciate+ligament+with+a+semitendinosus-gracilis+graft+%E2%80%93+A+randomized+prospective+study&amp;stitle=Vojnosanit.+Pregl.&amp;title=Vojnosanitetski+Pregled&amp;volume=78&amp;issue=10&amp;spage=1053&amp;epage=1059&amp;aulast=Djordjevi%C4%87&amp;aufirst=Du%C5%A1an&amp;auinit=D.&amp;aufull=Djordjevi%C4%87+D.&amp;coden=VSPRA&amp;isbn=&amp;pages=1053-1059&amp;date=2021&amp;auinit1=D&amp;auinitm=</t>
  </si>
  <si>
    <t>Combining ACL Reconstruction and Refixation: the Single Anteromedial Bundle Biological Augmentation and Refixation (SAMBBAR) Technique</t>
  </si>
  <si>
    <t>KombinovanÃ¡ rekonstrukce a refixace PZV: technika jednoduchÃ© biologickÃ© augmentace a refixace anteromediÃ¡lnÃ­ho svazku (SAMBBAR)</t>
  </si>
  <si>
    <t>DÃ¶bele S., Ziegler P., Hofmann V., Histing T., Konrads C.</t>
  </si>
  <si>
    <t>(DÃ¶bele S.; Ziegler P.; Hofmann V.; Histing T.; Konrads C., christian.konrads@gmail.com) Department for Trauma and Reconstructive Surgery, BG Klinik, University of TÃ¼bingen, TÃ¼bingen, Germany.</t>
  </si>
  <si>
    <t>C. Konrads, Department for Trauma and Reconstructive Surgery, BG-Klinik, University of TÃ¼bingen, Schnarrenbergstr. 95, TÃ¼bingen, Germany. Email: christian.konrads@gmail.com</t>
  </si>
  <si>
    <t>Acta Chirurgiae Orthopaedicae et Traumatologiae Cechoslovaca (2021) 88:6 (423-427). Date of Publication: 2021</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</si>
  <si>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â€œSingle Anteromedial Bundle Biological Augmentation (SAMBBA) techniqueâ€_x009d_ and developed it further to the â€œSingle Anteromedial Bundle Biological Augmentation and Refixation (SAMBBAR) techniqueâ€_x009d_,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</si>
  <si>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L2017379457</t>
  </si>
  <si>
    <t>https://www.embase.com/search/results?subaction=viewrecord&amp;id=L2017379457&amp;from=export</t>
  </si>
  <si>
    <t>https://catalyst.library.jhu.edu/openurl/01JHU_INST/01JHU_INST:JHU?sid=EMBASE&amp;sid=EMBASE&amp;issn=00015415&amp;id=doi:&amp;atitle=Combining+ACL+Reconstruction+and+Refixation%3A+the+Single+Anteromedial+Bundle+Biological+Augmentation+and+Refixation+%28SAMBBAR%29+Technique&amp;stitle=Acta+Chir.+Orthop.+Traumatol.+Cech.&amp;title=Acta+Chirurgiae+Orthopaedicae+et+Traumatologiae+Cechoslovaca&amp;volume=88&amp;issue=6&amp;spage=423&amp;epage=427&amp;aulast=D%C3%B6bele&amp;aufirst=&amp;auinit=S.&amp;aufull=D%C3%B6bele+S.&amp;coden=ACOTA&amp;isbn=&amp;pages=423-427&amp;date=2021&amp;auinit1=S&amp;auinitm=</t>
  </si>
  <si>
    <t>Erden T., Toker B., Toprak A., TaÅŸer Ã–.</t>
  </si>
  <si>
    <t>(Erden T., doktorerden@hotmail.com) AcÄ±badem Fulya Hastanesi Spor HekimliÄŸi Merkezi, Ortopedi ve Travmatoloji BÃ¶lÃ¼mÃ¼, 34349 BeÅŸiktaÅŸ, Ä°stanbul, Turkey. , (Toker B.; Toprak A.; TaÅŸer Ã–.)</t>
  </si>
  <si>
    <t>Joint diseases and related surgery (2021) 32:1 (129-136). Date of Publication: 2021</t>
  </si>
  <si>
    <t>Joint diseases and related surgery</t>
  </si>
  <si>
    <t>2687-4792 (electronic)</t>
  </si>
  <si>
    <t>OBJECTIVES: This study aims to compare the outcomes of isolated anterior cruciate ligament (ACL) reconstruction and combined anterolateral ligament (ALL) suture tape augmentation (STA) and ACL reconstruction after a minimum follow-up of two years. PATIENTS AND METHODS: This retrospective study included 63 patients (36 males, 27 females; mean age 27.8Â±4.0; range, 19 to 35 years) who had unilateral ACL injury and participated in pivoting sports and were randomly assigned to undergo either isolated ACL reconstruction (Group 1, n=33) or combined ACL reconstruction and ALL STA (Group 2, n=30) between January 2015 and February 2018. The presence of an associated meniscal injury, chondral pathology, contralateral ACL rupture, and residual pivot shift; subjective and objective International Knee Documentation Committee scores; Cincinnati and Lysholm functional scores; KT-1000 measurements; and graft rupture rate were evaluated. RESULTS: Patients were followed for a minimum of two years. The groups did not differ with respect to age, sex, side, time from injury to surgery, postoperative follow-up time, ACL graft size, contralateral ACL rupture, graft size, partial meniscectomy, chondral pathology or preoperative physical examination results. A total of 9.1% of the patients in Group 1 and 0% of those in Group 2 presented postoperative positive pivot shift (p=0.357). The graft failure rate was 6.06% (n=2) in Group 1 and 0% in Group 2 (p=0.270). In the final evaluation, compared with Group 1, Group 2 showed better anteroposterior clinical stability, as evaluated by KT-1000 arthrometry (p=0.006). Although better results were observed in Group 2, the clinical evaluation results for postoperative function did not differ significantly between groups. CONCLUSION: Combined ALL STA and ACL reconstruction was found to be effective in improving subjective and objective outcomes. Nevertheless, these findings were not significantly superior to those of isolated ACL reconstruction with hamstring grafts, except for the side-to-side differential anterior laxity testing results.</t>
  </si>
  <si>
    <t>L634060882</t>
  </si>
  <si>
    <t>http://dx.doi.org/10.5606/ehc.2020.78201</t>
  </si>
  <si>
    <t>https://www.embase.com/search/results?subaction=viewrecord&amp;id=L634060882&amp;from=export</t>
  </si>
  <si>
    <t>https://catalyst.library.jhu.edu/openurl/01JHU_INST/01JHU_INST:JHU?sid=EMBASE&amp;sid=EMBASE&amp;issn=26874792&amp;id=doi:10.5606%2Fehc.2020.78201&amp;atitle=Comparison+of+the+outcomes+of+isolated+anterior+cruciate+ligament+reconstruction+and+combined+anterolateral+ligament+suture+tape+augmentation+and+anterior+cruciate+ligament+reconstruction&amp;stitle=Jt+Dis+Relat+Surg&amp;title=Joint+diseases+and+related+surgery&amp;volume=32&amp;issue=1&amp;spage=129&amp;epage=136&amp;aulast=Erden&amp;aufirst=Tunay&amp;auinit=T.&amp;aufull=Erden+T.&amp;coden=&amp;isbn=&amp;pages=129-136&amp;date=2021&amp;auinit1=T&amp;auinitm=</t>
  </si>
  <si>
    <t>Comparison of Clinical Results of Adjustable Femoral Loop With Three Different Techniques in Patients Who Underwent Arthroscopic ACL Reconstruction With Hamstring Autograft: A Prospective Randomised Clinical Study</t>
  </si>
  <si>
    <t>clinicaltrials.gov (2020). Date of Publication: 17 Dec 2020</t>
  </si>
  <si>
    <t>Brief SummaryAnterior cruciate ligament (ACL) tears are one of the most common injuries of the knee. In today's world, due to developing sports industry , the increase in sports traumas of both genders and ages ACL injuries and treatments are given major priority. The success of anterior cruciate ligament (ACL) reconstruction depends on many factors, including the mechanical properties of the graft, positioning of the proper femoral and tibial tunnel, fixation methods and the postoperative rehabilitation. The tendon grafts can be fixed on the femoral side using several fixation devices, including cortical suspension devices, cross pins, and interference screws. Femoral fixation via Cortical button in a suture loop provides the highest primary stability, and therefore, has become increasingly popular among orthopaedic surgeons. Adjustable and fixed Femoral cortical loops are commonly used for femoral fixation. In this sudy we aimed to compare clinical and functional outcomes of three different techniques of suspensory femoral fixation in ACL reconstruction.Detailed DescriptionThis study has been planned as a prospective randomized clinical trial. We used a completely computer-generated list in order to randomize all participants to receive one of two treatments (www.random.org/sequences/). Anterior Cruciate Ligament tear diagnosis will be made by physical examination and magnetic resonance imaging. Participants who agree to be enrolled to study will be examined one day prior to surgery. Patients are randomly divided into 3 groups, after tibial fixation of the hamstring autograft, 3 different techniques will be used in the femoral fixation phase. The first group will be without knotting and retensioning the graft. In the second group, The graft will be retensioned after tibial fixation. In the third group femoral loop will be retensioned and knotted after tibial fixation. All the surgeries will be performed by the same senior surgeon experienced in sports medicine surgery under regional anesthesia with patient in supine position. All participants will receive a standard postoperative rehabilitation program starting immediately after surgery with closed chain exercises and quadriceps strengthening and walking. The operated lower extremity won't be placed in a brace and patient allowed for full weight walking with a pair of crutches. Postoperative evaluations will be performed regularly at 12 months postoperatively . To assess knee stability, KT-1000 measurement will be applied to both extremities in each group and clinical scores ( lysholm knee score, IKDC ) will be measured. Furthermore, to evaluate flexor and extensor muscle group around knee, isokinetic tests will be applied to patients in sitting position to analyse peak torque and total work done values.</t>
  </si>
  <si>
    <t>LNCT04677218</t>
  </si>
  <si>
    <t>https://clinicaltrials.gov/study/NCT04677218</t>
  </si>
  <si>
    <t>https://www.embase.com/search/results?subaction=viewrecord&amp;id=LNCT04677218&amp;from=export</t>
  </si>
  <si>
    <t>Effect of Knee Instability Due To Rupture Of Anterior Cruciate Ligament On Cartilage Damage Related To Types of Reconstruction Therapy: In Biomechanic, Biomolecular and Radiological Aspects</t>
  </si>
  <si>
    <t>clinicaltrials.gov (2020). Date of Publication: 22 Oct 2020</t>
  </si>
  <si>
    <t>Brief SummaryThe prevalence of ACL (Anterior Cruciate Ligament) ruptures is relatively high, primarily due to sports and military training injuries. With the advancements of ACL reconstruction therapies, there exist two ways to reconstruct ACL: single-bundle ACL reconstruction (SBACLR) and double-bundle ACL reconstruction (DBACLR). Previous research studies claimed that DBACLR techniques are superior to that of SBACLR, while others stated no notable differences between the two. The variables assessed in previous studies are findings related to the clinical instabilities of the knees (both subjective nor objectives views) and standard radiology examination, such as Xray or MRI. Knee instabilities are the primary goal of ACL reconstructions. Hence this study focuses on finding the dissimilarities between the two previously mentioned techniques by observing the early consequences (subclinically) of knee instabilities towards cartilage damage. The dissimilarities assessments utilize biomolecular tests (ELISA) of cartilage oligomeric matrix protein (COMP) on synovial joint fluid of the knee and knee joint cartilage examination using MRI T2 mapping. Furthermore, there will be a stability (biomechanical) check of the knee joint in the form of a Lachman test, a pivot shift test, and a Rolimeter. This study requires around 47-52 subjects divided into two operation techniques of SBACLR and DBACLR. To evaluate the results from COMP, MRI T2 mapping, Lachman test, pivot shift test, and Rolimeter, this study is divided into three timeframes: before an operation, three months after post-operation, and six months post-operations. The differences between the test variables are then used as an indicator to assess the cartilage conditions from two operation techniques: SBACLR and DBACLR. Subsequently, the study also examines the possible correlation of each of the resulting variables.Detailed DescriptionThis study utilizes a single-blind randomized clinical trial to evaluate whether the DBACL reconstruction surgery is more suitable than SBACL reconstruction in the subclinical aspect of cartilage damage through a biomolecular examination from the synovial joint fluid COMP and MRI T2 mapping. This study's estimated time is between two to three years ranging from January 2018 until the end of June 2021. The samples are randomly divided into two groups: the SBACLR group and the DBACLR group. The sample size for each group was 26 subjects. For the subjects, the accepted inclusion criteria were male, age 18-40 years, total primary AC rupture, injury time 1-12 months, willingness to attend the study, and signed informed consent. Exclusion criteria include subjects having other ligament injuries in the knee, history of rheumatoid arthritis, severe osteoarthritis Kellgren-Lawrence grading\&gt; 2, Body Mass Index (BMI) â‰¥ 25, fracture around the knee joint or osteochondral avulsion, history of injury with either or both semitendinosus or gracilis muscle, patellofemoral instability, contraindication of anesthesia, and partial ACL rupture. Drop Out criteria includes: subjects not returning to control, undergoing treatment outside the program, not complying with study protocols, re-injury to the studied knee causing ligament, meniscus or cartilage injury, and postoperative knee infection. Prospective subjects have been diagnosed with the total loss of ACL and meet the research criteria are explained about the aims and objectives of the study and sign a consent form to participate in the study. Each subject was assigned to one of the study groups through a simple randomization method: the SBACL reconstruction surgery action group or the DBACL reconstruction surgery action group. All subjects were examined the Lachman test, pivot test, Rolimeter measurement, MRI T2 mapping, and knee joint fluid for ELISA examination of sfCOMP (synovial fluid COMP) at the time before surgery, the third month, and the sixth month postoperatively.</t>
  </si>
  <si>
    <t>LNCT04626999</t>
  </si>
  <si>
    <t>https://clinicaltrials.gov/study/NCT04626999</t>
  </si>
  <si>
    <t>https://www.embase.com/search/results?subaction=viewrecord&amp;id=LNCT04626999&amp;from=export</t>
  </si>
  <si>
    <t>Zhang Y., Liu S., Chen Q., Hu Y., Sun Y., Chen J.</t>
  </si>
  <si>
    <t>(Zhang Y.; Liu S.; Sun Y.; Chen J.) Department of Sports Medicine, Huashan Hospital, Fudan University, Shanghai, China. , (Chen Q.) Department of Biology, Boston University, Boston, MA, United States. , (Hu Y.) Department of Radiology, Huashan Hospital, Fudan University, Shanghai, China.</t>
  </si>
  <si>
    <t>The American journal of sports medicine (2020) 48:12 (2970-2977). Date of Publication: 1 Oct 2020</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</si>
  <si>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 &lt;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</si>
  <si>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L632839272</t>
  </si>
  <si>
    <t>http://dx.doi.org/10.1177/0363546520951507</t>
  </si>
  <si>
    <t>https://www.embase.com/search/results?subaction=viewrecord&amp;id=L632839272&amp;from=export</t>
  </si>
  <si>
    <t>https://catalyst.library.jhu.edu/openurl/01JHU_INST/01JHU_INST:JHU?sid=EMBASE&amp;sid=EMBASE&amp;issn=15523365&amp;id=doi:10.1177%2F0363546520951507&amp;atitle=Maturity+Progression+of+the+Entire+Anterior+Cruciate+Ligament+Graft+of+Insertion-Preserved+Hamstring+Tendons+by+5+Years%3A+A+Prospective+Randomized+Controlled+Study+Based+on+Magnetic+Resonance+Imaging+Evaluation&amp;stitle=Am+J+Sports+Med&amp;title=The+American+journal+of+sports+medicine&amp;volume=48&amp;issue=12&amp;spage=2970&amp;epage=2977&amp;aulast=Zhang&amp;aufirst=Yuhan&amp;auinit=Y.&amp;aufull=Zhang+Y.&amp;coden=&amp;isbn=&amp;pages=2970-2977&amp;date=2020&amp;auinit1=Y&amp;auinitm=</t>
  </si>
  <si>
    <t>The Use of Five-strand Hamstring Autograft to Increase the Graft Size in Anterior Cruciate Ligament Reconstruction - a Prospective Randomized Controlled Trial</t>
  </si>
  <si>
    <t>clinicaltrials.gov (2020). Date of Publication: 26 Aug 2020</t>
  </si>
  <si>
    <t>Brief SummaryAnterior cruciate ligament (ACL) reconstruction is one of most commonly performed orthopaedic surgeries. Several options for graft choice are available and autologous single bundle hamstring graft is most commonly used. Variability exists among patients in terms of hamstring size, and therefore the graft diameter. Recently there has been an increasing amount of literature correlating the hamstring graft diameter with the graft failure rate \[1-4\]. They concluded that graft exceeding 8mm in diameter is associated with a significant lower risk of graft failure. There has been study showing that Asian patients were indeed 'different' from the Caucasians. Ho et al published his findings on Singaporean patients showing that the median graft diameters for female and male patients were 7mm and 8mm respectively \[5\]. A retrospective review our patients undergoing ACL reconstruction in our department over the past 10 years has shown that the mean graft diameter was 7.8mm (range, 5.5-10mm). The conventional way of four-strand hamstring autograft is done by doubling both the semitendinosus and gracilis tendons to provide a quadrupled graft. Several techniques have been described to increase the size of the hamstring graft. One of those is the -strand hamstring graft, in which the longer semitendinosus tendon is tripled with the shorter gracilis tendon doubled to produce a 5-strand configuration. We hypothesized that the 5-strand hamstring graft would provide a graft of significantly larger diameter than the conventional quadrupled autograft.</t>
  </si>
  <si>
    <t>LNCT04531826</t>
  </si>
  <si>
    <t>https://clinicaltrials.gov/study/NCT04531826</t>
  </si>
  <si>
    <t>https://www.embase.com/search/results?subaction=viewrecord&amp;id=LNCT04531826&amp;from=export</t>
  </si>
  <si>
    <t>Roger J., Bertani A., Vigouroux F., Mottier F., Gaillard R., Have L., RongiÃ¨ras F.</t>
  </si>
  <si>
    <t>(Roger J., julien.roger@chu-lyon.fr; Gaillard R.) Division of Orthopaedic Surgery, Department of Surgery, HÃ´pital de La Croix Rousse, Hospices Civils de Lyon, 103 Grande Rue de la Croix Rousse, Lyon, France. , (Bertani A., antoine.bertani@chu-lyon.fr; RongiÃ¨ras F.) Division of Orthopaedic Surgery, Department of Surgery, HÃ´pital Edouard Herriot, Hospices Civils de Lyon, Lyon, France. , (Vigouroux F.) Division of Orthopaedic Surgery, Department of Surgery, HÃ´pital d'Instruction des ArmÃ©es BÃ©gin, Service de SantÃ© des ArmÃ©es, France. , (Mottier F.) Division of Orthopaedic Surgery, Department of Surgery, Centre Hospitalier Pierre Oudot, France. , (Have L.) Department of Physical and Medical Rehabilitation, HÃ´pital Edouard Herriot, Hospices Civils de Lyon, Lyon, France.</t>
  </si>
  <si>
    <t>Knee surgery, sports traumatology, arthroscopy : official journal of the ESSKA (2020) 28:8 (2468-2477). Date of Publication: 1 Aug 2020</t>
  </si>
  <si>
    <t>PURPOSE: The objective of this single-center randomized single-blinded trial was to assess the hypothesis that anterior cruciate ligament reconstruction (ACLR) using a four-strand semitendinosus (ST) graft with adjustable femoral and tibial cortical fixation produced good outcomes compared to an ST/gracilis (ST/G) graft with femoral pin transfixation and tibial bioscrew fixation. Follow-up was 2 years. METHODS: Patients older than 16 years who underwent primary isolated ACLR included for 1 year until August 2017 were eligible. The primary outcome measures were the subjective International Knee Documentation Committee (IKDC) score, isokinetic muscle strength recovery, and return to work within 2 years. The study was approved by the ethics committee. RESULTS: Of 66 eligible patients, 60 completed the study and were included, 33 in the 4ST group and 27 in the ST/G group. Mean age was 30.5 Â± 8.9 years in the 4ST group and 30.3 Â± 8.5 in the ST/G group (n.s.). No significant between-group differences were found for mean postoperative subjective IKDC (4ST group, 80.2 Â± 12.5; ST/G group, 83.6 Â± 13.6; n.s.), side-to-side percentage deficits in isokinetic hamstring strength (at 60Â°/s: ST group, 17% Â± 16%; ST/G group, 14% Â± 11%; n.s.) or quadriceps strength (at 60Â°/s: ST group, 14% Â± 12%; ST/G group, 19% Â± 17%; n.s.), return to work, pain during physical activities, side-to-side differential laxity, balance, loss of flexion/extension, or surgical complications. CONCLUSION: This trial demonstrates that functional outcomes after 4ST for ACLR with cortical fixations could be as good, although not better, than those obtained using ST/G. The 4ST technique spares the gracilis tendon, which thus preserves the medial sided muscle and thereby could improve function and limit donor-side morbidity.Level I.</t>
  </si>
  <si>
    <t>L632423976</t>
  </si>
  <si>
    <t>http://dx.doi.org/10.1007/s00167-020-06121-2</t>
  </si>
  <si>
    <t>https://www.embase.com/search/results?subaction=viewrecord&amp;id=L632423976&amp;from=export</t>
  </si>
  <si>
    <t>https://catalyst.library.jhu.edu/openurl/01JHU_INST/01JHU_INST:JHU?sid=EMBASE&amp;sid=EMBASE&amp;issn=14337347&amp;id=doi:10.1007%2Fs00167-020-06121-2&amp;atitle=ACL+reconstruction+using+a+quadruple+semitendinosus+graft+with+cortical+fixations+gives+suitable+isokinetic+and+clinical+outcomes+after+2%C2%A0years&amp;stitle=Knee+Surg+Sports+Traumatol+Arthrosc&amp;title=Knee+surgery%2C+sports+traumatology%2C+arthroscopy+%3A+official+journal+of+the+ESSKA&amp;volume=28&amp;issue=8&amp;spage=2468&amp;epage=2477&amp;aulast=Roger&amp;aufirst=Julien&amp;auinit=J.&amp;aufull=Roger+J.&amp;coden=&amp;isbn=&amp;pages=2468-2477&amp;date=2020&amp;auinit1=J&amp;auinitm=</t>
  </si>
  <si>
    <t>Comparison of Functional Outcome Between Bone Quadriceps Tendon (BQT) and Single-Bundle Hamstring Tendon (SBHT) Autograft in Arthroscopic-assissted Anterior Cruciate Ligament Reconstruction: a Prospective Cohort Study</t>
  </si>
  <si>
    <t>clinicaltrials.gov (2020). Date of Publication: 16 Jul 2020</t>
  </si>
  <si>
    <t>Brief SummaryACL rupture has a high morbidity in productive-age population. The increasing incidence and proper management has become a point of interest in the musculoskeletal sport injury. Choosing the best graft has become the main focus in searching for a better outcome regarding ACL reconstruction in these patient population. Currently, single bundle hamstring tendon (SBHT) autograft was preferred in Asian population compared to bone quadriceps tendon (BQT) autograft. However, there are some problems such as smaller size, as well as diameter, of SBHT. This study is focused on evaluation of the clinical outcome between BQT and SBHT in arthroscopic-assisted ACL reconstruction patients.Detailed DescriptionIn this prospective cohort study, 30 subjects were divided into 2 groups (BQT and SBHT). Sampling was taken between February 2016-2017 (1 year) in one orthopaedic center. The instruments used for evaluation are rolimeter and PRO questionnaires (IKDC, Tegner-Lysholm, and KOOS) with data mining between 1 month, 3 months, and 6 months post operation. To obtain a valid and accountable research data, the investigators collected the information based on 2 parameters and then crosschecked the results. After clinical data was obtained, the investigators translate the results into a statistical data using SPSS ver.24 and simplified the data for national registry and academic purposes. According to previous studies, and research hypothesis, functional outcome of patient undergoing arthroscopic-assisted ACL reconstruction is better in BQT group compared to SBHT group, both in subjective and objective parameters given.</t>
  </si>
  <si>
    <t>LNCT04536246</t>
  </si>
  <si>
    <t>https://clinicaltrials.gov/study/NCT04536246</t>
  </si>
  <si>
    <t>https://www.embase.com/search/results?subaction=viewrecord&amp;id=LNCT04536246&amp;from=export</t>
  </si>
  <si>
    <t>Intra-articular Administration of Tranexamic Acid Has No Effect in Reducing Intra-articular Hemarthrosis and Postoperative Pain After Primary ACL Reconstruction Using a Quadruple Hamstring Graft: A Randomized Controlled Trial</t>
  </si>
  <si>
    <t>Lee J.-W., Kim S.-G., Kim S.-H., Cho H.-W., Bae J.-H.</t>
  </si>
  <si>
    <t>(Lee J.-W.; Cho H.-W.; Bae J.-H., osman@korea.ac.kr) Department of Orthopaedic Surgery, Korea University Guro Hospital, Korea University College of Medicine, Seoul, South Korea. , (Kim S.-G.) Department of Orthopedic Surgery, Korea University Ansan Hospital, Korea University College of Medicine, Ansan, South Korea. , (Kim S.-H.) Department of Orthopedic Surgery, Naval Maritime Medical Center, Jinju, South Korea.</t>
  </si>
  <si>
    <t>J.-H. Bae, Department of Orthopaedic Surgery, Korea University Guro Hospital, Korea University College of Medicine, Seoul, South Korea. Email: osman@korea.ac.kr</t>
  </si>
  <si>
    <t>Orthopaedic Journal of Sports Medicine (2020) 8:7. Date of Publication: 1 Jul 2020</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</si>
  <si>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Â± SD blood loss was 467 Â± 242 mL in the TXA group and 558 Â±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(ClinicalTrials.gov identifier).</t>
  </si>
  <si>
    <t>cephalosporin (11111-12-9), nefopam (13669-70-0, 23327-57-3), paracetamol (103-90-2), tramadol (27203-92-5, 36282-47-0), tranexamic acid (1197-18-8, 701-54-2)</t>
  </si>
  <si>
    <t>ClinicalTrials.gov (NCT04042688)</t>
  </si>
  <si>
    <t>L2005661678</t>
  </si>
  <si>
    <t>10.1177/2325967120933135</t>
  </si>
  <si>
    <t>http://dx.doi.org/10.1177/2325967120933135</t>
  </si>
  <si>
    <t>https://www.embase.com/search/results?subaction=viewrecord&amp;id=L2005661678&amp;from=export</t>
  </si>
  <si>
    <t>https://catalyst.library.jhu.edu/openurl/01JHU_INST/01JHU_INST:JHU?sid=EMBASE&amp;sid=EMBASE&amp;issn=23259671&amp;id=doi:10.1177%2F2325967120933135&amp;atitle=Intra-articular+Administration+of+Tranexamic+Acid+Has+No+Effect+in+Reducing+Intra-articular+Hemarthrosis+and+Postoperative+Pain+After+Primary+ACL+Reconstruction+Using+a+Quadruple+Hamstring+Graft%3A+A+Randomized+Controlled+Trial&amp;stitle=Orthop.+J.+Sports+Med.&amp;title=Orthopaedic+Journal+of+Sports+Medicine&amp;volume=8&amp;issue=7&amp;spage=&amp;epage=&amp;aulast=Lee&amp;aufirst=Ja-Woon&amp;auinit=J.-W.&amp;aufull=Lee+J.-W.&amp;coden=&amp;isbn=&amp;pages=-&amp;date=2020&amp;auinit1=J&amp;auinitm=-W</t>
  </si>
  <si>
    <t>Sinding K.S., Nielsen T.G., Hvid L.G., Lind M., Dalgas U.</t>
  </si>
  <si>
    <t>(Sinding K.S.; Nielsen T.G.) Department of Sports Traumatology, Aarhus University Hospital, Aarhus, Denmark. , (Hvid L.G.; Dalgas U., dalgas@ph.au.dk) Exercise Biology, Department of Public Health, Aarhus University, Aarhus, Denmark. , (Lind M.) Department of Orthopedic Surgery, Aarhus University Hospital, Aarhus, Denmark.</t>
  </si>
  <si>
    <t>Sports medicine (Auckland, N.Z.) (2020) 50:7 (1393-1403). Date of Publication: 1 Jul 2020</t>
  </si>
  <si>
    <t>Sports medicine (Auckland, N.Z.)</t>
  </si>
  <si>
    <t>1179-2035 (electronic)</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</si>
  <si>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</si>
  <si>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ClinicalTrials.gov (NCT02173483)</t>
  </si>
  <si>
    <t>L631154350</t>
  </si>
  <si>
    <t>http://dx.doi.org/10.1007/s40279-020-01276-x</t>
  </si>
  <si>
    <t>https://www.embase.com/search/results?subaction=viewrecord&amp;id=L631154350&amp;from=export</t>
  </si>
  <si>
    <t>https://catalyst.library.jhu.edu/openurl/01JHU_INST/01JHU_INST:JHU?sid=EMBASE&amp;sid=EMBASE&amp;issn=11792035&amp;id=doi:10.1007%2Fs40279-020-01276-x&amp;atitle=Effects+of+Autograft+Types+on+Muscle+Strength+and+Functional+Capacity+in+Patients+Having+Anterior+Cruciate+Ligament+Reconstruction%3A+A+Randomized+Controlled+Trial&amp;stitle=Sports+Med&amp;title=Sports+medicine+%28Auckland%2C+N.Z.%29&amp;volume=50&amp;issue=7&amp;spage=1393&amp;epage=1403&amp;aulast=Sinding&amp;aufirst=Kasper+Stagh%C3%B8j&amp;auinit=K.S.&amp;aufull=Sinding+K.S.&amp;coden=&amp;isbn=&amp;pages=1393-1403&amp;date=2020&amp;auinit1=K&amp;auinitm=S</t>
  </si>
  <si>
    <t>Sundaraj K., Salmon L.J., Heath E.L., Winalski C.S., Colak C., Vasanji A., Roe J.P., Pinczewski L.A.</t>
  </si>
  <si>
    <t>(Sundaraj K.; Salmon L.J.; Heath E.L.; Roe J.P.; Pinczewski L.A.) North Sydney Orthopaedic and Sports Medicine, Sydney, Australia. , (Winalski C.S.; Colak C.) Cleveland Clinic Foundation, Cleveland, OH, United States. , (Vasanji A.) ERT, Cleveland, OH, United States. , (Pinczewski L.A.) University of Notre Dame, Sydney, Australia.</t>
  </si>
  <si>
    <t>The American journal of sports medicine (2020) 48:6 (1316-1326). Date of Publication: 1 May 2020</t>
  </si>
  <si>
    <t>BACKGROUND: Bioabsorbable screws for anterior cruciate ligament reconstruction (ACLR) have been a popular choice, with theoretical advantages in imaging and surgery. Titanium and poly-L-lactic acid with hydroxyapatite (PLLA-HA) screws have been compared, but with less than a decade of follow-up. PURPOSE/HYPOTHESIS: The purpose was to compare long-term outcomes of hamstring autograft ACLR using either PLLA-HA screws or titanium screws. We hypothesized there would be no difference at 13 years in clinical scores or tunnel widening between PLLA-HA and titanium screw types, along with high-grade resorption and ossification of PLLA-HA screws. STUDY DESIGN: Randomized controlled trial; Level of evidence, 1. METHODS: Forty patients undergoing ACLR were randomized to receive either a PLLA-HA screw or a titanium screw for ACL hamstring autograft fixation. Blinded evaluation was performed at 2, 5, and 13 years using the International Knee Documentation Committee score, Lysholm knee score, and KT-1000 arthrometer. Magnetic resonance imaging (MRI) was performed at 2 or 5 years and 13 years to evaluate tunnel volumes, ossification around the screw, graft integration, and cyst formation. Computed tomography (CT) of patients with PLLA-HA was performed at 13 years to evaluate tunnel volumes and intratunnel ossification. RESULTS: No differences were seen in clinical outcomes at 2, 5, or 13 years between the 2 groups. At 13 years, tibial tunnel volumes were smaller for the PLLA-HA group (2.17 cm3) compared with the titanium group (3.33 cm3; P = .004). By 13 years, the PLLA-HA group had complete or nearly complete resorption on MRI or CT scan. CONCLUSION: Equivalent clinical results were found between PLLA-HA and titanium groups at 2, 5, and 13 years. Although PLLA-HA screws had complete or nearly complete resorption by 13 years, tunnel volumes remained largely unchanged, with minimal ossification.</t>
  </si>
  <si>
    <t>hydroxyapatite (1306-06-5, 51198-94-8), titanium (7440-32-6)</t>
  </si>
  <si>
    <t>L631572460</t>
  </si>
  <si>
    <t>http://dx.doi.org/10.1177/0363546520911024</t>
  </si>
  <si>
    <t>https://www.embase.com/search/results?subaction=viewrecord&amp;id=L631572460&amp;from=export</t>
  </si>
  <si>
    <t>https://catalyst.library.jhu.edu/openurl/01JHU_INST/01JHU_INST:JHU?sid=EMBASE&amp;sid=EMBASE&amp;issn=15523365&amp;id=doi:10.1177%2F0363546520911024&amp;atitle=Bioabsorbable+Versus+Titanium+Screws+in+Anterior+Cruciate+Ligament+Reconstruction+Using+Hamstring+Autograft%3A+A+Prospective%2C+Randomized+Controlled+Trial+With+13-Year+Follow-up&amp;stitle=Am+J+Sports+Med&amp;title=The+American+journal+of+sports+medicine&amp;volume=48&amp;issue=6&amp;spage=1316&amp;epage=1326&amp;aulast=Sundaraj&amp;aufirst=Keran&amp;auinit=K.&amp;aufull=Sundaraj+K.&amp;coden=&amp;isbn=&amp;pages=1316-1326&amp;date=2020&amp;auinit1=K&amp;auinitm=</t>
  </si>
  <si>
    <t>Porter M., Shadbolt B.</t>
  </si>
  <si>
    <t>(Porter M.) Canberra Orthopaedics and Sports Medicine, Bruce, Australian Capital Territory, Australia, (Shadbolt B.) Canberra Hospital, Garran, Australian Capital Territory, Australia.</t>
  </si>
  <si>
    <t>The American journal of sports medicine (2020) 48:5 (1069-1077). Date of Publication: 1 Apr 2020</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</si>
  <si>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Â± 3.7 years) and 28 to group B (female:male ratio = 17:11; mean age, 21.8 Â± 4.1 years). At 2-year follow-up, group A had a similar IKDC score (90.9 Â± 10.7 vs 94.2 Â± 11.2; respectively; P = .21), lower KOOS Sport/Rec score (91.5 Â± 6.4 vs 95.3 Â± 4.4, respectively; P = .02), similar KOOS QoL score (92.0 Â± 4.8 vs 95.1 Â± 4.3, respectively; P = .14), lower LKS score (92.5 Â± 4.8 vs 96.8 Â±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</si>
  <si>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L631274775</t>
  </si>
  <si>
    <t>http://dx.doi.org/10.1177/0363546520910148</t>
  </si>
  <si>
    <t>https://www.embase.com/search/results?subaction=viewrecord&amp;id=L631274775&amp;from=export</t>
  </si>
  <si>
    <t>https://catalyst.library.jhu.edu/openurl/01JHU_INST/01JHU_INST:JHU?sid=EMBASE&amp;sid=EMBASE&amp;issn=15523365&amp;id=doi:10.1177%2F0363546520910148&amp;atitle=Modified+Iliotibial+Band+Tenodesis+Is+Indicated+to+Correct+Intraoperative+Residual+Pivot+Shift+After+Anterior+Cruciate+Ligament+Reconstruction+Using+an+Autologous+Hamstring+Tendon+Graft%3A+A+Prospective+Randomized+Controlled+Trial&amp;stitle=Am+J+Sports+Med&amp;title=The+American+journal+of+sports+medicine&amp;volume=48&amp;issue=5&amp;spage=1069&amp;epage=1077&amp;aulast=Porter&amp;aufirst=Mark&amp;auinit=M.&amp;aufull=Porter+M.&amp;coden=&amp;isbn=&amp;pages=1069-1077&amp;date=2020&amp;auinit1=M&amp;auinitm=</t>
  </si>
  <si>
    <t>SEQUAR - SEmitendinosus vs QUadriceps in Anterior Cruciate Ligament Reconstruction - a Prospective Randomized Study</t>
  </si>
  <si>
    <t>clinicaltrials.gov (2020). Date of Publication: 26 Feb 2020</t>
  </si>
  <si>
    <t>Brief SummaryRandomized control trial comparing two different Anterior Cruciate Ligament (ACL) grafts in Anterior Cruciate Ligament Reconstruction: the semitendinosus hamstrings graft and the quadriceps graft. Capio Artro Clinic (Stockholm) has vast experience in ACL surgery using both semitendinosus and quadriceps grafts.Detailed DescriptionThe purpose of the study is to evaluate the quadriceps graft with bone-plug in Anterior Cruciate Ligament Reconstruction (ACL-R) and compare it with the most common choice of graft, semitendinosus hamstrings graft in ACL-R in athletes with Tegner Activity Scale 7 or higher. Both methods are well-known and continually registered in the Swedish ACL Registry. Both grafts will be compared post operatively as to knee laxity (primary outcome), PROMs, as well as measure graft site morbidity, Return to Sports rate, and the post-operative rehab. At 9 months we will also preform a MRI scan to determine graft maturity. 5-year and 10-year data will also be acquired through the Swedish ACL-registry and Lysholm score and Tegner Activity Level score. At 10-year a plain weight baring X-ray will be preformed to evaluate development of osteoarthritis. The study design is a prospective randomized study with equal groups: Semitendinosus graft (=100) and Quadriceps tendon graft (n=100). According to historical material from Capio Artro Clinic (Stockholm) the following power calculation has been made: Significance lever 5 percent (p=0.05) and power is 80%. The difference between the groups is 1 mm knee laxity with KT-1000 which would give an effect size of 0,44 or less compared to an average effect size (0,50). 85 individuals will be needed in each group in the statistical analysis. Although no stratification for sex will be performed, our aim is to have a balanced representation of sex that reflects the typical patient population for this condition at the clinic, with a distribution of 40% females and 60% males across both groups. Inclusion will continue until we have at least 100 individuals in each group. This means that each group can have more than 100 individuals. Randomization process and study design will be done according to the CONSORT guidelines. Initially, the study was designed to have two primary outcome measures: KT-1000 knee laxity at 6 months and KOOS at 24 months. However, the study is only powered for the first outcome (Knee Laxity measured with KT-1000), therefore KOOS will be followed as a secondary outcome measure.</t>
  </si>
  <si>
    <t>LNCT04295148</t>
  </si>
  <si>
    <t>https://clinicaltrials.gov/study/NCT04295148</t>
  </si>
  <si>
    <t>https://www.embase.com/search/results?subaction=viewrecord&amp;id=LNCT04295148&amp;from=export</t>
  </si>
  <si>
    <t>Lind M., Nielsen T.G., Soerensen O.G., Mygind-Klavsen B., FaunÃ¸ P.</t>
  </si>
  <si>
    <t>(Lind M., Martinlind@dadlnet.dk; Nielsen T.G.; Soerensen O.G.; Mygind-Klavsen B.; FaunÃ¸ P.) Department of Orthopaedics, Aarhus University Hospital, Aarhus, Denmark.</t>
  </si>
  <si>
    <t>British journal of sports medicine (2020) 54:3 (183-187). Date of Publication: 1 Feb 2020</t>
  </si>
  <si>
    <t>British journal of sports medicine</t>
  </si>
  <si>
    <t>1473-0480 (electronic)</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</si>
  <si>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 TRIAL REGISTRATION NUMBER: NCT02173483.</t>
  </si>
  <si>
    <t>L629812714</t>
  </si>
  <si>
    <t>http://dx.doi.org/10.1136/bjsports-2019-101000</t>
  </si>
  <si>
    <t>https://www.embase.com/search/results?subaction=viewrecord&amp;id=L629812714&amp;from=export</t>
  </si>
  <si>
    <t>https://catalyst.library.jhu.edu/openurl/01JHU_INST/01JHU_INST:JHU?sid=EMBASE&amp;sid=EMBASE&amp;issn=14730480&amp;id=doi:10.1136%2Fbjsports-2019-101000&amp;atitle=Quadriceps+tendon+grafts+does+not+cause+patients+to+have+inferior+subjective+outcome+after+anterior+cruciate+ligament+%28ACL%29+reconstruction+than+do+hamstring+grafts%3A+a+2-year+prospective+randomised+controlled+trial&amp;stitle=Br+J+Sports+Med&amp;title=British+journal+of+sports+medicine&amp;volume=54&amp;issue=3&amp;spage=183&amp;epage=187&amp;aulast=Lind&amp;aufirst=Martin&amp;auinit=M.&amp;aufull=Lind+M.&amp;coden=&amp;isbn=&amp;pages=183-187&amp;date=2020&amp;auinit1=M&amp;auinitm=</t>
  </si>
  <si>
    <t>Lesiones de ligamento cruzado anterior tratadas con autoinjerto de tendÃ³n de cuÃ¡driceps versus autoinjerto de isquiotibiales: Estudio controlado aleatorizado</t>
  </si>
  <si>
    <t>Vilchez-Cavazos F., DÃ¡vila-MartÃ­nez A., Garza-Castro S.D.L., Simental-MendiÃ¡ M., Garay-Mendoza D., Tamez-Mata Y., PenÃ£-MartÃ­nez V., Acosta-Olivo C.</t>
  </si>
  <si>
    <t>(Vilchez-Cavazos F.; DÃ¡vila-MartÃ­nez A.; Garza-Castro S.D.L.; Simental-MendiÃ¡ M.; Garay-Mendoza D.; Tamez-Mata Y.; PenÃ£-MartÃ­nez V.; Acosta-Olivo C., dr.carlosacosta@gmail.com) Departamento de Ortopedia y TraumatologiÃ¡, Hospital Universitario "dr. JosÃ© E. GonzÃ¡lez", Universidad AutÃ³noma de Nuevo LeÃ³n, Avda. Madero y Gonzalitos, s/n Col. Mitras centro, Monterrey, N.L., Mexico.</t>
  </si>
  <si>
    <t>C. Acosta-Olivo, Departamento de Ortopedia y TraumatologiÃ¡, Hospital Universitario "dr. JosÃ© E. GonzÃ¡lez", Universidad AutÃ³noma de Nuevo LeÃ³n, Avda. Madero y Gonzalitos, s/n Col. Mitras centro, Monterrey, N.L., Mexico. Email: dr.carlosacosta@gmail.com</t>
  </si>
  <si>
    <t>Cirugia y Cirujanos (English Edition) (2020) 88:1 (76-81). Date of Publication: 2020</t>
  </si>
  <si>
    <t>Cirugia y Cirujanos (English Edition)</t>
  </si>
  <si>
    <t>2444-054X (electronic),0009-7411</t>
  </si>
  <si>
    <t>Publicaciones Permanyer, permanyer@permanyer.com</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</si>
  <si>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</si>
  <si>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English, Spanish</t>
  </si>
  <si>
    <t>L2004630915</t>
  </si>
  <si>
    <t>http://dx.doi.org/10.24875/CIRU.19001001</t>
  </si>
  <si>
    <t>https://www.embase.com/search/results?subaction=viewrecord&amp;id=L2004630915&amp;from=export</t>
  </si>
  <si>
    <t>https://catalyst.library.jhu.edu/openurl/01JHU_INST/01JHU_INST:JHU?sid=EMBASE&amp;sid=EMBASE&amp;issn=2444054X&amp;id=doi:10.24875%2FCIRU.19001001&amp;atitle=Anterior+cruciate+ligament+injuries+treated+with+quadriceps+tendon+autograft+versus+hamstring+autograft%3A+A+randomized+controlled+trial&amp;stitle=Cir.+Cir.&amp;title=Cirugia+y+Cirujanos+%28English+Edition%29&amp;volume=88&amp;issue=1&amp;spage=76&amp;epage=81&amp;aulast=Vilchez-Cavazos&amp;aufirst=Felix&amp;auinit=F.&amp;aufull=Vilchez-Cavazos+F.&amp;coden=CICIA&amp;isbn=&amp;pages=76-81&amp;date=2020&amp;auinit1=F&amp;auinitm=</t>
  </si>
  <si>
    <t>Kouloumentas P., Kavroudakis E., Charalampidis E., Kavroudakis D., Triantafyllopoulos G.K.</t>
  </si>
  <si>
    <t>(Kouloumentas P., info@kouloumentas.gr; Kavroudakis E.; Charalampidis E.; Triantafyllopoulos G.K.) Orthopaedics and Sports Orthopaedics Clinic, Metropolitan Hospital, N. Faliro, Ethnarchou Makariou 9 &amp; El. Venizelou 1, Greece. , (Kavroudakis D.) Department of Geography, University of the Aegean, Lesvos Island, Mytilene, Greece.</t>
  </si>
  <si>
    <t>Knee surgery, sports traumatology, arthroscopy : official journal of the ESSKA (2019) 27:11 (3592-3598). Date of Publication: 1 Nov 2019</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</si>
  <si>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Â±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Â± 0.1 vs 0.9 Â± 0.1; p &lt; 0.001), time-to-peak (0.9 Â± 0.1 vs 0.8 Â± 0.1; p &lt; 0.001) and total work (0.9 Â± 0.1 vs 0.8 Â± 0.1; p &lt; 0.001) at 180Â°/s, and significantly better mean LSI for isometric flexor/extensor ratio at 90Â° (1.1 Â± 0.3 vs 0.8 Â±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injury.I.</t>
  </si>
  <si>
    <t>L626880633</t>
  </si>
  <si>
    <t>http://dx.doi.org/10.1007/s00167-019-05456-9</t>
  </si>
  <si>
    <t>https://www.embase.com/search/results?subaction=viewrecord&amp;id=L626880633&amp;from=export</t>
  </si>
  <si>
    <t>https://catalyst.library.jhu.edu/openurl/01JHU_INST/01JHU_INST:JHU?sid=EMBASE&amp;sid=EMBASE&amp;issn=14337347&amp;id=doi:10.1007%2Fs00167-019-05456-9&amp;atitle=Superior+knee+flexor+strength+at+2%C2%A0years+with+all-inside+short-graft+anterior+cruciate+ligament+reconstruction+vs+a+conventional+hamstring+technique&amp;stitle=Knee+Surg+Sports+Traumatol+Arthrosc&amp;title=Knee+surgery%2C+sports+traumatology%2C+arthroscopy+%3A+official+journal+of+the+ESSKA&amp;volume=27&amp;issue=11&amp;spage=3592&amp;epage=3598&amp;aulast=Kouloumentas&amp;aufirst=Panagiotis&amp;auinit=P.&amp;aufull=Kouloumentas+P.&amp;coden=&amp;isbn=&amp;pages=3592-3598&amp;date=2019&amp;auinit1=P&amp;auinitm=</t>
  </si>
  <si>
    <t>Retrospective Cohort Study on How Meniscal Lesions Affect Return to Sport After Anterior Cruciate Ligament Reconstruction in Young Non-professional Athletes</t>
  </si>
  <si>
    <t>clinicaltrials.gov (2019). Date of Publication: 11 Oct 2019</t>
  </si>
  <si>
    <t>Brief SummaryMost athletes who undergo Anterior Cruciate Ligament Reconstruction (ACLR) plan to return to some level of sporting (RTS) activity. However, rates of return to pre-injury sport are often less than might be expected and many factors influence whether individuals return to sport after this surgery. This study aims to better understand the role of meniscal lesions in RTS and to assess the advantage of the integrated evaluation with clinical, biomechanical and psychological tests to decide the correct RTS timing in non-professional athletes undergoing ACLR.Detailed DescriptionTwenty non-professional athletes with acute ACL injury were recruited in the Orthopaedic and Trauma Unit of University Hospital of Bari. All the patients underwent an all-inside semitendinosus (ST) tendon autograft ACLR with Arthrex TightRope cortical fixation. The clinical outcomes (modified Cincinnati Rating System Questionnaire (mCRSQ), Tegner Activity Level Score (TALS), Tegner Lysholm Knee Scoring Scale (TLKSS)), the self-reported psychological scores (Tampa Scale of Kinesiophobia (TSK) and the ACL Return to Sport after Injury (ACL-RSI) score) and biomechanical outcomes (stability, jump, coordination and fatigue tests) were assessed postoperatively at 18 months.</t>
  </si>
  <si>
    <t>LNCT04129827</t>
  </si>
  <si>
    <t>https://clinicaltrials.gov/study/NCT04129827</t>
  </si>
  <si>
    <t>https://www.embase.com/search/results?subaction=viewrecord&amp;id=LNCT04129827&amp;from=export</t>
  </si>
  <si>
    <t>Effect of isokinetic training of thigh muscle group on graft remodeling after anterior cruciate ligament reconstruction</t>
  </si>
  <si>
    <t>Liu H., Lu W., Liang D., Geng H., Zhu W., Ouyang K., Li H., Peng L., Feng W., Zhong M., Chen K., Li Y., Deng Z., Wang D.</t>
  </si>
  <si>
    <t>(Liu H.; Liang D.; Geng H.; Zhu W.; Ouyang K.; Li H.; Peng L.; Feng W.; Zhong M.; Chen K.; Li Y.; Deng Z.) Department of Sports Medicine, the First Affiliated Hospital of Shenzhen University (Shenzhen Second People's Hospital), Shenzhen Guangzhou, 518000, P.R.China;Sports Medicine Engineering Technology Research Center of Guangdong Province, Shenzhen Guangdong, 518000, P.R.China, (Lu W.) Department of Sports Medicine, the First Affiliated Hospital of Shenzhen University (Shenzhen Second People's Hospital), Shenzhen Guangzhou, 518000, P.R.China;Sports Medicine Engineering Technology Research Center of Guangdong Province, Shenzhen Guangdong, 518000, P.R.China.winerl@sina.com, (Wang D., P.R.China.dapingwang@medmail.com.cn) Department of Sports Medicine, the First Affiliated Hospital of Shenzhen University (Shenzhen Second People's Hospital), Shenzhen Guangzhou, 518000, P.R.China;Sports Medicine Engineering Technology Research Center of Guangdong Province, Shenzhen Guangdong, 518000,</t>
  </si>
  <si>
    <t>Zhongguo xiu fu chong jian wai ke za zhi = Zhongguo xiufu chongjian waike zazhi = Chinese journal of reparative and reconstructive surgery (2019) 33:9 (1088-1094). Date of Publication: 15 Sep 2019</t>
  </si>
  <si>
    <t>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(23.57Â±3.23) months in isokinetic group and (23.22Â±3.56) months in control group, showing no significant difference between the two groups ( P&gt;0.05). At the second-look arthroscopy, the IKDC score was 90.45Â±4.73 in isokinetic group and 89.32Â±4.54 in control group, showing significant differences when compared with preoperative scores in the two groups ( P&lt;0.05). But there was no significant difference between the two groups ( t=0.868ï¼Œ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</si>
  <si>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L629304823</t>
  </si>
  <si>
    <t>http://dx.doi.org/10.7507/1002-1892.201902059</t>
  </si>
  <si>
    <t>https://www.embase.com/search/results?subaction=viewrecord&amp;id=L629304823&amp;from=export</t>
  </si>
  <si>
    <t>https://catalyst.library.jhu.edu/openurl/01JHU_INST/01JHU_INST:JHU?sid=EMBASE&amp;sid=EMBASE&amp;issn=10021892&amp;id=doi:10.7507%2F1002-1892.201902059&amp;atitle=Effect+of+isokinetic+training+of+thigh+muscle+group+on+graft+remodeling+after+anterior+cruciate+ligament+reconstruction&amp;stitle=Zhongguo+Xiu+Fu+Chong+Jian+Wai+Ke+Za+Zhi&amp;title=Zhongguo+xiu+fu+chong+jian+wai+ke+za+zhi+%3D+Zhongguo+xiufu+chongjian+waike+zazhi+%3D+Chinese+journal+of+reparative+and+reconstructive+surgery&amp;volume=33&amp;issue=9&amp;spage=1088&amp;epage=1094&amp;aulast=Liu&amp;aufirst=Haifeng&amp;auinit=H.&amp;aufull=Liu+H.&amp;coden=&amp;isbn=&amp;pages=1088-1094&amp;date=2019&amp;auinit1=H&amp;auinitm=</t>
  </si>
  <si>
    <t>Shumborski S., Heath E., Salmon L.J., Roe J.P., Linklater J.P., Facek M., Pinczewski L.A.</t>
  </si>
  <si>
    <t>(Shumborski S.; Heath E.; Salmon L.J.; Roe J.P.; Facek M.; Pinczewski L.A.) North Sydney Orthopaedic and Sports Medicine Centre, Sydney, Australia. , (Linklater J.P.) Castlereagh Imaging, Sydney, Australia. , (Pinczewski L.A.) University of Notre Dame, Sydney, Australia.</t>
  </si>
  <si>
    <t>The American journal of sports medicine (2019) 47:10 (2386-2393). Date of Publication: 1 Aug 2019</t>
  </si>
  <si>
    <t>BACKGROUND: Graft fixation with interference screws for anterior cruciate ligament (ACL) reconstruction is a highly successful technique. Polyether ether ketone (PEEK) is a novel thermoplastic polymer with high biocompatibility and mechanical properties that mimic native bone, and it can be imaged on computed tomography or magnetic resonance imaging (MRI) without signal flare. PURPOSE: To compare the clinical performance of ACL reconstruction with PEEK and titanium interference screws at 2 years and to evaluate a novel method of measuring tunnel volume. STUDY DESIGN: Randomized controlled trial; Level of evidence, 1. METHODS: A total of 133 patients underwent arthroscopic ACL reconstruction with 4-strand hamstring autografts and were randomized to have titanium or PEEK interference screws for femoral and tibial tunnel fixation. At 2 years, subjective Lysholm and International Knee Documentation Committee scores were assessed and clinical examination performed. At 12 months, MRI was performed to assess graft incorporation and cyst formation, and a novel technique was employed to measure tunnel volumes. RESULTS: There were no significant differences in graft rerupture rate, contralateral ACL rupture rate, subjective outcomes, or objective outcomes. In the titanium and PEEK groups, MRI demonstrated high overall rates of graft integration (96%-100% and 90%-93%, respectively) and ligamentization (89% and 84%) and low rates of synovitis (22% and 10%) and cyst formation (0%-18% and 13%-15%). There was a higher proportion of patients with incomplete graft integration within the femoral tunnel in the PEEK group as compared with the titanium group (10% vs 0%, P = .03); however, the authors suggest that metal artifact precluded proper assessment of the graft in the titanium group by MRI. Tunnel volumes also appeared to be equivalent in the 2 groups and were measured with a novel technique that was highly reproducible in the PEEK group secondary to the absence of flare. CONCLUSION: Two-year clinical analysis of PEEK interference screws for femoral and tibial fixation of ACL reconstructions showed equivalent clinical performance to titanium interference screws. Given the excellent mechanical characteristics, biological compatibility, and absence of metal artifact on MRI, PEEK has become our material of choice for interference screw fixation in ACL reconstruction.</t>
  </si>
  <si>
    <t>L628749826</t>
  </si>
  <si>
    <t>http://dx.doi.org/10.1177/0363546519861530</t>
  </si>
  <si>
    <t>https://www.embase.com/search/results?subaction=viewrecord&amp;id=L628749826&amp;from=export</t>
  </si>
  <si>
    <t>https://catalyst.library.jhu.edu/openurl/01JHU_INST/01JHU_INST:JHU?sid=EMBASE&amp;sid=EMBASE&amp;issn=15523365&amp;id=doi:10.1177%2F0363546519861530&amp;atitle=A+Randomized+Controlled+Trial+of+PEEK+Versus+Titanium+Interference+Screws+for+Anterior+Cruciate+Ligament+Reconstruction+With+2-Year+Follow-up&amp;stitle=Am+J+Sports+Med&amp;title=The+American+journal+of+sports+medicine&amp;volume=47&amp;issue=10&amp;spage=2386&amp;epage=2393&amp;aulast=Shumborski&amp;aufirst=Sarah&amp;auinit=S.&amp;aufull=Shumborski+S.&amp;coden=&amp;isbn=&amp;pages=2386-2393&amp;date=2019&amp;auinit1=S&amp;auinitm=</t>
  </si>
  <si>
    <t>The Stability study: A protocol for a multicenter randomized clinical trial comparing anterior cruciate ligament reconstruction with and without Lateral Extra-articular Tenodesis in individuals who are at high risk of graft failure</t>
  </si>
  <si>
    <t>Getgood A., Bryant D., Firth A., Litchfield R., Willits K., Hewison C., Kaniki N., Remtulla A., Wanlin S., Pinto R., Martindale A., O'Neill L., Jennings M., Daniluk M., Birmingham T., Boyer D., McCormack B., Zomar M., Moon K., Moon R., Fan B., Mohan B., Heard M., Buchko G., Hiemstra L., Kerslake S., Heard M., MacDonald P., Stranges G., McRae S., Gullett L.A., Brown H., Legary A., Longo A., Christian M., Ferguson C., Rezansoff A., Mohtadi N., Barber R., Chan D., Campbell C., Garven A., Pulsifer K., Mayer M., Peterson D., Simunovic N., Duong A., Islam Z., Bardana D., Howells F., Tough M., Spalding T., Thompson P., Metcalfe A., Achten J., Thomas M., Legg A., Laver L., Asplin L., Dube A., Clarkson L., Brown J., Bolsover A., Bradshaw C., Belgrove L., Millan F., Turner S., Verdugo S., Lowe J., Dunne D., McGowan K., Suddens C.-M., Verdonk P., Declerq G., Vuylsteke K., Van Haver M.</t>
  </si>
  <si>
    <t>(Getgood A., alan.getgood@uwo.ca) Orthopaedic Sport Medicine Fellowship Dir., Fowler Kennedy Sport Medicine Clinic, 3M Centre, University of Western Ontario, 1151 Richmond St., London, ON, Canada. , (Bryant D., Dianne.bryant@uwo.ca) Faculty of Health Sciences, Elborn College, University of Western Ontario, 1201 Western Rd, London, ON, Canada. , (Firth A., afirth5@uwo.ca) Fowler Kennedy Sport Medicine Clinic, 3M Centre, University of Western Ontario, 1151 Richmond St, London, ON, Canada. , (Litchfield R.; Willits K.; Hewison C.; Kaniki N.; Remtulla A.; Wanlin S.; Pinto R.; Martindale A.; O'Neill L.; Jennings M.; Daniluk M.; Birmingham T.) London Health Science Centre, Western University, Fowler Kennedy Sport Medicine Clinic, London, ON, Canada. , (Boyer D.; McCormack B.; Zomar M.; Moon K.; Moon R.; Fan B.; Mohan B.) Fraser Orthopaedic Institute, New Westminster, BC, Canada. , (Heard M.; Buchko G.; Hiemstra L.; Kerslake S.; Heard M.) Banff Sport Medicine, Banff, AB, Canada. , (MacDonald P.; Stranges G.; McRae S.; Gullett L.A.; Brown H.; Legary A.; Longo A.; Christian M.; Ferguson C.) Pan Am Clinic, Winnipeg, MB, Canada. , (Rezansoff A.; Mohtadi N.; Barber R.; Chan D.; Campbell C.; Garven A.; Pulsifer K.; Mayer M.) University of Calgary, Sport Medicine Centre, Calgary, AB, Canada. , (Peterson D.; Simunovic N.; Duong A.; Islam Z.) McMaster University, Hamilton, ON, Canada. , (Bardana D.; Howells F.; Tough M.) Queens University, Kingston, ON, Canada. , (Spalding T.; Thompson P.; Metcalfe A.; Achten J.; Thomas M.; Legg A.; Laver L.; Asplin L.; Dube A.; Clarkson L.; Brown J.; Bolsover A.; Bradshaw C.; Belgrove L.; Millan F.; Turner S.; Verdugo S.; Lowe J.; Dunne D.; McGowan K.; Suddens C.-M.) University Hospitals Coventry Warwickshire NHS Trust, Coventry, United Kingdom. , (Verdonk P.; Declerq G.; Vuylsteke K.; Van Haver M.) Antwerp Orthopaedic Center, Ghent, Belgium. , ()</t>
  </si>
  <si>
    <t>A. Firth, Fowler Kennedy Sport Medicine Clinic, 3M Centre, University of Western Ontario, 1151 Richmond St, London, ON, Canada. Email: afirth5@uwo.ca</t>
  </si>
  <si>
    <t>BMC Musculoskeletal Disorders (2019) 20:1 Article Number: 216. Date of Publication: 15 May 2019</t>
  </si>
  <si>
    <t>BioMed Central Ltd., info@biomedcentral.com</t>
  </si>
  <si>
    <t>Background: The purpose of anterior cruciate ligament reconstruction (ACLR) is to restore stability to the knee. Persistent rotational laxity following ACLR has been correlated with poor outcome and graft failure. We hypothesize that anterolateral complex reconstruction by way of a Modified Lemaire Lateral Extra-articular Tenodesis (LET) in combination with single bundle ACLR would reduce the risk of persistent rotatory laxity in young individuals who are deemed as being at high risk of failure. We will conduct a pragmatic, multicenter, randomized clinical trial comparing standard single bundle hamstring ACLR with combined ACLR and LET. Methods: Six-hundred patients (300 per group) aged 25 years or less with an ACL deficient knee that meet two of the following three criteria will be included: 1) Grade 2 pivot shift or greater; 2) Returning to high risk cutting or pivoting sports; 3) Generalized ligamentous laxity. Participants will be seen at 3-months, 6-months, 12-months and 24-months post-operatively. The primary outcome measure is graft failure requiring revision ACLR or symptomatic instability associated with a positive asymmetric pivot shift indicating persistent rotational laxity. Patients will complete secondary outcome measures at each follow-up visit including patient-reported outcome measures, functional and biomechanical testing, and magnetic resonance imaging. Discussion: This protocol is the first adequately powered randomized clinical trial investigating the effects of augmenting ACLR with an LET in patients at high-risk of graft failure. The successful completion of this trial has the potential to change surgical practice and provide evidence for the role of the LET in ACLR. Trial registration: The trial is registered at ClinicalTrials.gov: NCT02018354, 23-12-2013.</t>
  </si>
  <si>
    <t>L627729916</t>
  </si>
  <si>
    <t>10.1186/s12891-019-2589-x</t>
  </si>
  <si>
    <t>http://dx.doi.org/10.1186/s12891-019-2589-x</t>
  </si>
  <si>
    <t>https://www.embase.com/search/results?subaction=viewrecord&amp;id=L627729916&amp;from=export</t>
  </si>
  <si>
    <t>https://catalyst.library.jhu.edu/openurl/01JHU_INST/01JHU_INST:JHU?sid=EMBASE&amp;sid=EMBASE&amp;issn=14712474&amp;id=doi:10.1186%2Fs12891-019-2589-x&amp;atitle=The+Stability+study%3A+A+protocol+for+a+multicenter+randomized+clinical+trial+comparing+anterior+cruciate+ligament+reconstruction+with+and+without+Lateral+Extra-articular+Tenodesis+in+individuals+who+are+at+high+risk+of+graft+failure&amp;stitle=BMC+Musculoskelet.+Disord.&amp;title=BMC+Musculoskeletal+Disorders&amp;volume=20&amp;issue=1&amp;spage=&amp;epage=&amp;aulast=Getgood&amp;aufirst=Alan&amp;auinit=A.&amp;aufull=Getgood+A.&amp;coden=&amp;isbn=&amp;pages=-&amp;date=2019&amp;auinit1=A&amp;auinitm=</t>
  </si>
  <si>
    <t>Soft-tissue Quadriceps Autograft ACL-reconstruction in the Skeletally-immature Vs. Hamstrings (SQuASH): a Multi-Centre Randomized Controlled Trial</t>
  </si>
  <si>
    <t>clinicaltrials.gov (2019). Date of Publication: 27 Mar 2019</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</si>
  <si>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</si>
  <si>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LNCT03896464</t>
  </si>
  <si>
    <t>https://clinicaltrials.gov/study/NCT03896464</t>
  </si>
  <si>
    <t>https://www.embase.com/search/results?subaction=viewrecord&amp;id=LNCT03896464&amp;from=export</t>
  </si>
  <si>
    <t>Hoogeslag R.A.G., Brouwer R.W., Boer B.C., de Vries A.J., Huis In 't Veld R.</t>
  </si>
  <si>
    <t>(Hoogeslag R.A.G.; Boer B.C.; Huis In 't Veld R.) Centre for Orthopaedic Surgery OCON, Hengelo, Netherlands. , (Brouwer R.W.; de Vries A.J.) Department of Orthopaedic Surgery, Martini Hospital, Groningen, Netherlands.</t>
  </si>
  <si>
    <t>The American journal of sports medicine (2019) 47:3 (567-577). Date of Publication: 1 Mar 2019</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</si>
  <si>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</si>
  <si>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ClinicalTrials.gov (NCT02310854)</t>
  </si>
  <si>
    <t>L626618046</t>
  </si>
  <si>
    <t>http://dx.doi.org/10.1177/0363546519825878</t>
  </si>
  <si>
    <t>https://www.embase.com/search/results?subaction=viewrecord&amp;id=L626618046&amp;from=export</t>
  </si>
  <si>
    <t>https://catalyst.library.jhu.edu/openurl/01JHU_INST/01JHU_INST:JHU?sid=EMBASE&amp;sid=EMBASE&amp;issn=15523365&amp;id=doi:10.1177%2F0363546519825878&amp;atitle=Acute+Anterior+Cruciate+Ligament+Rupture%3A+Repair+or+Reconstruction%3F+Two-Year+Results+of+a+Randomized+Controlled+Clinical+Trial&amp;stitle=Am+J+Sports+Med&amp;title=The+American+journal+of+sports+medicine&amp;volume=47&amp;issue=3&amp;spage=567&amp;epage=577&amp;aulast=Hoogeslag&amp;aufirst=Roy+A+G&amp;auinit=R.A.G.&amp;aufull=Hoogeslag+R.A.G.&amp;coden=&amp;isbn=&amp;pages=567-577&amp;date=2019&amp;auinit1=R&amp;auinitm=A.G.</t>
  </si>
  <si>
    <t>Bridge-Enhanced Anterior Cruciate Ligament Repair: Two-Year Results of a First-in-Human Study</t>
  </si>
  <si>
    <t>Murray M.M., Kalish L.A., Fleming B.C., Flutie B., Freiberger C., Henderson R.N., Perrone G.S., Thurber L.G., Proffen B.L., Ecklund K., Kramer D.E., Yen Y.-M., Micheli L.J.</t>
  </si>
  <si>
    <t>(Murray M.M., bear.trial@childrens.harvard.edu; Kalish L.A.; Fleming B.C.; Flutie B.; Freiberger C.; Henderson R.N.; Perrone G.S.; Thurber L.G.; Proffen B.L.; Ecklund K.; Kramer D.E.; Yen Y.-M.; Micheli L.J.) Investigation performed at Boston Childrenâ€™s Hospital, Boston, MA, United States.</t>
  </si>
  <si>
    <t>M.M. Murray, Investigation performed at Boston Childrenâ€™s Hospital, Boston, MA, United States. Email: bear.trial@childrens.harvard.edu</t>
  </si>
  <si>
    <t>Orthopaedic Journal of Sports Medicine (2019) 7:3. Date of Publication: 1 Mar 2019</t>
  </si>
  <si>
    <t>Background: Bridge-enhanced anterior cruciate ligament repair (BEAR) combines suture repair of the anterior cruciate ligament (ACL) with a specific extracellular matrix scaffold (the BEAR scaffold) that is placed in the gap between the torn ends of the ACL to facilitate ligament healing. Purpose/Hypothesis: The purpose of this study was to report the 12- and 24-month outcomes of patients who underwent the BEAR procedure compared with a nonrandomized concurrent control group who underwent ACL reconstruction (ACLR) with an autograft. We hypothesized that the BEAR group would have physical examination findings, patient-reported outcomes, and adverse events that were similar to those of the ACLR group. Study Design: Cohort study; Level of evidence, 2. Methods: Ten patients underwent BEAR, and 10 underwent ACLR with a 4-stranded hamstring autograft. At 24 months, 9 of the 10 BEAR patients and 7 of the 10 ACLR patients completed a study visit. Outcomes reported included International Knee Documentation Committee (IKDC) subjective and objective results, knee anteroposterior (AP) laxity findings via an arthrometer, and functional outcomes. Results: There were no graft or repair failures in the first 24 months after surgery. The IKDC subjective scores in both groups improved significantly from baseline (P &lt;.0001) at 12 and 24 months, to 84.6 Â± 17.2 in the ACLR group and to 91.7 Â± 11.7 in the BEAR group. An IKDC objective grade of A (normal) was found in 44% of patients in the BEAR group and in 29% of patients in the ACLR group at 24 months; no patients in either group had C (abnormal) or D (severely abnormal) grades. Arthrometer testing demonstrated mean side-to-side differences in AP laxity that were similar in the 2 groups at 24 months (BEAR, 1.94 Â± 2.08 mm; ACLR, 3.14 Â± 2.66 mm). Functional hop testing results were similar in the 2 groups at 12 and 24 months after surgery. Hamstring strength indices were significantly higher in the BEAR group compared with the ACLR group (P =.0001). Conclusion: In this small, first-in-human study, BEAR produced similar outcomes to ACLR with a hamstring autograft. BEAR may result in knee stability and patient-reported outcomes at 2 years sufficient to warrant longer term studies of efficacy in larger groups of patients.</t>
  </si>
  <si>
    <t>ClinicalTrials.gov (NCT02292004)</t>
  </si>
  <si>
    <t>L626852860</t>
  </si>
  <si>
    <t>10.1177/2325967118824356</t>
  </si>
  <si>
    <t>http://dx.doi.org/10.1177/2325967118824356</t>
  </si>
  <si>
    <t>https://www.embase.com/search/results?subaction=viewrecord&amp;id=L626852860&amp;from=export</t>
  </si>
  <si>
    <t>https://catalyst.library.jhu.edu/openurl/01JHU_INST/01JHU_INST:JHU?sid=EMBASE&amp;sid=EMBASE&amp;issn=23259671&amp;id=doi:10.1177%2F2325967118824356&amp;atitle=Bridge-Enhanced+Anterior+Cruciate+Ligament+Repair%3A+Two-Year+Results+of+a+First-in-Human+Study&amp;stitle=Orthop.+J.+Sports+Med.&amp;title=Orthopaedic+Journal+of+Sports+Medicine&amp;volume=7&amp;issue=3&amp;spage=&amp;epage=&amp;aulast=Murray&amp;aufirst=Martha+M.&amp;auinit=M.M.&amp;aufull=Murray+M.M.&amp;coden=&amp;isbn=&amp;pages=-&amp;date=2019&amp;auinit1=M&amp;auinitm=M</t>
  </si>
  <si>
    <t>Efficacy and Tolerability of Progen, a Nutritional Supplement Based on Innovative Plasma Proteins, in ACL Reconstruction: A Multicenter Randomized Controlled Trial</t>
  </si>
  <si>
    <t>LÃ³pez-Vidriero E., OlivÃ©-Vilas R., LÃ³pez-CapapÃ© D., Varela-Sende L., LÃ³pez-Vidriero R., Til-PÃ©rez L.</t>
  </si>
  <si>
    <t>(LÃ³pez-Vidriero E.; LÃ³pez-Vidriero R.) ISMEC, Sevilla, Spain. , (OlivÃ©-Vilas R.; Til-PÃ©rez L.) CST Consorci Sanitari de Terrassa, Barcelona, Spain. , (LÃ³pez-CapapÃ© D.) Clinica CEMTRO, Madrid, Spain. , (Varela-Sende L., lvarela@opko.com) OPKO Health, Barcelona, Spain.</t>
  </si>
  <si>
    <t>L. Varela-Sende, OPKO Health, Barcelona, Spain. Email: lvarela@opko.com</t>
  </si>
  <si>
    <t>Orthopaedic Journal of Sports Medicine (2019) 7:2. Date of Publication: 1 Feb 2019</t>
  </si>
  <si>
    <t>Background: New biologic strategies are arising to enhance healing and improve the clinical outcome of anterior cruciate ligament (ACL) reconstruction. Purpose: To evaluate the efficacy of a new oral nutritional supplement (Progen) that contains hydrolyzed collagen peptides and plasma proteins, a hyaluronic acidâ€“chondroitin sulfate complex, and vitamin C. Study Design: Randomized controlled trial; Level of evidence, 2. Methods: The study included patients who underwent ACL reconstruction with hamstring autografts using the same fixation method. All patients received the same analgesia and physical therapy (PT) protocol and were randomized to receive either the nutritional supplement (supplemented group) or no additional therapy (control group). Patients were followed up at days 7, 30, 60, and 90. Pain was assessed by use of a visual analog scale (VAS) and by analgesic consumption. Clinical outcome was assessed via International Knee Documentation Committee (IKDC) score and the number of PT sessions. Perceived efficacy and tolerability were rated on a 5-point Likert scale. Graft maturation was assessed by a blinded musculoskeletal radiologist using magnetic resonance imaging. The number of adverse events (AEs) was recorded. Results: The intention-to-treat analysis included 72 patients, 36 allocated to the supplemented group and 36 to the control group, with no significant differences regarding demographic and preoperative characteristics. Both groups showed significant improvement in pain and function (measured by VAS and IKDC scores) during the 90-day follow-up period (P &lt;.001 for both), without significant differences between groups. The supplemented group had fewer patients that needed analgesics (8.5% vs 50.0%; P &lt;.05) and attended fewer PT sessions (38.0 vs 48.4 sessions; P &lt;.001) at 90 days and had a higher IKDC score at 60 days (62.5 vs 55.5; P =.029) compared with the control group. Patient- and physician-perceived efficacy was considered significantly higher in the supplemented group at 60 and 90 days (P &lt;.05). Perceived tolerability of the overall intervention was better in the supplemented group at 30, 60, and 90 days (P &lt;.05). Graft maturation showed more advanced degrees (grades 3 and 4) in the supplemented group at 90 days (61.8% vs 38.2%; P &lt;.01). No intolerance or AEs associated with the nutritional supplement treatment were reported. Conclusion: The combination of the nutritional supplement and PT after ACL reconstruction improved pain, clinical outcome, and graft maturation. Nutritional supplementation showed higher efficacy during the second month of recovery, without causing AEs. Registration: NCT03355651 (ClinicalTrials.gov identifier).</t>
  </si>
  <si>
    <t>ascorbic acid (134-03-2, 15421-15-5, 50-81-7), chondroitin sulfate (9007-28-7, 9082-07-9), collagen (9007-34-5), glucosamine sulfate (29031-19-4), hyaluronic acid (31799-91-4, 9004-61-9, 9067-32-7), medroxyprogesterone acetate (71-58-9)</t>
  </si>
  <si>
    <t>ClinicalTrials.gov (NCT03355651)</t>
  </si>
  <si>
    <t>L626561068</t>
  </si>
  <si>
    <t>10.1177/2325967119827237</t>
  </si>
  <si>
    <t>http://dx.doi.org/10.1177/2325967119827237</t>
  </si>
  <si>
    <t>https://www.embase.com/search/results?subaction=viewrecord&amp;id=L626561068&amp;from=export</t>
  </si>
  <si>
    <t>https://catalyst.library.jhu.edu/openurl/01JHU_INST/01JHU_INST:JHU?sid=EMBASE&amp;sid=EMBASE&amp;issn=23259671&amp;id=doi:10.1177%2F2325967119827237&amp;atitle=Efficacy+and+Tolerability+of+Progen%2C+a+Nutritional+Supplement+Based+on+Innovative+Plasma+Proteins%2C+in+ACL+Reconstruction%3A+A+Multicenter+Randomized+Controlled+Trial&amp;stitle=Orthop.+J.+Sports+Med.&amp;title=Orthopaedic+Journal+of+Sports+Medicine&amp;volume=7&amp;issue=2&amp;spage=&amp;epage=&amp;aulast=L%C3%B3pez-Vidriero&amp;aufirst=Emilio&amp;auinit=E.&amp;aufull=L%C3%B3pez-Vidriero+E.&amp;coden=&amp;isbn=&amp;pages=-&amp;date=2019&amp;auinit1=E&amp;auinitm=</t>
  </si>
  <si>
    <t>Harput G., Ulusoy B., Yildiz T.I., Demirci S., Eraslan L., Turhan E., Tunay V.B.</t>
  </si>
  <si>
    <t>(Harput G., aktasgulcan@gmail.com; Yildiz T.I.; Demirci S.; Eraslan L.; Tunay V.B.) Department of Physiotherapy and Rehabilitation, Faculty of Health Sciences, Hacettepe University, Samanpazari, 06100, Ankara, Turkey, (Ulusoy B.) Department of Physiotherapy and Rehabilitation, Karatekin University, Turkey. , (Turhan E.) Department of Orthopedics and Traumatology, Faculty of Medicine, Hacettepe University, Ankara, Turkey.</t>
  </si>
  <si>
    <t>Knee surgery, sports traumatology, arthroscopy : official journal of the ESSKA (2019) 27:1 (68-75). Date of Publication: 1 Jan 2019</t>
  </si>
  <si>
    <t>PURPOSE: The aim of this study was to investigate the effects of concentric and eccentric cross-education (CE) on quadriceps strength and knee function recoveries after anterior cruciate ligament (ACL) reconstruction. METHODS: Forty-eight patients (age: 29.5 Â± 6.8 years, body mass index: 26.1 Â± 3.2 kg/m2) who had undergone ACL reconstruction with hamstring tendon autograft were included in the study. The patients were randomly divided into three groups when they reached four weeks post surgery: (1) concentric CE (n = 16); (2) eccentric CE (n = 16); and (3) control (n = 16). All groups followed the same post-surgical rehabilitation program for their reconstructed limb. Additionally, the two experimental groups followed eight weeks of isokinetic training for the uninjured knee at 60Â°/s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 RESULTS: Group-by-time interaction was significant for quadriceps MVICs for reconstructed and healthy limbs (p = 0.02). Quadriceps strength of both knees was greater in concentric and eccentric CE groups compared to control group during the 12th- and 24th weeks post surgery (p &lt; 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 CONCLUSIONS: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 LEVEL OF EVIDENCE: Randomized controlled trial, Level I.</t>
  </si>
  <si>
    <t>L626620899</t>
  </si>
  <si>
    <t>http://dx.doi.org/10.1007/s00167-018-5040-1</t>
  </si>
  <si>
    <t>https://www.embase.com/search/results?subaction=viewrecord&amp;id=L626620899&amp;from=export</t>
  </si>
  <si>
    <t>https://catalyst.library.jhu.edu/openurl/01JHU_INST/01JHU_INST:JHU?sid=EMBASE&amp;sid=EMBASE&amp;issn=14337347&amp;id=doi:10.1007%2Fs00167-018-5040-1&amp;atitle=Cross-education+improves+quadriceps+strength+recovery+after+ACL+reconstruction%3A+a+randomized+controlled+trial&amp;stitle=Knee+Surg+Sports+Traumatol+Arthrosc&amp;title=Knee+surgery%2C+sports+traumatology%2C+arthroscopy+%3A+official+journal+of+the+ESSKA&amp;volume=27&amp;issue=1&amp;spage=68&amp;epage=75&amp;aulast=Harput&amp;aufirst=Gulcan&amp;auinit=G.&amp;aufull=Harput+G.&amp;coden=&amp;isbn=&amp;pages=68-75&amp;date=2019&amp;auinit1=G&amp;auinitm=</t>
  </si>
  <si>
    <t>Single-tunnel anatomic double-bundle anterior cruciate ligament reconstruction has the same effectiveness as double femoral, double tibial tunnel A prospective randomized study</t>
  </si>
  <si>
    <t>Xiang X., Qu Z., Sun H., Ma X., Wang W., Huang L.</t>
  </si>
  <si>
    <t>(Xiang X.; Huang L.) Department of Orthopedics, The First Affiliated Hospital of Soochow University, Suzhou, Jiangsu, China. , (Xiang X.; Qu Z.; Ma X.; Wang W.) Department of Orthopedics, The Affiliated Zhongshan Hospital of Dalian University, Dalian, Liaoning, China. , (Sun H.) Department of Nursing, The Affiliated Zhongshan Hospital of Dalian University, Dalian, Liaoning, China.</t>
  </si>
  <si>
    <t>Medicine (United States) (2019) 98:11 Article Number: e14851. Date of Publication: 2019</t>
  </si>
  <si>
    <t>Medicine (United States)</t>
  </si>
  <si>
    <t>1536-5964 (electronic),0025-7974</t>
  </si>
  <si>
    <t>Purpose: To investigate whether single femoral, single tibial tunnel anatomic double-bundle anterior cruciate ligament (ACL) reconstruction is equal to or superior to double femoral, double tibial tunnel ACL double-bundle anatomic reconstruction in terms of restoring the stability and functions of the knee joint. Methods: A prospective clinical study was performed to compare 30 cases of single-tunnel ACL double-bundle anatomic reconstruction to 28 cases of double-tunnel ACL double-bundle anatomic reconstruction, with average follow-up of 36 months. All graft tendons were hamstring tendon autografts. Tunnel placements in all the cases were made anatomically. Clinical results were collected after reconstruction. Graft appearance, meniscus status and cartilage state under arthroscopy were compared and analyzed. Results: Tunnel placements were in the anatomic positions in both groups. On the lateral pivot-shift test performed at 36 months postoperatively, there was no significant difference between groups. Clinical results such as International Knee Documentation Committee score, Tegner activity scale, and range of motion showed no significant differences between the groups. The mean thickness of anteromedial graft was reduced by 10.3% and that of the posterolateral graft was reduced by 11.1% from the original graft thickness evaluated by magnetic resonance imaging. No new meniscal tears were found either group; however, cartilage damage occurred in the double-tunnel group at 39.3%, and this rate was significantly higher than that in the single-tunnel group (10.0%). Conclusion: Single femoral, single tibial tunnel anatomic double-bundle ACL reconstruction has the same effectiveness as the double femoral, double tibial tunnel in restoring the knee's stability and functions. Abbreviations: ACL = anterior cruciate ligament, ACL-R = anatomic anterior cruciate ligament reconstruction, AM = anteromedial, HT = hamstring tendon, IKDC = International Knee Documentation Committee, MRI = magnetic resonance imaging, PL = posterolateral, ROM = range of motion.</t>
  </si>
  <si>
    <t>L633925833</t>
  </si>
  <si>
    <t>http://dx.doi.org/10.1097/MD.0000000000014851</t>
  </si>
  <si>
    <t>https://www.embase.com/search/results?subaction=viewrecord&amp;id=L633925833&amp;from=export</t>
  </si>
  <si>
    <t>https://catalyst.library.jhu.edu/openurl/01JHU_INST/01JHU_INST:JHU?sid=EMBASE&amp;sid=EMBASE&amp;issn=15365964&amp;id=doi:10.1097%2FMD.0000000000014851&amp;atitle=Single-tunnel+anatomic+double-bundle+anterior+cruciate+ligament+reconstruction+has+the+same+effectiveness+as+double+femoral%2C+double+tibial+tunnel+A+prospective+randomized+study&amp;stitle=Medicine&amp;title=Medicine+%28United+States%29&amp;volume=98&amp;issue=11&amp;spage=&amp;epage=&amp;aulast=Xiang&amp;aufirst=Xianxiang&amp;auinit=X.&amp;aufull=Xiang+X.&amp;coden=MEDIA&amp;isbn=&amp;pages=-&amp;date=2019&amp;auinit1=X&amp;auinitm=</t>
  </si>
  <si>
    <t>Clinical Outcome Following Arthroscopic Knee Surgery (COFAKS)</t>
  </si>
  <si>
    <t>clinicaltrials.gov (2018). Date of Publication: 26 Sep 2018</t>
  </si>
  <si>
    <t>Brief SummaryPurpose: There are no existing data available to guide clinicians in the appropriate rehabilitation progression of patients who have undergone knee arthroscopy. The investigator intends to fill this void by establishing normative recovery curves for patients undergoing knee arthroscopy. Research Design: Prospective Observational Design Procedures: Patients 10-70 years old will be screened for "standard of care" clinical and functional outcomes to occur at standardized time-points (post-op weeks 1-4, 8, 12, 16, 20 and return to sport/activity) following arthroscopic knee surgery. Recovery curves will be plotted for all outcome variables of interest including; (1) International knee Disability Committee (IKDC) survey, (2) Tampa Kinesiophobia scale, (3) Tegner activity scale, (4) Marx activity scale, (5) Passive knee range of motion/heel-height difference, (6) Balance Error Scoring System (BESS), (7) Quad/Hamstring strength ratios, (8) Y-Balance, (9) Functional Movement Screening, (10) Vail-Sport Test, (11) Landing Error Scoring System (LESS), (12) Hop Testing, and the (13) Sports Metrics Test. Polynomial lines-of-best-fit and 95% confidence intervals will be plotted to provide objective recovery curves for clinical utilization and stratification of patient recovery. Risks: There are no additional risks to "standard physical therapy practice" for post-surgical patients participating in this study. The investigator will not be using invasive procedures or testing modalities that emit radiation. Benefits \&amp; Clinical Relevance: This information may offer valuable information to clinicians treating patients following knee arthroscopy by providing objective data for each phase of post-operative recovery. Identifying key landmarks and functional milestones may allow the ability to identify patients who are not meeting clinical expectations and subsequently tailor rehabilitation programs to improve recovery trajectories.</t>
  </si>
  <si>
    <t>LNCT03700996</t>
  </si>
  <si>
    <t>https://clinicaltrials.gov/study/NCT03700996</t>
  </si>
  <si>
    <t>https://www.embase.com/search/results?subaction=viewrecord&amp;id=LNCT03700996&amp;from=export</t>
  </si>
  <si>
    <t>Martin-Alguacil J.L., Arroyo-Morales M., MartÃ­n-Gomez J.L., Monje-Cabrera I.M., AbellÃ¡n-GuillÃ©n J.F., Esparza-Ros F., Lozano M.L., Cantarero-Villanueva I.</t>
  </si>
  <si>
    <t>(Martin-Alguacil J.L.; MartÃ­n-Gomez J.L.; Monje-Cabrera I.M.) Department of Orthopaedic Surgery, Andalusian Mutuality of Soccer Players and MartÃ­n GÃ³mez Clinic, Granada, Spain. , (Arroyo-Morales M., marroyo@ugr.es; Lozano M.L.; Cantarero-Villanueva I.) Department of Physiotherapy, Faculty of Health Sciences, Granada University, Granada, Spain. , (Arroyo-Morales M., marroyo@ugr.es; Cantarero-Villanueva I.) Institute for Biomedical Research (ibs), Granada, Spain. , (Arroyo-Morales M., marroyo@ugr.es; Lozano M.L.; Cantarero-Villanueva I.) Mixed University Sport and Health Institute (iMUDS), Granada, Spain. , (MartÃ­n-Gomez J.L.; Monje-Cabrera I.M.) Department of Orthopaedic Surgery, Andalusian Mutuality of Soccer Players, Seville, Spain. , (AbellÃ¡n-GuillÃ©n J.F.) Department of Orthopaedic Surgery, Hospital Morales Meseguer, Murcia, Spain. , (Esparza-Ros F.) Department of Sports Medicine, Universidad CatÃ³lica de Murcia, Murcia, Spain.</t>
  </si>
  <si>
    <t>M. Arroyo-Morales, Department of Physiotherapy, University of Granada, Avd. de la IlustraciÃ³n 60, Granada, Spain. Email: marroyo@ugr.es</t>
  </si>
  <si>
    <t>Knee (2018) 25:4 (704-714). Date of Publication: 1 Aug 2018</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</si>
  <si>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(KT-2000â„¢ arthrometer) were also assessed. An intention-to-treat analysis was performed. Results: The results of the H/Q ratio analysis of the participants over time revealed significant differences at 60, 180, and 300Â°/s at three, six, and 12 months of follow-up (60Â°/s: F = 5.3, p = 0.005; 180Â°/s: F = 5.5, p = 0.004; 300Â°/s: F = 5.1, p = 0.005). Furthermore, they revealed significant differences at 60Â°/s, 180Â°/s, and 300Â°/s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t>
  </si>
  <si>
    <t>L2000770155</t>
  </si>
  <si>
    <t>http://dx.doi.org/10.1016/j.knee.2018.03.011</t>
  </si>
  <si>
    <t>https://www.embase.com/search/results?subaction=viewrecord&amp;id=L2000770155&amp;from=export</t>
  </si>
  <si>
    <t>https://catalyst.library.jhu.edu/openurl/01JHU_INST/01JHU_INST:JHU?sid=EMBASE&amp;sid=EMBASE&amp;issn=18735800&amp;id=doi:10.1016%2Fj.knee.2018.03.011&amp;atitle=Strength+recovery+after+anterior+cruciate+ligament+reconstruction+with+quadriceps+tendon+versus+hamstring+tendon+autografts+in+soccer+players%3A+A+randomized+controlled+trial&amp;stitle=Knee&amp;title=Knee&amp;volume=25&amp;issue=4&amp;spage=704&amp;epage=714&amp;aulast=Martin-Alguacil&amp;aufirst=Jose+Luis&amp;auinit=J.L.&amp;aufull=Martin-Alguacil+J.L.&amp;coden=KNEEF&amp;isbn=&amp;pages=704-714&amp;date=2018&amp;auinit1=J&amp;auinitm=L</t>
  </si>
  <si>
    <t>Zhang C., Pan J., Chen J.-D., Zhang Y.-J., Gu P.-C., Lin X.-J., Cai Y.-Z.</t>
  </si>
  <si>
    <t>(Zhang C.; Pan J.; Zhang Y.-J.; Gu P.-C.; Lin X.-J.; Cai Y.-Z., caiyouzhi@zju.edu.cn) Center for Sport Medicine, First Affiliated Hospital, College of Medicine, Zhejiang University, Hangzhou, China. , (Cai Y.-Z., caiyouzhi@zju.edu.cn) Dr. Li Dak Sum &amp; Yip Yio Chin Center for Stem Cell and Regenerative Medicine, School of Medicine, Zhejiang University, Hangzhou, China. , (Chen J.-D.) Department of Orthopedics, Traditional Chinese Medicine of Shaoxing Hospital, Shaoxing, China.</t>
  </si>
  <si>
    <t>Y.-Z. Cai, Center for Sport Medicine, First Affiliated Hospital, College of Medicine, Zhejiang University, 79 Qingchun Road, Hangzhou, China. Email: caiyouzhi@zju.edu.cn</t>
  </si>
  <si>
    <t>Arthroscopy - Journal of Arthroscopic and Related Surgery (2018) 34:7 (2218-2227). Date of Publication: 1 Jul 2018</t>
  </si>
  <si>
    <t>Purpose: To analyze the effect of cartilage fragments on tunnel widening and tendon-bone integration at 2 years' follow-up after anterior cruciate ligament reconstruction (ACLR). Methods: A prospective randomized controlled study was performed in 116 patients who underwent ACLR with autologous hamstring tendons augmented with cartilage fragments (study group, n = 56) or without any augmentation (control group, n = 60). All patients were followed up for 25.6 months (range, 24-28 months), and the International Knee Documentation Committee score, Lysholm score, and visual analog scale score were determined. Computed tomography scans of all patients were obtained 2 years after surgery to evaluate the diameter of the femoral tunnel and thereby assess the amount of tunnel widening. Magnetic resonance imaging evaluation was performed 2 years postoperatively to evaluate the status of the graft in the femoral tunnel. In addition, 5 patients underwent biopsy of the tendon-bone interface at 24 months postoperatively with histologic assessment and transmission electron microscopy. Results: A total of 107 patients completed the follow-up. There were no significant differences between the 2 groups in terms of International Knee Documentation Committee score (P =.07), Lysholm score (P =.10), and visual analog scale score (P =.57) at 24 months' follow-up. The femoral tunnel diameter and the tunnel widening percentage in the study group were significantly smaller than those in the control group (P &lt;.001). The signal-noise quotient value of the graft in the femoral tunnel was 10.4 Â± 7.0 in the study group, which was significantly lower than that in the control group (19.5 Â± 9.2, P &lt;.001). Histologic studies of the tendon-bone interface showed that there were more bone formations containing chondroid cells with aligned connective tissue in the study group compared with the control group; in addition, the diameter of the collagen fibrils in the study group was considerably thicker than that in the control group (P &lt;.05). Conclusions: The use of cartilage fragments was effective in preventing femoral tunnel widening and seemed to promote the tendon-bone integration process after ACLR. Level of Evidence: Level II, prospective randomized controlled study.</t>
  </si>
  <si>
    <t>L2000733552</t>
  </si>
  <si>
    <t>http://dx.doi.org/10.1016/j.arthro.2018.03.011</t>
  </si>
  <si>
    <t>https://www.embase.com/search/results?subaction=viewrecord&amp;id=L2000733552&amp;from=export</t>
  </si>
  <si>
    <t>https://catalyst.library.jhu.edu/openurl/01JHU_INST/01JHU_INST:JHU?sid=EMBASE&amp;sid=EMBASE&amp;issn=15263231&amp;id=doi:10.1016%2Fj.arthro.2018.03.011&amp;atitle=The+Effect+of+Cartilage+Fragments+on+Femoral+Tunnel+Widening+After+Anterior+Cruciate+Ligament+Reconstruction%3A+A+Prospective+Randomized+Controlled+Study&amp;stitle=Arthroscopy+J.+Arthroscopic+Relat.+Surg.&amp;title=Arthroscopy+-+Journal+of+Arthroscopic+and+Related+Surgery&amp;volume=34&amp;issue=7&amp;spage=2218&amp;epage=2227&amp;aulast=Zhang&amp;aufirst=Chi&amp;auinit=C.&amp;aufull=Zhang+C.&amp;coden=ARTHE&amp;isbn=&amp;pages=2218-2227&amp;date=2018&amp;auinit1=C&amp;auinitm=</t>
  </si>
  <si>
    <t>Intraarticular Injection of Tranexamic Acid Reduced Postoperative Hemarthrosis in Arthroscopic Anterior Cruciate Ligament Reconstruction - A Prospective Randomized Study</t>
  </si>
  <si>
    <t>clinicaltrials.gov (2018). Date of Publication: 26 Jun 2018</t>
  </si>
  <si>
    <t>Brief SummaryPost-anterior cruciate ligament reconstruction (ACLR) hemarthrosis may result in increased pain thus delaying postoperative rehabilitation, which may eventually lead to arthrofibrosis and a functional deficit. Many antifibrinolytic agents, including tranexamic acid (TXA), have been used in orthopedic surgeries to reduce postoperative bleeding.The purpose of this study is to evaluate the effect of intra-articular injection of TXA in patients receiving arthroscopic ACLRs. Patients were randomized into two groups. Group 1 patients (TXA group) received the index procedures with a 10 mL intra-articular injection of TXA. Group 2 (control group) patients received the index procedures without TXA injections. An intra-articular suction drain was placed recorded 24 h postoperatively. Clinical evaluations using an IKDC functional score, range of motion (ROM), and a Visual Analogue Scale (VAS) pain score were performed at postoperative day 3 and week 4.Detailed DescriptionTXA group patients received ACLRs and a 10 mL intra-articular injection of TXA after the procedure. The control group patients only received ACLRs without TXA injections. Randomization was done on the day of the surgery, by an independent investigator who did not participate in the surgery, using the permuted block randomization technique. The same surgeon treated all patients enrolled in this study. Spinal anesthesia was given to all patients and a pneumatic tourniquet was routinely used. In brief, through a 3 cm incision over the medial proximal tibia, semitendinosus (ST) and gracilis (Gr) tendons were harvested from the distal insertion. Tendons were quadrupled and whip stitched by No. 2 and No. 5 Ethibond sutures (Ethicon, Somerville, NJ). The diameters of the folded tendons were determined by using sizing cylinders with incremental size changes of 0.5 mm.The femoral sockets were created at about the 1:30 position (left knee), through the anteromedial portal. The tibial tunnel was created with an ACUFEX guide (Smith \&amp; Nephew, Andover, MA). The diameters of the socket were created in the same manner as the diameter of the folded graft. At tibial site, grafts were fixed with bioscrews (BIORCI-HA, Smith \&amp; Nephew) at 30 degrees of knee flexion. The screw and the tunnel sizes were the same. After completion of the procedure, a suction drain (Zimmer HEMOVAC, Warsaw, IN) was placed at the superior lateral aspect of the joint. Ten mL of TXA (100 mg/mL) (Daiichi Sankyo, Tokyo, Japan) was injected into the joint at the end of the operation and the drain was clamped for 2 h. Clinical evaluations The volume of drainage was recorded 24 h after surgery. The grade of hemarthrosis, as previously described by Coupens et al.,was also documented at day 3 and week The range of knee motion and the IKDC functional score were evaluated 4 weeks post-surgery. The VAS was documented at postoperative day 3 and week 4. Statistical analysis. All data are expressed as a mean and standard deviation (SD). The amount of drainage or functional scores between different groups were compared with an independent t test. All statistical analyses were conducted using SPSS version 11.0 (SPSS Inc., Chicago,IL). Differences were considered significant when the p-value was \&lt; 0.05.</t>
  </si>
  <si>
    <t>LNCT03580018</t>
  </si>
  <si>
    <t>https://clinicaltrials.gov/study/NCT03580018</t>
  </si>
  <si>
    <t>https://www.embase.com/search/results?subaction=viewrecord&amp;id=LNCT03580018&amp;from=export</t>
  </si>
  <si>
    <t>Self-reported functional recovery after reconstruction versus repair in acute anterior cruciate ligament rupture (ROTOR): A randomized controlled clinical trial</t>
  </si>
  <si>
    <t>Boer B.C., Hoogeslag R.A.G., Brouwer R.W., Demmer A., Huis In't Veld R.M.H.A.</t>
  </si>
  <si>
    <t>(Boer B.C., b.boer@ocon.nl; Hoogeslag R.A.G., r.hoogeslag@ocon.nl; Demmer A., a.demmer@ocon.nl; Huis In't Veld R.M.H.A., r.huisintveld@ocon.nl) OCON Centre for Orthopaedic Surgery, Knee Unit, Hengelo, Netherlands. , (Brouwer R.W., r.w.brouwer@mzh.nl) Department of Orthopaedic Surgery, Martini Hospital, Groningen, Netherlands.</t>
  </si>
  <si>
    <t>R.M.H.A. Huis In't Veld, OCON Centre for Orthopaedic Surgery, Knee Unit, Hengelo, Netherlands. Email: r.huisintveld@ocon.nl</t>
  </si>
  <si>
    <t>BMC Musculoskeletal Disorders (2018) 19:1 Article Number: 127. Date of Publication: 20 Apr 2018</t>
  </si>
  <si>
    <t>BioMed Central, info@biomedcentral.com</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</si>
  <si>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 Trial registration: Clinical Trials Register NCT02310854 (retrospectively registered on December 1st, 2014).</t>
  </si>
  <si>
    <t>L621732283</t>
  </si>
  <si>
    <t>http://dx.doi.org/10.1186/s12891-018-2028-4</t>
  </si>
  <si>
    <t>https://www.embase.com/search/results?subaction=viewrecord&amp;id=L621732283&amp;from=export</t>
  </si>
  <si>
    <t>https://catalyst.library.jhu.edu/openurl/01JHU_INST/01JHU_INST:JHU?sid=EMBASE&amp;sid=EMBASE&amp;issn=14712474&amp;id=doi:10.1186%2Fs12891-018-2028-4&amp;atitle=Self-reported+functional+recovery+after+reconstruction+versus+repair+in+acute+anterior+cruciate+ligament+rupture+%28ROTOR%29%3A+A+randomized+controlled+clinical+trial&amp;stitle=BMC+Musculoskelet.+Disord.&amp;title=BMC+Musculoskeletal+Disorders&amp;volume=19&amp;issue=1&amp;spage=&amp;epage=&amp;aulast=Boer&amp;aufirst=Barbara+C.&amp;auinit=B.C.&amp;aufull=Boer+B.C.&amp;coden=&amp;isbn=&amp;pages=-&amp;date=2018&amp;auinit1=B&amp;auinitm=C</t>
  </si>
  <si>
    <t>Functional outcome of an early anterior cruciate ligament reconstruction in comparison to delayed: Are we waiting in vain?</t>
  </si>
  <si>
    <t>Manandhar R.R., Chandrashekhar K., Kumaraswamy V., Sahanand S., Rajan D.</t>
  </si>
  <si>
    <t>(Manandhar R.R., rajeevrajmanandhar@gmail.com) Department of Orthopaedic Surgery, Kathmandu Medical College Teaching Hospital, Sinamangal, Kathmandu, Nepal. , (Chandrashekhar K., karthikwillbe@gmail.com) Arathana Hospital, Pollachi, Tamil Nadu, India. , (Kumaraswamy V., maildrvinay@gmail.com) Department of Orthopaedics, Kempegowda Institute of Medical Sciences, KR Road, VV Puram, Bengaluru, Karnataka, India. , (Sahanand S., sahanand@gmail.com; Rajan D., davidvrajan@gmail.com) Ortho One, Orthopaedic Specialty Centre, 657, Trichy Road, Singanallur, Coimbatore-5, Tamil Nadu, India.</t>
  </si>
  <si>
    <t>R.R. Manandhar, Department of Orthopaedic Surgery, Kathmandu Medical College Teaching Hospital, Sinamangal, Kathmandu, Nepal. Email: rajeevrajmanandhar@gmail.com</t>
  </si>
  <si>
    <t>Journal of Clinical Orthopaedics and Trauma (2018) 9:2 (163-166). Date of Publication: 1 Apr 2018</t>
  </si>
  <si>
    <t>Background: Surgical techniques of ACL reconstruction (ACLR) have evolved over the past three decades along with debate regarding timing of reconstruction. It was a widespread belief that the timing of surgery was an important factor in determining the resulting stiffness after ACLR. Delayed rather than early reconstruction of the ACL is the current recommended treatment since it is thought to give a better functional outcome. However, there is no consensus in the literature regarding the optimal time of surgical intervention. The purpose of this study was to compare the range of motion and functional outcome in patients who underwent ACLR early with those that were delayed. Materials and Methods: The patients were randomized into two groups; patients who underwent the procedure within three weeks were kept in Group I (Early) and those patients who were reconstructed after six weeks were categorized as Group II (Delayed). Hamstring grafts were used and a standard protocol of surgery and physiotherapy was followed. The range of motion, IKDC and Tegner scores were compared. Results: A hundred and four patients underwent ACLR; fifty-three patients were grouped as Group I (Early) and fifty one as Group II (Delayed). The range of motion of both groups was comparable. The IKDC and Tegner scores were also comparable for early (Group I) ACLR and the patients who had their ACL reconstructed after a delay of at least 6 weeks (Group II). Conclusion: There are no clinical differences in terms of range of motion and functional results between early and delayed ACLR.</t>
  </si>
  <si>
    <t>L614916274</t>
  </si>
  <si>
    <t>10.1016/j.jcot.2017.03.001</t>
  </si>
  <si>
    <t>http://dx.doi.org/10.1016/j.jcot.2017.03.001</t>
  </si>
  <si>
    <t>https://www.embase.com/search/results?subaction=viewrecord&amp;id=L614916274&amp;from=export</t>
  </si>
  <si>
    <t>https://catalyst.library.jhu.edu/openurl/01JHU_INST/01JHU_INST:JHU?sid=EMBASE&amp;sid=EMBASE&amp;issn=22133445&amp;id=doi:10.1016%2Fj.jcot.2017.03.001&amp;atitle=Functional+outcome+of+an+early+anterior+cruciate+ligament+reconstruction+in+comparison+to+delayed%3A+Are+we+waiting+in+vain%3F&amp;stitle=J.+Clin.+Orthop.+Traum.&amp;title=Journal+of+Clinical+Orthopaedics+and+Trauma&amp;volume=9&amp;issue=2&amp;spage=163&amp;epage=166&amp;aulast=Manandhar&amp;aufirst=Rajeev+Raj&amp;auinit=R.R.&amp;aufull=Manandhar+R.R.&amp;coden=&amp;isbn=&amp;pages=163-166&amp;date=2018&amp;auinit1=R&amp;auinitm=R</t>
  </si>
  <si>
    <t>Liu S., Li H., Tao H., Sun Y., Chen S., Chen J.</t>
  </si>
  <si>
    <t>(Liu S.; Li H.; Sun Y.; Chen S.; Chen J.) Department of Sports Medicine, Huashan Hospital, Shanghai, China. , (Tao H.) Department of Radiology, Huashan Hospital, Shanghai, China.</t>
  </si>
  <si>
    <t>The American journal of sports medicine (2018) 46:5 (1143-1149). Date of Publication: 1 Apr 2018</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</si>
  <si>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Â± 12.7; 6 months, 25.6 Â± 12; 12 months, 18.3 Â± 7.7; 24 months, 15.3 Â± 6.3). However, the insertion-preserved graft in the study group maintained relatively lower and unchanged signal intensity throughout all time points (3 months, 15.0 Â± 11.2; 6 months, 14.9 Â± 6.3; 12 months, 12.6 Â± 7.0; 24 months, 14.6 Â± 7.0). Between groups, there was no significant difference at 3 or 24 months ( P = .11 and .75, respectively), while the SNQ values were significantly lower in the study group versus the control group at 6 and 12 months (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</si>
  <si>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L628567425</t>
  </si>
  <si>
    <t>http://dx.doi.org/10.1177/0363546517752918</t>
  </si>
  <si>
    <t>https://www.embase.com/search/results?subaction=viewrecord&amp;id=L628567425&amp;from=export</t>
  </si>
  <si>
    <t>https://catalyst.library.jhu.edu/openurl/01JHU_INST/01JHU_INST:JHU?sid=EMBASE&amp;sid=EMBASE&amp;issn=15523365&amp;id=doi:10.1177%2F0363546517752918&amp;atitle=A+Randomized+Clinical+Trial+to+Evaluate+Attached+Hamstring+Anterior+Cruciate+Ligament+Graft+Maturity+With+Magnetic+Resonance+Imaging&amp;stitle=Am+J+Sports+Med&amp;title=The+American+journal+of+sports+medicine&amp;volume=46&amp;issue=5&amp;spage=1143&amp;epage=1149&amp;aulast=Liu&amp;aufirst=Shaohua&amp;auinit=S.&amp;aufull=Liu+S.&amp;coden=&amp;isbn=&amp;pages=1143-1149&amp;date=2018&amp;auinit1=S&amp;auinitm=</t>
  </si>
  <si>
    <t>Single-blind, Multi-centre, Randomized Controlled Trial Comparing Ligamys Anterior Cruciate Ligament (ACL) Repair, Internal Bracing ACL Repair and Conventional ACL Reconstruction for Relative Clinical Efficacy and Economic Benefit.</t>
  </si>
  <si>
    <t>clinicaltrials.gov (2018). Date of Publication: 13 Feb 2018</t>
  </si>
  <si>
    <t>Brief SummarySingle-blind, multi-centre, prospective, randomized controlled trial comparing Ligamys Anterior Cruciate Ligament (ACL) repair, Internal Bracing ACL repair and conventional ACL reconstruction for relative clinical efficacy and economic benefit. Patients with a primary proximal acute ACL rupture will be included in either study 1 (0-4 weeks post rupture) or study 2 (5-12 weeks post rupture) of the LIBRE study.Detailed DescriptionRationale The conventional operative treatment of an anterior cruciate ligament (ACL) rupture is an ACL reconstruction, whereby the residual ruptured ACL is removed and replaced by an autograft hamstring tendon. Recently, two alternative natural healing techniques have been developed and proof of concept have been established. The two repair techniques are: Dynamic Intraligamentary Stabilization (DIS) and Internal Brace Ligament Augmentation (IBLA). Both DIS and IBLA allow the rupture to heal by itself. The biggest difference between the two techniques is that the DIS system consists of a polyethylene suture and a spring screw system, which stabilizes the knee joint with the same force during flexion and extension of the knee, and the IBLA system consists of a 2mm high molecular weight polyethylene FiberTapeÂ®. Objective The aim is to identify the optimal ACL technique for treating an acute ACL injury that can deliver an enhanced clinical efficacy and economic benefit for two time frames (0-4 weeks and 5-12 weeks) following ACL rupture. Study design Two separate, interventional, single-blind, comparative, multi-centre, randomized controlled trials (RCTs) will be conducted. The University Hospital of Antwerp (UHA), University Hospital of Brussels (UHB) and OLV Hospital (OLVH) are the three participating sites. A total of 96 patients will be included in the study, 48 for study 1 and 48 for study 2. The anticipated study duration is 72 months which will include a five month starting-up phase, 40 month recruitment period, a 24 month follow-up period and three months for final analysis. The study data will be collected over three periods: pre-operative, per-operative and post-operative. To meet the aim the time-dependent nature of ACL repair surgery has to be taken into account. As the DIS should be performed within a short period after the ACL rupture, study 1 is limited to 4 weeks after ACL rupture. IBLA can be performed up to 12 weeks after ACL rupture, therefore the time limit for study 2 is 12 weeks after ACL rupture. ACL reconstruction is preferably performed when the knee has 'cooled down', and this is from 5 weeks post-rupture. There is no time limit for the ACL reconstruction, since this can be performed up to several years post-rupture. â€¢ Study 1: RCT 1 DIS versus IBLA within 4 weeks after the ACL rupture. â€¢ Study 2: RCT 2 IBLA versus the conventional ACL reconstruction between 5-12 weeks after the ACL rupture. Study population Patients with a primary acute proximal ACL rupture, below the age of 50 years. The ACL remnant must be suitable for repair. Intervention The conventional ACL reconstruction, DIS or IBLA surgery. Main study objectives Primary outcome: Difference of 13 points in IKDC score between the reconstruction technique and the repair techniques (DIS/IBLA) 6 months postoperatively. Main secondary outcomes: Failure/re-rupture, Tegner score, Lysholm score, EQ-5D-5L, return to work/sport, Lachman test, Pivot Shift test and complications. Nature and extent of the burden and risks associated with participation, and benefit Proof of concept have been established and the expected complications are similar in the three treatment arms. The major benefit of the alternative repair techniques is the preservation of the native ACL and its own proprioceptors possibly leading to a faster recovery time.</t>
  </si>
  <si>
    <t>LNCT03441295</t>
  </si>
  <si>
    <t>https://clinicaltrials.gov/study/NCT03441295</t>
  </si>
  <si>
    <t>https://www.embase.com/search/results?subaction=viewrecord&amp;id=LNCT03441295&amp;from=export</t>
  </si>
  <si>
    <t>Arthroscopic Primary Repair of the Anterior Cruciate Ligament (ACL)</t>
  </si>
  <si>
    <t>clinicaltrials.gov (2018). Date of Publication: 2 Feb 2018</t>
  </si>
  <si>
    <t>Brief SummaryA prospective cohort study that will be conducted at Sultan Qaboos University Hospital. It aims to determine the outcomes, in terms of, activity level, functional level, subjective knee function, range of motion, stability, and failure, among patients with acute ACL injuries, who undergo arthroscopic primary ACL repair; and to compare these results with patients who undergo arthroscopic ACL reconstruction. To the investigators' knowledge, there is a dearth of studies looking into the outcomes of arthroscopic primary ACL repair and this going to be the first study in the Middle East. The investigators believe that arthroscopic primary ACL repair is superior to arthroscopic ACL reconstruction; and conducting this research project will elucidate the previously abandoned facts about acute ACL repair; and will eventually have a huge impact in the field of orthopedic surgery.Detailed DescriptionHypothesis Null hypothesis: no difference in outcomes between arthroscopic primary ACL repair and arthroscopic ACL reconstruction in patients with acute ACL tear. Alternative hypothesis: the arthroscopic primary ACL repair is superior to arthroscopic ACL reconstruction. Background Anterior cruciate ligament (ACL) is an important mechanical stabilizer during knee-joint movement; it is the primary restraint against anterior tibial translation relative to the femur; and it acts as secondary restraint to tibial rotation and varus/valgus rotation. ACL injuries are commonly seen among athletics; and the number is increasing, with a reported incidence of 38/100,000 per year. Although there is still some debate about the optimal treatment for acute ACL tears, surgical management in the young and active patient is recommended. The surgical management options to an isolated ACL tear vary from acute repair to ligament reconstruction. Acute ACL repair can be classified into: acute primary repair, acute repair with the use of a ligament augmentation device, and acute repair with augmentation with an autologous hamstring tendon graft. The outcome of acute repair of ACL rupture from its femoral attachment or a proximal tear close to it, is the aim to be accomplished at the end of this project. Several studies demonstrated that the results of acute repair of ACL ruptures deteriorate with time and the procedure was shown to be ineffective. However, most of the published studies are retrospective and nonrandomized, and they compare different surgical techniques, rehabilitation, and follow-up protocols. The surgeries were open and lengthy, the repairs were done on all injury types, on wide variety of ages, with varied concomitant injuries, and the rehab was primeval. Furthermore, there is no study that has described the long-term results of acute ACL repair. Although the concept of ACL potential healing has been deserted in the past, there is renewed interest in the primary healing capacity of this ligament. One would argue why there is a need for the repair of a torn ACL. First, the operation is simple and takes less time and less risk in comparison to ACL reconstruction. Second, ACL treatment aims to provide immediate knee stability; resolve the pain and avoiding long-term complications, primarily osteoarthritis. ACL reconstruction using an autologous or allogenic tendon graft, is universally accepted as the gold standard treatment for complete ACL tears, as it yields excellent results for instability and pain in most the patients. However, there is a higher failure rate in adolescents than in other age groups with up to 20% to 25% of patients experiencing problems postoperatively. This mandates to find a better solution for this group of patients. In addition, patients post ACL reconstructions were found to have higher rates of osteoarthritis, despite the treatment; these findings are based on long-term follow up studies. This emphasizes on the need to find an alternative surgical management option to improve the ultimate outcomes. Third, the incidence of ACL injuries in skeletally immature patients are increasing; and so far, there are no standardized treatment options. For this group of patients, the transphyseal ACL reconstruction with grafts carries a risk for limb length and angular deformities, although several studies have proven no increase in the rate of such complications. Hence, the pre-pubescent population has the potential to benefit greatly from this regenerative treatment, which does not violate the physes; and they respond remarkably to certain biological stimuli implemented in the current enhanced repair techniques. Fourth, regeneration of the ACL over reconstruction preserves the remaining proprioceptive fibers within the ligament substance, and maintains the complex insertion sites of the ligament. This could potentially lead to more normal biomechanics of the knee if adequate regeneration is achieved. Material and methods This is a prospective cohort study that will be conducted at Sultan Qaboos University Hospital (SQUH) and it involves patients with acute ACL injury attending the orthopedic clinic. The ACL rupture will be assessed clinically by anterior drawer test (ADT), Lachman's test, and pivot shift test. The ACL tear will be confirmed by knee MRI. The ethical approval and permission from the concerned institution is required to start the study. All eligible patients who consent to participate will be included in the study. The arthroscopic ACL repair will be carried out by one expert orthopedic surgeon. Because arthroscopy is a reference standard for the diagnosis of internal derangements of the knee, and because it is unethical to sacrifice a torn ACL that can be repaired; the patients will be assessed intra-operatively, and will be divided into two groups (group 1= ACL repair); group 2= ACL reconstruction) based on ACL amenability for repair or reconstruction. If the ACL was found to have a good tissue quality and fulfilling the inclusion criteria, it will be repaired using fiberwires and anchored to the femoral condyle using SwiveLock screw. If the ACL found irreparable, then it will be reconstructed using hamsting tendons graft. A minimum of 20 patients will be included in each group. Post-operatively, the patients will undergo a specific rehabilitation program and will be followed up for, at least, one year to determine their activity level, functional level, subjective knee function, range of motion, stability, and failure of the repair. The activity level will be evaluated using Tegner activity score, which is a scale that aims to provide a standardized method of grading work and sporting activities. It describes the current level of activity and that before injury. The score varies from 0-10; a score of 0 represents sick leave or disability pension because of knee problems, whereas a score of 10 corresponds to participation in national and international elite competitive sports. The functional state will be graded using Lysholm scale, which is designed to assess how the knee problems have affected the patient's ability to manage in everyday life. It consists of 8 items that assess: pain (25 points), instability (25 points), locking (15 points), swelling (10 points), limp (5 points), stair climbing (10 points), squatting (5 points), and need for support (5 points). Every question response has been assigned an arbitrary score on an increasing scale. The total score is the sum of each response to the eight questions, and may range from 0-100. The scores are categorized as: Poor (\&lt;65); Fair (65-83); Good (84-90); and Excellent (\&gt;90). Both scales will be translated into Arabic; then back-translation will be done into English, all by experts, to ensure absolute quality and accuracy. The subjective knee function will be graded as poor, fair, good, and excellent. The knee stability/anterior laxity will be assessed using ADT, Lachman's test, and pivot shift test. The ADT is graded as: * Negative (0) * +1: \&lt;5 mm translation, * +2: 5 to 10 mm, * +3: \&gt;10 mm translation. The Lachman's test is graded as: * Negative (0), * Slight (1+): \&lt;5 mm of displacement, * Moderate (2+): 5 to 10 mm, * Severe (3+): \&gt;10 mm compared with that of the normal knee. The pivot shift is graded as: * Negative (0) * Trace positive (1+), * Moderate shift (2+), * Subluxation (3+). The patients will be evaluated by an independent observer. The participants' data, including the personal information, will be kept safe and secure. The date will be anonymised with ID numbers. The hard copies will be in a locked filing cabinet and the soft copies will be securely password protected. The data will only be accessed by the agreed members of the research team. These records are not to be transferred to or shared with any other institute. The Statistical Package for the Social Sciences (SPSS) will be used for the statistical analyses. Data collection and entry will be done by trained personnel. To assess relationship between variables: as univariate analysis, we will use Chi-square, t-test, ANOVA or non-parametric tests according to the nature of data. The nonparametric analysis of variance (Kruskal-Wallis test) will be used to determine the significance of the overall difference in the outcome measures among the two groups at a particular follow-up time-point. Paired comparisons among the two groups at each time-point will be made with use of the Mann-Whitney test. The Wilcoxon test for paired data will also be used to test for the significance of the changes in the outcome measures for a particular group between any two time points. Also, odd ratio will be calculated, where applicable. As adjusted multivariate analysis, we will use logistic regression. Relations between variables will be assessed by correlation coefficient. Feasibility of the project This study is going to be a pilot study. Its primary mission is to provide immediate knee stability, resolve the pain and avoid long-term complications via simple and straightforward arthroscopic ACL repair. It is an evolving procedure and its results are promising. ACL injuries are common and the procedures are being done by one experienced orthopedic surgeon. The assessment scales that will be used are validated and have been used internationally in previous studies yielding valid information. To the investigator's knowledge, there is a dearth of studies looking into the outcomes of arthroscopic primary ACL repair and this is going to be the first study in the Middle East. Therefore, conducting this research project will yield reliable and helpful results; will elucidate the previously abandoned facts about acute ACL repair; and will eventually have a huge impact in the field of orthopedic surgery.</t>
  </si>
  <si>
    <t>LNCT03510845</t>
  </si>
  <si>
    <t>https://clinicaltrials.gov/study/NCT03510845</t>
  </si>
  <si>
    <t>https://www.embase.com/search/results?subaction=viewrecord&amp;id=LNCT03510845&amp;from=export</t>
  </si>
  <si>
    <t>Schliemann B., Glasbrenner J., Rosenbaum D., Lammers K., Herbort M., Domnick C., Raschke M.J., KÃ¶sters C.</t>
  </si>
  <si>
    <t>(Schliemann B., benedikt.schliemann@ukmuenster.de; Glasbrenner J.; Lammers K.; Herbort M.; Domnick C.; Raschke M.J.; KÃ¶sters C.) Department of Trauma, Hand and Reconstructive Surgery, University Hospital MÃ¼nster, Albert-Schweitzer-Campus, Building W1, 48149, MÃ¼nster, Germany, (Rosenbaum D.) Movement Analysis Lab, Institute for Experimental Musculoskeletal Medicine, University Hospital MÃ¼nster, Albert-Schweitzer-Campus 1, Building D3, 48149, MÃ¼nster, Germany</t>
  </si>
  <si>
    <t>Knee surgery, sports traumatology, arthroscopy : official journal of the ESSKA (2018) 26:2 (374-380). Date of Publication: 1 Feb 2018</t>
  </si>
  <si>
    <t>PURPOSE: Dynamic intraligamentary stabilization (DIS) has been introduced as a new technique to repair the torn anterior cruciate ligament (ACL) and to restore knee joint kinematics after an acute ACL tear. Aim of the present study was to compare the early post-operative activity, restoration of gait pattern and functional results after DIS in comparison with primary ACL reconstruction (ACLR) for acute ACL tears. It was hypothesized that functional results, post-operative activity and changes in gait pattern after DIS are comparable to those after ACLR.METHODS: Sixty patients with acute ACL tears were included in this study and underwent either DIS or ACLR with an anatomic semitendinosus autograft in a randomized manner. Patients were equipped with an accelerometric step counter for the first 6 weeks after surgery in order to monitor their early post-operative activity. 3D gait analysis was performed at 6 weeks and 6 months after surgery. Temporal-spatial, kinematic and kinetic parameters were extracted and averaged for each subject. Functional results were recorded at 6 weeks, 6 months and 12 months after surgery using the Tegner activity scale, International Knee Documentation Committee score and Lysholm score.RESULTS: Patients who underwent DIS showed an increased early post-operative activity with significant differences at week 2 and 3 (p = 0.0241 and 0.0220). No significant differences between groups were found for knee kinematic and kinetic parameters or the functional scores at any time of the follow-up. Furthermore, the difference in anterior tibial translation was not significantly different between the two groups (n.s.).CONCLUSION: Early functional results and changes in gait pattern after DIS are comparable to those of primary ACLR. Therefore, ACL repair may be an alternative to ACLR in this cohort of patients.I.</t>
  </si>
  <si>
    <t>L623064022</t>
  </si>
  <si>
    <t>http://dx.doi.org/10.1007/s00167-017-4618-3</t>
  </si>
  <si>
    <t>https://www.embase.com/search/results?subaction=viewrecord&amp;id=L623064022&amp;from=export</t>
  </si>
  <si>
    <t>https://catalyst.library.jhu.edu/openurl/01JHU_INST/01JHU_INST:JHU?sid=EMBASE&amp;sid=EMBASE&amp;issn=14337347&amp;id=doi:10.1007%2Fs00167-017-4618-3&amp;atitle=Changes+in+gait+pattern+and+early+functional+results+after+ACL+repair+are+comparable+to+those+of+ACL+reconstruction&amp;stitle=Knee+Surg+Sports+Traumatol+Arthrosc&amp;title=Knee+surgery%2C+sports+traumatology%2C+arthroscopy+%3A+official+journal+of+the+ESSKA&amp;volume=26&amp;issue=2&amp;spage=374&amp;epage=380&amp;aulast=Schliemann&amp;aufirst=Benedikt&amp;auinit=B.&amp;aufull=Schliemann+B.&amp;coden=&amp;isbn=&amp;pages=374-380&amp;date=2018&amp;auinit1=B&amp;auinitm=</t>
  </si>
  <si>
    <t>Quadrupled Semitendinosus Graft and Traditional Hamstrings Graft in Anterior Cruciate Ligament Reconstruction: Randomized Controlled Trial</t>
  </si>
  <si>
    <t>clinicaltrials.gov (2018). Date of Publication: 27 Jan 2018</t>
  </si>
  <si>
    <t>Brief SummaryRandomized controlled trial comparing reconstruction of anterior cruciate ligament (ACL) with autologous quadrupled semitendinosus graft or with both semitendinosus and gracilis. It is intended to specially evaluate if by using only the semitendinosus (ST) tendon, the strength of the limb for hamstrings is affected different compared to using both gracilis and ST.Detailed DescriptionData checks programmed by a third party after inclusion of participant number 10, 20, 30 and 42. This includes source data verification. Simple size calculations estimating a difference of 50% in strength improvement between both groups at the six months follow-up visit. 80% power and 5% alpha error. Strength measured with dynamometer, laxity with ACL laxity tester and function with 3 scores: IKDC, Tegner-Lysholm and KOOS. Missing data will be minimized by double checking when registering data. It might be necessary to increase sample size to 50 patients of intermediate analysis show it is necessary to find an statistically significant difference. Trial could be stopped early if one intervention shows to be better in the intermediate analysis. These analysis will be conducted after the first 16 and 32 participants have been included.</t>
  </si>
  <si>
    <t>LNCT03433170</t>
  </si>
  <si>
    <t>https://clinicaltrials.gov/study/NCT03433170</t>
  </si>
  <si>
    <t>https://www.embase.com/search/results?subaction=viewrecord&amp;id=LNCT03433170&amp;from=export</t>
  </si>
  <si>
    <t>The effect of targeted exercise on knee-muscle function in patients with persistent hamstring deficiency following ACL reconstruction - study protocol for a randomized controlled trial</t>
  </si>
  <si>
    <t>Bregenhof B., JÃ¸rgensen U., Aagaard P., Nissen N., Creaby M.W., Thorlund J.B., Jensen C., Torfing T., Holsgaard-Larsen A.</t>
  </si>
  <si>
    <t>(Bregenhof B., Bo.Bregenhof2@rsyd.dk; JÃ¸rgensen U., Uffe.Joergensen@rsyd.dk; Holsgaard-Larsen A., AHlarsen@health.sdu.dk) University of Southern Denmark, Orthopaedic Research Unit, Department of Orthopaedics and Traumatology, Odense University Hospital, Institute of Clinical Research, Sdr. Boulevard 29, Odense C, Denmark. , (Aagaard P., PAAgaard@health.sdu.dk; Thorlund J.B., jthorlund@health.sdu.dk) University of Southern Denmark, Department of Sports Science and Clinical Biomechanics, Campusvej 55, Odense M, Denmark. , (Bregenhof B., Bo.Bregenhof2@rsyd.dk; Nissen N., Nis.Nissen@rsyd.dk; Jensen C., carsten.jensen@rsyd.dk) Lillebaelt Hospital, Department of Orthopaedics, Kolding, Skovvangen 2-8, Kolding, Denmark. , (Creaby M.W., Mark.Creaby@acu.edu.au) Australian Catholic University, School of Exercise Science, PO Box 456, Virginia, QLD, Australia. , (Torfing T., trine.torfing@rsyd.dk) Odense University Hospital, Department of Radiology, Sdr. Boulevard 29, Odense C, Denmark.</t>
  </si>
  <si>
    <t>B. Bregenhof, University of Southern Denmark, Orthopaedic Research Unit, Department of Orthopaedics and Traumatology, Odense University Hospital, Institute of Clinical Research, Sdr. Boulevard 29, Odense C, Denmark. Email: Bo.Bregenhof2@rsyd.dk</t>
  </si>
  <si>
    <t>Trials (2018) 19:1 Article Number: 75. Date of Publication: 26 Jan 2018</t>
  </si>
  <si>
    <t>1745-6215 (electronic)</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</si>
  <si>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 The study is designed as a multicenter, parallel-group RCT with balanced randomization (1:1) and blinded outcome assessments (level of evidence: 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 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 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 Trial registration: ClinicalTrials.gov, ID: NCT02939677 (recruiting). Registered on 20 October 2016.</t>
  </si>
  <si>
    <t>ClinicalTrials.gov (NCT02939677)</t>
  </si>
  <si>
    <t>L620339135</t>
  </si>
  <si>
    <t>10.1186/s13063-018-2448-3</t>
  </si>
  <si>
    <t>http://dx.doi.org/10.1186/s13063-018-2448-3</t>
  </si>
  <si>
    <t>https://www.embase.com/search/results?subaction=viewrecord&amp;id=L620339135&amp;from=export</t>
  </si>
  <si>
    <t>https://catalyst.library.jhu.edu/openurl/01JHU_INST/01JHU_INST:JHU?sid=EMBASE&amp;sid=EMBASE&amp;issn=17456215&amp;id=doi:10.1186%2Fs13063-018-2448-3&amp;atitle=The+effect+of+targeted+exercise+on+knee-muscle+function+in+patients+with+persistent+hamstring+deficiency+following+ACL+reconstruction+-+study+protocol+for+a+randomized+controlled+trial&amp;stitle=Trials&amp;title=Trials&amp;volume=19&amp;issue=1&amp;spage=&amp;epage=&amp;aulast=Bregenhof&amp;aufirst=Bo&amp;auinit=B.&amp;aufull=Bregenhof+B.&amp;coden=&amp;isbn=&amp;pages=-&amp;date=2018&amp;auinit1=B&amp;auinitm=</t>
  </si>
  <si>
    <t>Bi M., Zhao C., Zhang S., Yao B., Hong Z., Bi Q.</t>
  </si>
  <si>
    <t>(Bi M.; Zhao C.; Zhang S.; Yao B.; Bi Q., bmgcdq@163.com) Department of Orthopaedic Surgery, Zhejiang Provincial People's Hospital, People's Hospital of Hangzhou Medical College, No. 158 Shangtang Road, Hangzhou, China. , (Hong Z.) Department of Orthopaedic Surgery, Wenzhou Medical University, Second Affiliated Hospital, Wenzhou, Zhejiang, China.</t>
  </si>
  <si>
    <t>Q. Bi, Department of Orthopaedic Surgery, Zhejiang Provincial People's Hospital, People's Hospital of Hangzhou Medical College, No. 158 Shangtang Road, Hangzhou, China. Email: bmgcdq@163.com</t>
  </si>
  <si>
    <t>Journal of Knee Surgery (2018) 31:10 (1022-1030). Date of Publication: 2018</t>
  </si>
  <si>
    <t>Journal of Knee Surgery</t>
  </si>
  <si>
    <t>1938-2480 (electronic),1538-8506</t>
  </si>
  <si>
    <t>Georg Thieme Verlag, iaorl@iaorl.org</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</si>
  <si>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Â±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Â± 7.1 vs. 89.3. Â± 8.4), KT 1000 measurements (1.71 Â± 0.57 vs. 1.85 Â± 0.77), pivot shift test, and Visual Analogue Scale (VAS) (0.15 Â± 0.36 vs. 0.10 Â± 0.30). No obvious ankle site complications were found at 24 months. The average AOFAS score of the AHPLT group was comparable to that of the semitendinosus tendon group (99.1 Â± 1.40 vs. 99.5 Â±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</si>
  <si>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L620767532</t>
  </si>
  <si>
    <t>http://dx.doi.org/10.1055/s-0038-1627466</t>
  </si>
  <si>
    <t>https://www.embase.com/search/results?subaction=viewrecord&amp;id=L620767532&amp;from=export</t>
  </si>
  <si>
    <t>https://catalyst.library.jhu.edu/openurl/01JHU_INST/01JHU_INST:JHU?sid=EMBASE&amp;sid=EMBASE&amp;issn=19382480&amp;id=doi:10.1055%2Fs-0038-1627466&amp;atitle=All-Inside+Single-Bundle+Reconstruction+of+the+Anterior+Cruciate+Ligament+with+the+Anterior+Half+of+the+Peroneus+Longus+Tendon+Compared+to+the+Semitendinosus+Tendon%3A+A+Two-Year+Follow-Up+Study&amp;stitle=J.+Knee+Surg.&amp;title=Journal+of+Knee+Surgery&amp;volume=31&amp;issue=10&amp;spage=1022&amp;epage=1030&amp;aulast=Bi&amp;aufirst=Mingguang&amp;auinit=M.&amp;aufull=Bi+M.&amp;coden=&amp;isbn=&amp;pages=1022-1030&amp;date=2018&amp;auinit1=M&amp;auinitm=</t>
  </si>
  <si>
    <t>Evaluation of the MRI findings on a tendon graft after the anatomic anterior cruciate ligament reconstruction in patients with versus without the application of platelet-rich fibrin - Results of the</t>
  </si>
  <si>
    <t>ZhodnocenÃ­ MRI nÃ¡lezÅ¯ na Å¡lachovÃ©m Å¡tÄ›pu po anatomickÃ© rekonstrukci pÅ™ednÃ­ho zkÅ™Ã­Å¾enÃ©ho vazu u pacientÅ¯ s aplikacÃ­ versus bez aplikace fibrinu bohatÃ©ho na krevnÃ­ destiÄ_x008d_ky - VÃ½sledky prospektivnÃ­ ran</t>
  </si>
  <si>
    <t>Zeman P., Kasl J., TupÃ½ R., Frei R., Kott O., Kautzner J.</t>
  </si>
  <si>
    <t>(Zeman P.; Kasl J.) Klinika ortopedie a traumatologie pohybovÃ©ho ÃºstrojÃ­ LÃ©kaÅ™skÃ© fakulty, Univerzity Karlovy a FakultnÃ­ nemocnice, PlzeÅˆ, Czech Republic. , (TupÃ½ R.) Klinika zobrazovacÃ­ch metod LÃ©kaÅ™skÃ© fakulty, Univerzity Karlovy a FakultnÃ­ nemocnice, PlzeÅˆ, Czech Republic. , (Frei R.) Centrum pohybovÃ© medicÃ­ny Pavla KolÃ¡Å™e, Praha, Czech Republic. , (Kott O.) Katedra zdravotnickÃ½ch studiÃ­ ZÃ¡padoÄ_x008d_eskÃ© Univerzity, PlzeÅˆ, Czech Republic. , (Kautzner J.) Klinika dÄ›tskÃ© a dospÄ›lÃ© ortopedie a traumatologie 2. lÃ©kaÅ™skÃ© fakulty, Univerzity Karlovy a FakultnÃ­ nemocnice v Motole, Praha, Czech Republic.</t>
  </si>
  <si>
    <t>Acta Chirurgiae Orthopaedicae et Traumatologiae Cechoslovaca (2018) 85:5 (343-350). Date of Publication: 2018</t>
  </si>
  <si>
    <t>Galen s.r.o., Na Belidle 34, Prague 5, Czech Republic.</t>
  </si>
  <si>
    <t>PURPOSE OF THE STUDY The purpose of the prospective randomised study was to assess the benefits of the platelet-rich fibrin (PRF) application during the anatomic anterior cruciate ligament reconstruction (ACLR) for tendon graft healing. MATERIAL AND METHODS The study included 40 patients with an isolated rupture of the anterior cruciate ligament in the knee. The MRI findings on the tendon graft were evaluated at 6 months and 12 months after the surgery in a total of 33 patients, namely in 10 women/23 men (21 right knee/12 left knee), with the mean age of 29.1 years and at the mean follow-up of 15.9 weeks after the injury. The randomisation using envelopes was carried out at the beginning of arthroscopy either in the group with the PRF application (Group 1) (17 patients) or in the group without the PRF application (Group 2) (16 patients), the followed-up patients underwent the ACLR with targeting the femoral tunnel through anteromedial portal using the autografts of m. semitendinosus and m. gracilis with Tightrope femoral fixation and Inion implant in tibia. In Group 1, during the surgery PRF was applied both in the drilled tunnels (intraosseously) and directly to the surface of the tendon graft itself (intraarticular part). The Group 2 was a control group in which the same intervention was performed, however without the PRF application. In the 6(th) and 12(th) month after the surgery, the signal intensity of the knee and occurrence of the ACL graft failure, bone (marrow) oedema rate near the tunnels were assessed by an independent radiologist using a 3 Tesla MRI. RESULTS In the 6(th) and also in the 12(th) postoperative month, neither a complete, nor a partial graft failure was found in the group with PRF, whereas in Group 2 a complete or a partial graft failure was observed in 12.5% (p = 0.23). In the 6th month, a bone marrow oedema near the intraosseous parts of the graft was reported in 94.1% of patients in Group 1 and in 81.3% of patients in Group 2, while in the 12th month it was 23.5% of evaluated patients in Group 1 and 37.5% patients in Group 2. The differences between the two groups were not statistically significant in the 6th (p = 0.096) or in the 12th month (p = 0.43). In the 6(th) month, a fully ligamentised graft was found in 52.9% of patients in Group 1 and in 37.5% of patients in Group 2 (p = 0.061), a partially ligamentised graft was present in 47.1% of patients in Group 1 and in 50% of patients in Group 2. In the 12(th) month, a fully ligamentised graft was seen in 94.1% of patients in Group 1 and in 75% of patients in Group 2 (p = 0.26) and a partially ligamentised graft was present in 5.9% of patients in Group 1 and in 12.5% of patients in Group 2. In the remaining 12.5% of patients in Group 2, the finding was assessed as a graft with no signs of ligamentisation. DISCUSSION We have not encountered a paper in the Czech or world literature which would present results of a similar study, i.e. which would evaluate the potential benefits of the platelet-rich fibrin application in the course of the anatomic anterior cruciate ligament reconstruction. Majority of studies evaluate the benefits of the application of platelet-rich plasma aimed to achieve a positive effect on the LCA graft healing. CONCLUSIONS Our study proved a higher percentage of ligamentisation and healed grafts into the bone as well as a lower occurrence of graft failure in the group with PRF compared to the group without the PRF application, namely both in the 6th and in the 12th month. Nonetheless, the differences between the two groups assessed at the same time were not statistically significant.</t>
  </si>
  <si>
    <t>L624866580</t>
  </si>
  <si>
    <t>https://www.embase.com/search/results?subaction=viewrecord&amp;id=L624866580&amp;from=export</t>
  </si>
  <si>
    <t>https://catalyst.library.jhu.edu/openurl/01JHU_INST/01JHU_INST:JHU?sid=EMBASE&amp;sid=EMBASE&amp;issn=00015415&amp;id=doi:&amp;atitle=Evaluation+of+the+MRI+findings+on+a+tendon+graft+after+the+anatomic+anterior+cruciate+ligament+reconstruction+in+patients+with+versus+without+the+application+of+platelet-rich+fibrin+-+Results+of+the&amp;stitle=Acta+Chir.+Orthop.+Traumatol.+Cech.&amp;title=Acta+Chirurgiae+Orthopaedicae+et+Traumatologiae+Cechoslovaca&amp;volume=85&amp;issue=5&amp;spage=343&amp;epage=350&amp;aulast=Zeman&amp;aufirst=P.&amp;auinit=P.&amp;aufull=Zeman+P.&amp;coden=ACOTA&amp;isbn=&amp;pages=343-350&amp;date=2018&amp;auinit1=P&amp;auinitm=</t>
  </si>
  <si>
    <t>Randomized Controlled Trial for the Use of an Osteoconductive Scaffold in ACL-Reconstruction</t>
  </si>
  <si>
    <t>clinicaltrials.gov (2017). Date of Publication: 29 Dec 2017</t>
  </si>
  <si>
    <t>Brief SummaryPrimary objective of the study is to evaluate efficacy of the surgical technique for ACL reconstruction using an osteoconductive scaffold, enlaced into the hamstring tendon autograft, compared to the traditional technique.Detailed DescriptionReconstruction of the anterior cruciate ligament (ACL) using autograft tissue is currently recommended as the standard of care following an ACL tear or rupture, with the bone-tendon-bone (BTB) graft and hamstring tendon graft the most common. Although a BTB autograft is widely recognized to offer high mechanical performance and rapid graft healing, these advantages come at the cost of a longer surgery time and higher risk of severe patient discomfort at the graft harvest site. Use of a hamstring tendon autograft is less painful, but is generally slower to heal with higher risk of mechanical graft failure due to poor bone ingrowth. The aim of the current study is to augment graft-to-bone incorporation by use of an osteoconductive scaffold enlaced into the hamstring tendon autograft. This bovine derived composite bone substitute is inserted into the articular aperture of the femoral bone tunnel and should provide an osteoconductive / osteoinductive environment at a biomimetic attachment site leading to improved secondary graft-fixation and a reduced incidence of tunnel widening. Primary objective of the study is to evaluate efficacy of the surgical technique for ACL reconstruction using an osteoconductive scaffold, enlaced into the hamstring tendon autograft, compared to the traditional technique. Secondary objectives aim to assess the clinical outcome of the interventional treatment including patient subjective knee function and objective measures of knee stability.</t>
  </si>
  <si>
    <t>LNCT03462823</t>
  </si>
  <si>
    <t>https://clinicaltrials.gov/study/NCT03462823</t>
  </si>
  <si>
    <t>https://www.embase.com/search/results?subaction=viewrecord&amp;id=LNCT03462823&amp;from=export</t>
  </si>
  <si>
    <t>Radiographic Tibial Tunnel Assessment After Anterior Cruciate Ligament Reconstruction Using Hamstring Tendon Autografts and Biocomposite Screws: A Prospective Study With 5-Year Follow-Up</t>
  </si>
  <si>
    <t>Karikis I., Ejerhed L., Sernert N., RostgÃ¥rd-Christensen L., Kartus J.</t>
  </si>
  <si>
    <t>(Karikis I., ioannis.karikis@vgregion.se; Kartus J.) Department of Orthopaedics, NU Hospital Group, TrollhÃ¤ttan/Uddevalla, Sweden. , (Karikis I., ioannis.karikis@vgregion.se; Ejerhed L.; Sernert N.; Kartus J.) Institute of Clinical Sciences, Sahlgrenska Academy, University of Gothenburg, Gothenburg, Sweden. , (Ejerhed L.; Sernert N.; Kartus J.) Department of Research and Development, NU Hospital Group, TrollhÃ¤ttan, Sweden. , (RostgÃ¥rd-Christensen L.) Department of Radiology, LidkÃ¶ping Hospital, LidkÃ¶ping, Sweden.</t>
  </si>
  <si>
    <t>I. Karikis, NU Hospital Group, Uddevalla Hospital, Uddevalla, Sweden. Email: ioannis.karikis@vgregion.se</t>
  </si>
  <si>
    <t>Arthroscopy - Journal of Arthroscopic and Related Surgery (2017) 33:12 (2184-2194). Date of Publication: 1 Dec 2017</t>
  </si>
  <si>
    <t>Purpose 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(Â±3.9 months), with a minimum of 59 months. The width of the tibial tunnel on the anteroposterior view was 9.4 mm (Â±1.4 mm) in the early postoperative period and 9.2 mm (Â±1.5 mm) at 5 years (P =.64). The corresponding widths on the lateral view were 9.6 mm (Â±1.5 mm) in the early postoperative period and 9.0 mm (Â±1.4 mm) at 5 years (P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 Level of Evidence Level II, prospective study.</t>
  </si>
  <si>
    <t>L617805873</t>
  </si>
  <si>
    <t>10.1016/j.arthro.2017.06.025</t>
  </si>
  <si>
    <t>http://dx.doi.org/10.1016/j.arthro.2017.06.025</t>
  </si>
  <si>
    <t>https://www.embase.com/search/results?subaction=viewrecord&amp;id=L617805873&amp;from=export</t>
  </si>
  <si>
    <t>https://catalyst.library.jhu.edu/openurl/01JHU_INST/01JHU_INST:JHU?sid=EMBASE&amp;sid=EMBASE&amp;issn=15263231&amp;id=doi:10.1016%2Fj.arthro.2017.06.025&amp;atitle=Radiographic+Tibial+Tunnel+Assessment+After+Anterior+Cruciate+Ligament+Reconstruction+Using+Hamstring+Tendon+Autografts+and+Biocomposite+Screws%3A+A+Prospective+Study+With+5-Year+Follow-Up&amp;stitle=Arthroscopy+J.+Arthroscopic+Relat.+Surg.&amp;title=Arthroscopy+-+Journal+of+Arthroscopic+and+Related+Surgery&amp;volume=33&amp;issue=12&amp;spage=2184&amp;epage=2194&amp;aulast=Karikis&amp;aufirst=Ioannis&amp;auinit=I.&amp;aufull=Karikis+I.&amp;coden=ARTHE&amp;isbn=&amp;pages=2184-2194&amp;date=2017&amp;auinit1=I&amp;auinitm=</t>
  </si>
  <si>
    <t>Gupta R., Bahadur R., Malhotra A., Masih G.D., Sood M., Gupta P., Mathur V.K.</t>
  </si>
  <si>
    <t>(Gupta R., ravikgupta2000@yahoo.com; Malhotra A.; Masih G.D.; Sood M.; Gupta P.) Sports Injury Centre, Department of Orthopaedics, Government Medical College Hospital, Chandigarh, India. , (Bahadur R.) Baba Farid University of Health Sciences, Faridkot, India. , (Mathur V.K.) Composite Hospital, Ministry of Home Affairs, Government of India, New Delhi, India.</t>
  </si>
  <si>
    <t>R. Gupta, Sports Injury Centre, Department of Orthopaedics, Government Medical College Hospital, Sector 32B, Chandigarh, India. Email: ravikgupta2000@yahoo.com</t>
  </si>
  <si>
    <t>Arthroscopy - Journal of Arthroscopic and Related Surgery (2017) 33:12 (2208-2216). Date of Publication: 1 Dec 2017</t>
  </si>
  <si>
    <t>Purpose To compare mechanical stability, functional outcome, and level of return to sports activity in patients undergoing anterior cruciate ligament (ACL) reconstruction with a free hamstring graft versus a graft with preserved insertions at 2-year follow-up. Methods This study was a prospective, single-blind (the evaluator was blinded), randomized trial of 110 adult professional athletes who were randomly allocated into 2 groups. Group 1 consisted of 55 patients who underwent ACL reconstruction with hamstring tendon autograft with preserved insertions (technique 1), and group 2 consisted of 55 patients who underwent ACL reconstruction with free hamstring tendon autograft (technique 2). An anteromedial portal was used for drilling of the femoral tunnel in all cases. Patients were assessed for a minimum follow-up of 2 years with clinical tests, the Activities of Daily Living Function Scale and Sports Function Scale (Cincinnati knee score), knee arthrometer (KT-1000) testing, and the Tegner activity scale. Results The average age of the patients was 27.0 Â± 7.5 years in group 1 and 27.2 Â± 5.7 years in group 2. At 24 months, the mean side-to-side difference by KT-1000 testing was 1.4 in group 1 and 2.2 in group 2 (P &lt;.0001); the mean Cincinnati knee score (Activities of Daily Living Function Scale and Sports Function Scale) was 418.5 (median, 420; range, 400-420) and 406.8 (median, 420; range, 350-420), respectively (P &lt;.0001); and the mean difference between the preinjury and postsurgery Tegner level of sports activity was 0.3 and 1.08, respectively (P =.027). Conclusions Although ACL reconstruction using hamstring autograft with preserved insertions resulted in statistically superior anterior stability, a better functional outcome, and a closer return to the preinjury level of sports activity as compared with free autograft, no clinically significant difference was proved. Level of Evidence Level I, randomized controlled trial.</t>
  </si>
  <si>
    <t>L618557198</t>
  </si>
  <si>
    <t>http://dx.doi.org/10.1016/j.arthro.2017.06.040</t>
  </si>
  <si>
    <t>https://www.embase.com/search/results?subaction=viewrecord&amp;id=L618557198&amp;from=export</t>
  </si>
  <si>
    <t>https://catalyst.library.jhu.edu/openurl/01JHU_INST/01JHU_INST:JHU?sid=EMBASE&amp;sid=EMBASE&amp;issn=15263231&amp;id=doi:10.1016%2Fj.arthro.2017.06.040&amp;atitle=Outcome+of+Hamstring+Autograft+With+Preserved+Insertions+Compared+With+Free+Hamstring+Autograft+in+Anterior+Cruciate+Ligament+Surgery+at+2-Year+Follow-up&amp;stitle=Arthroscopy+J.+Arthroscopic+Relat.+Surg.&amp;title=Arthroscopy+-+Journal+of+Arthroscopic+and+Related+Surgery&amp;volume=33&amp;issue=12&amp;spage=2208&amp;epage=2216&amp;aulast=Gupta&amp;aufirst=Ravi&amp;auinit=R.&amp;aufull=Gupta+R.&amp;coden=ARTHE&amp;isbn=&amp;pages=2208-2216&amp;date=2017&amp;auinit1=R&amp;auinitm=</t>
  </si>
  <si>
    <t>Beyaz S., GÃ¼ler Ãœ.Ã–., Demir Åž., YÃ¼ksel S., Ã‡Ä±nar B.M., Ã–zkoÃ§ G., AkpÄ±nar S.</t>
  </si>
  <si>
    <t>(Beyaz S., salihbyz@yahoo.com; GÃ¼ler Ãœ.Ã–.; Ã‡Ä±nar B.M.; Ã–zkoÃ§ G.) Department of Orthopaedics and Traumatology, Faculty of Medicine, Adana Dr. Turgut Noyan Research and Training Centre, BaÅŸkent University, Adana, Turkey. , (Demir Åž.) Department of Radiology, Faculty of Medicine, Adana Dr. Turgut Noyan Research and Training Centre, BaÅŸkent University, Adana, Turkey. , (YÃ¼ksel S.) Department of Statistics, YÄ±ldÄ±rÄ±m BeyazÄ±t University, Ankara, Turkey. , (AkpÄ±nar S.) Department of Orthopaedics and Traumatology, Medline Hospital, Adana, Turkey.</t>
  </si>
  <si>
    <t>S. Beyaz, Department of Orthopaedics and Traumatology, Faculty of Medicine, Adana Dr. Turgut Noyan Research and Training Centre, BaÅŸkent University, Adana, Turkey. Email: salihbyz@yahoo.com</t>
  </si>
  <si>
    <t>Archives of Orthopaedic and Trauma Surgery (2017) 137:11 (1547-1555). Date of Publication: 1 Nov 2017</t>
  </si>
  <si>
    <t>Objective: The purpose of this study was to compare the single-bundle (SB) and double-bundle (DB) surgical techniques for anterior cruciate ligament (ACL) reconstruction with regard to tunnel widening, isokinetic muscle strength, and clinical outcomes over an 8-year follow-up period. Methods: This study included 31 patients with ACL injury who underwent ACL reconstruction via the SB (n = 16) or the DB (n = 15) technique. Isokinetic and concentric strength measurements of the quadriceps and hamstring muscles were conducted at postoperative 6 months and postoperative 8 years, and 3D-CT scans of the knee joints were performed on the 2nd, 3rd and 6th month, and the 8th year postoperatively. Clinical evaluations were performed at 8 years postoperatively with the International Knee Documentation Committee (IKDC), Tegner, and Lysholm knee scoring systems. Results: There was marked widening of the parts of the femoral tunnel close to the knee joint in both the SD and the DB groups. There was no difference between the two groups in terms of clinical results and isometric muscle strength at postoperative 8 years; however, there was a significant difference between the preoperative and 6 months postoperative clinical and strength results in both group (P &lt; 0.05). There was no difference between the groups in IKDC score, Lysholm score, Tegner activity scale, and anterior drawer test at postoperative 8 years. On evaluation of the anteromedial bundles alone, the DB group had greater widening than the SB group. Conclusion: In this study, we have found that the tunnels continue to enlarge after 6 months. However, that has no impact in patients comfort and that did not made any change in our daily routine. On the other hand, we found that the reconstruction of the double-band ligament technique is useless for non-professional athletes.</t>
  </si>
  <si>
    <t>L618004586</t>
  </si>
  <si>
    <t>http://dx.doi.org/10.1007/s00402-017-2774-z</t>
  </si>
  <si>
    <t>https://www.embase.com/search/results?subaction=viewrecord&amp;id=L618004586&amp;from=export</t>
  </si>
  <si>
    <t>https://catalyst.library.jhu.edu/openurl/01JHU_INST/01JHU_INST:JHU?sid=EMBASE&amp;sid=EMBASE&amp;issn=14343916&amp;id=doi:10.1007%2Fs00402-017-2774-z&amp;atitle=Tunnel+widening+after+single-+versus+double-bundle+anterior+cruciate+ligament+reconstruction%3A+a+randomized+8-year+follow-up+study&amp;stitle=Arch.+Orthop.+Trauma+Surg.&amp;title=Archives+of+Orthopaedic+and+Trauma+Surgery&amp;volume=137&amp;issue=11&amp;spage=1547&amp;epage=1555&amp;aulast=Beyaz&amp;aufirst=S.&amp;auinit=S.&amp;aufull=Beyaz+S.&amp;coden=AOTSE&amp;isbn=&amp;pages=1547-1555&amp;date=2017&amp;auinit1=S&amp;auinitm=</t>
  </si>
  <si>
    <t>Ã‡elik D., Turkel N.</t>
  </si>
  <si>
    <t>(Ã‡elik D., ptderya@hotmail.com) Division of Physiotherapy and Rehabilitation, Faculty of Health Sciences, Istanbul University, 34740, BakÄ±rkoy, Istanbul, Turkey, (Turkel N.) Department of Orthopedics and Traumatology, Faculty of Medicine, Istanbul University, 34093, Fatih/Ã‡apa, Istanbul, Turkey</t>
  </si>
  <si>
    <t>Knee surgery, sports traumatology, arthroscopy : official journal of the ESSKA (2017) 25:8 (2357-2364). Date of Publication: 1 Aug 2017</t>
  </si>
  <si>
    <t>PURPOSE: This study explored the effects of Pilates on the muscle strength, function, and instability of patients with partial anterior cruciate ligament (ACL) injuries in situations in which a non-surgical treatment option is preferred.METHODS: Fifty participants 20-45 years of age who were diagnosed with isolated ACL injuries were included in the study. The participants were randomly assigned to either the Pilates exercise group (n = 24) or the control group (n = 26). The subjects in the Pilates exercise group performed basic mat exercises that focused on the muscle strength and flexibility of the lower limbs and core muscles during each class session, which met three times per week for 12 weeks. The control group did not receive any treatment or home exercise programme. All patients were evaluated using the Lysholm Knee Scale, the Cincinnati Knee Rating System, and isokinetic quadriceps and hamstring strength. Patient satisfaction regarding improvement in knee stability was assessed using the Global Rating of Change scale.RESULTS: The Pilates group experienced significant improvement over the control group as measured by the difference in quadriceps strength at 12 weeks (p = 0.03). Both groups showed some clinical change over time, but the Pilates group improved for all outcome measurements at the 12-week follow-up, and the control group only improved for functional outcomes. Patient satisfaction with the level of knee stability based on the Global Rating of Change scale was higher in the Pilates group than in the control group.CONCLUSION: Although both groups exhibited improvements in knee strength and functional outcomes, the results suggest that Pilates is a superior management approach over a control treatment for increasing quadriceps strength in participants with partial ACL injury. Pilates may provide clinicians a novel option when choosing a treatment for a partial ACL injury. Further study is needed to determine whether certain subgroups of individuals might achieve an added benefit with this approach.II.</t>
  </si>
  <si>
    <t>L621047142</t>
  </si>
  <si>
    <t>http://dx.doi.org/10.1007/s00167-015-3718-1</t>
  </si>
  <si>
    <t>https://www.embase.com/search/results?subaction=viewrecord&amp;id=L621047142&amp;from=export</t>
  </si>
  <si>
    <t>https://catalyst.library.jhu.edu/openurl/01JHU_INST/01JHU_INST:JHU?sid=EMBASE&amp;sid=EMBASE&amp;issn=14337347&amp;id=doi:10.1007%2Fs00167-015-3718-1&amp;atitle=The+effectiveness+of+Pilates+for+partial+anterior+cruciate+ligament+injury&amp;stitle=Knee+Surg+Sports+Traumatol+Arthrosc&amp;title=Knee+surgery%2C+sports+traumatology%2C+arthroscopy+%3A+official+journal+of+the+ESSKA&amp;volume=25&amp;issue=8&amp;spage=2357&amp;epage=2364&amp;aulast=%C3%87elik&amp;aufirst=Derya&amp;auinit=D.&amp;aufull=%C3%87elik+D.&amp;coden=&amp;isbn=&amp;pages=2357-2364&amp;date=2017&amp;auinit1=D&amp;auinitm=</t>
  </si>
  <si>
    <t>Copyright 2018 Medline is the source for the citation and abstract of this record.</t>
  </si>
  <si>
    <t>Randomised comparison of pretensioning using cyclical loading and on tendon board for arthroscopic anterior cruciate ligament reconstruction using hamstring autograft</t>
  </si>
  <si>
    <t>Khare R., Lal H., Vidyarthi K., Jangira V., Mittal D.</t>
  </si>
  <si>
    <t>(Khare R., drrahulkhare@gmail.com; Vidyarthi K., v.kandarp@gmail.com; Mittal D.) Department of Orthopaedics, Dr Ram Manohar Lohia Hospital, New Delhi, India. , (Lal H., drhiteshlall@gmail.com) Department of Orthopaedics, VMMC, Safdarjang Hospital, New Delhi, India. , (Jangira V., vivek.jangira@gmail.com) Department of Orthopaedics, Lady Hardinge Medical College, New Delhi, India.</t>
  </si>
  <si>
    <t>R. Khare, Department of Orthopaedics, Dr Ram Manohar Lohia Hospital, New Delhi, India. Email: drrahulkhare@gmail.com</t>
  </si>
  <si>
    <t>Journal of Clinical Orthopaedics and Trauma (2017) 8:3 (259-264). Date of Publication: 1 Jul 2017</t>
  </si>
  <si>
    <t>Objective Pretensioning is usually done using two methods - manual cyclical loading and using tensioner with a tendon board. Both the methods are being used with little knowledge about the superiority of either method. This study was done with the objective of trying to find out the better method. Methods A total of 50 patients were selected for the above mentioned study who were randomised into each of the two groups using chit system â€“ In group A patients, cyclical loading was done by twenty times full flexion -extension movements but in group B patients, the graft was placed on a tensioner with 15 pounds tension for 10 minutes. All patients were operated by the same surgeon. The patients were put on a strict rehabilitation protocol. Patients were allowed to bear weight as tolerated. Patients returned for follow up at 6 weeks, 3 months, 6 months and 12 months. At each visit patients were followed with Lysholm's Score and ROLIMETER reading. Results The ROLIMETER reading and Lysholm's score were seen to improve from preoperative to postoperative period and improved further over time with the progress of the rehabilitation protocol in both the groups. When compared to each other Group A i.e. patients pretensioned with cyclical loading had better Lysholm scores and ROLIMETER readings with the difference being statistically significant at all time periods except at 1 year when the difference between the ROLIMETER readings in the two groups were no more significant, though the difference of the Lysholms score was still found to be statistically significant. Conclusion It was concluded in this study that cyclical loading is a better method of pretensioning in ACL reconstruction than tensioner on tendon board with 15 pounds of tension for 10 minutes.</t>
  </si>
  <si>
    <t>L617046784</t>
  </si>
  <si>
    <t>10.1016/j.jcot.2017.06.015</t>
  </si>
  <si>
    <t>http://dx.doi.org/10.1016/j.jcot.2017.06.015</t>
  </si>
  <si>
    <t>https://www.embase.com/search/results?subaction=viewrecord&amp;id=L617046784&amp;from=export</t>
  </si>
  <si>
    <t>https://catalyst.library.jhu.edu/openurl/01JHU_INST/01JHU_INST:JHU?sid=EMBASE&amp;sid=EMBASE&amp;issn=22133445&amp;id=doi:10.1016%2Fj.jcot.2017.06.015&amp;atitle=Randomised+comparison+of+pretensioning+using+cyclical+loading+and+on+tendon+board+for+arthroscopic+anterior+cruciate+ligament+reconstruction+using+hamstring+autograft&amp;stitle=J.+Clin.+Orthop.+Traum.&amp;title=Journal+of+Clinical+Orthopaedics+and+Trauma&amp;volume=8&amp;issue=3&amp;spage=259&amp;epage=264&amp;aulast=Khare&amp;aufirst=Rahul&amp;auinit=R.&amp;aufull=Khare+R.&amp;coden=&amp;isbn=&amp;pages=259-264&amp;date=2017&amp;auinit1=R&amp;auinitm=</t>
  </si>
  <si>
    <t>A Prospective, Randomised Study Investigating the Use of a Fixed Loop Versus an Adjustable Suspensory Loop in Anterior Cruciate Ligament Reconstruction - a Comparison of Clinical and Functional Outcome</t>
  </si>
  <si>
    <t>clinicaltrials.gov (2017). Date of Publication: 24 May 2017</t>
  </si>
  <si>
    <t>Brief SummaryStudy Aims and Objectives: To investigate the following null hypothesis: that there is no difference in clinical and functional outcome when comparing outcomes of Anterior Cruciate Ligament (ACL) reconstruction when comparing femoral side graft fixation with either a fixed versus an adjustable suspensory loop system. The research team will achieve this aim by: * Enrolling 150 patients into this study over a period of 2 years and 8 months * Carrying out a prospective randomised study looking at the subject matter over a period of 5 years and 8 months * Analysing patients functional status pre and post-surgery using patient generated questionnaires * Quantitatively measuring knee joint laxity using the KT1000 testing device at the 3, 6 and 12 month post-surgery time frames * Collating the data received into a spread sheet for analysis by a professional statistician. It is not uncommon to tear the anterior cruciate ligament (ACL) particularly during sporting activities. Younger and sportier patients will often have this ligament reconstructed so as to allow them to return to sport with a stable knee joint that they feel they can trust. Various surgical techniques exist to perform ACL reconstruction. In Exeter, the favoured technique is to reconstruct the ligament by taking two of the hamstring tendons from the back of the knee and creating a graft with these, passing them through a bony tunnel to replace the torn ACL. On the shin bone side of the knee the graft is fixed in place using a screw. On the thigh bone side, the graft is attached to a device known as a suspensory loop. The length of the graft and the length of the tunnel in the thigh bone vary from patient to patient. It is important to get a good length of the graft material in both the shin and thigh bones so as to give the best chance of the graft attaching to the surrounding bone. With the fixed loop system, once the metal button attached to the outer thigh bone is in place, the length of the loop cannot be adjusted. Thus the amount of hamstring graft in either end of the bony tunnel cannot be changed. One potential advantage of an adjustable loop system is that the amount of graft in either end of the bone tunnel can be altered to ensure sufficient graft is accurately placed. The research team are planning to run this study to identify which type of loop system gives the best outcome for patients, examining the results in different ways including questionnaires to measure how well the patients feel their knee is performing, and specific tests to measure knee function. If patients consent to be in the study, they will be randomly allocated to receive one of the 2 ACL reconstruction options above and their progress monitored for 2 years after the operation. All aspects of surgical care will be as routine practice apart from the decision to fix the graft to the thigh bone with an adjustable or fixed suspensory loop.Detailed DescriptionResearch Question: In the treatment of patients requiring anterior cruciate ligament (ACL) reconstruction, is there any difference in clinical and functional outcomes for patients when comparing femoral side graft fixation using a fixed loop versus an adjustable suspensory loop system? Study Aims and Objectives: 1. To investigate the following null hypothesis: that there is no difference in clinical and functional outcome when comparing outcomes of ACL reconstruction when comparing the use of a fixed versus an adjustable suspensory loop system. 2. To identify the optimal surgical technique for patients requiring ACL reconstruction surgery. The research team will achieve these aims by: * Enrolling 150 patients into this study over a period of 2 years and 8 months * Carrying out a prospective randomised study looking at the subject matter over a period of 5 years and 8 months * Analysing patients functional status pre and post-surgery using patient generated questionnaires * Quantitatively measuring knee joint laxity using the KT1000 testing device at the 3, 6 and 12 month post-surgery time frames * Collating the data received into a spread sheet for analysis by a professional statistician Background: ACL rupture is a common injury. The National Ligament Registry (NLR) report (2016) details that 2585 patients with this injury were added to the Registry between 31/01/15 and 31/01/16. Of these, 1851 (71.6%) underwent reconstruction surgery and 734 patients (28.4%) were treated non-operatively. There is no clear consensus as to the best surgical technique for this procedure. However, one of the commonest techniques used is that involving the use of hamstring autograft- 95% of ACL reconstructions in Sweden in 2012 were performed using this method and 88% in the UK in 2015. A tunnel is drilled through the distal femur and proximal tibia, and the ACL graft passed through the tunnel. With this hamstring autograft method, various methods exist for fixing the graft on the femoral side- interference screws, transfemoral suspensory devices and femoral suspensory devices. There is no consensus as to which is best. Rehabilitation after this type of surgery has become more aggressive over the years with early full weight-bearing, range of motion and strengthening exercises beginning soon after surgery. It is essential to preserve the initial stability of the graft whilst healing of the graft to the surrounding bony tunnel occurs so as to provide maximal benefit from the surgery for the patients. This healing process can take up to 12 weeks. Failure of an ACL reconstruction can take different forms with graft stretching, graft failing to incorporate, traumatic re-rupture and infection being the most frequent causes. The assessment of ACL reconstruction failure can be performed in different ways. Samitier et al report the knee may demonstrate objective laxity (as tested by clinical tests such as Lachman and Pivot Shift or mechanical tests such as the KT1000). There may be a patient perception of instability even though objective tests are satisfactory). Using the KT1000 arthrometer, Alford and Bach report the rationale for a maximum manual side-to-side difference of 3 mm when assessing anterior tibial translation or an absolute laxity of 10 mm in the injured knee as the diagnostic criteria for ACL deficiency. Patient recorded outcome measures such as the Knee Osteo-arthritis Outcome Score (KOOS), Tegner activity scale and the International Knee Documentation Committee (IKDC) subjective questionnaire are all validated and can be used to assess satisfaction with surgical outcome and functional ability. Suspensory fixation devices are used to draw the graft in to the femoral tunnel. Tunnel lengths differ between patients as do graft lengths. With a fixed length suspensory loop, once the metal device to fix the graft in the femoral tunnel has been deployed, it cannot be adjusted. In theory, fixed length suspensory loops may result in insufficient graft in the femoral tunnel. Whilst fixed suspensory loops are available in a multitude of sizes to overcome this problem, this will necessitate keeping a large stock of differing size products available in the operating theatre which will incur cost repercussions. With an adjustable suspensory loop, the graft can continue to be pulled up into the femoral tunnel even after the fixation button is attached to the outer femoral cortex giving the operating surgeon greater intra-operative flexibility. This will allow a greater amount of graft to be drawn within the femur. If one can have a short length of suspensory loop and a greater amount of graft in the tunnel, there will be less motion of the graft in the tunnel and a greater ability of the graft to unite to the surrounding bone. If the harvested graft is unexpectedly found to be short, the adjustable loop may offer a further advantage to the surgeon over the fixed loop. In this situation, if the fixed loop is deployed, there may be a sub-optimal amount of graft in the tibial tunnel. Thus, there is less graft for the interference screw to engage against for fixation on the tibial side. In these circumstances, the ability for the surgeon to lengthen the loop, and pull some extra graft into the tibia will allow for better fixation of the graft on the tibial side. Presently, the fixed loop devices are available in varying sizes. Keeping a range of different sized products in stock to cover graft length issues, will incur extra costs. A benefit of an adjustable loop system may be therefore, that it will only require the single size product to be kept on the shelf, with an implication for cost savings in terms of amount of stock that needs to be on hand. There have been several biomechanical studies comparing the strength and lengthening of fixed versus suspensory loop devices in a laboratory environment. In particular, assessment is made of the lengthening of the suspensory loop when subject to repetitive cyclic loading and also of ultimate failure when subject to load to failure testing. Varying results have been reported. Petre et al showed 4 suspensory loops had ultimate failure tolerances that would exceed the forces that an ACL graft would be subjected to. However, on repetitive cyclic testing one of the adjustable length suspensory loops stretched in excess of 3mm which was beyond the threshold which would be considered a clinical failure. Eguchi et al reported a fixed loop suspensory device as having greater statistically significant strength and lower total displacement/ stretching values by comparison to an adjustable loop device. Barrow et al similarly found that the ultimate load to failure of all 3 devices tested (fixed and adjustable loops) exceeded the forces likely to be experienced in a patient's knee during the early postoperative rehabilitation period. They also reported the adjustable loop devices lengthening to a clinically significant degree when subject to cyclic loading. However, they reported this lengthening significantly reduced for one adjustable loop device when the free suture ends were tied. Barrow and Petre's papers examined loop strength and failure rates in a laboratory environment using a mechanical device for loop testing. Eguchi's work included testing loops fixed to porcine femurs and bovine femurs. Whilst recognised as models for such biomechanical testing, neither test scenario replicates the in-vivo situation that an ACL graft will face in human tissue. The only clinical study comparing the loops was published by Boyle et al in 2015. In this retrospective study, the results of 188 patients were compared for 73 patients with an adjustable suspensory loop and 115 with a fixed loop. At varying time intervals of follow- up, no clinically statistically significant different outcomes were identified using stability testing via the KT1000 device and nor were differences found in graft failure. This study however, was not a prospective randomised study and has methodological flaws. In particular, there is a potential for bias in interpreting the assessment of the pivot shift and Lachman tests post-operatively as this was carried out by the operating surgeons who were not blinded to the type of surgery undertaken. Data was available for all 188 patients at the 6 month post-operative time frame- by which time graft healing should have occurred. However, only 58.5% of patients had data at 1 year follow-up and only 11.2% of patients achieved 2 year follow up. The graft diameter was statistically significantly larger in the adjustable loop cohort which can affect graft healing. Nevertheless, despite these limitations, this study outlined there was no detriment to using the adjustable loop system compared to the fixed loop in a clinical setting. Thus the evidence of load to failure strength for all types of loop appears satisfactory, whilst some makes of adjustable loop appear to lengthen beyond acceptable levels in a laboratory situation after cyclic testing. We have carried out independent biomechanical testing of the loops being examined in this study and both met requirements for not lengthening excessively after cyclic loading and having pull to failure strength measurements in excess of those than would occur in daily life. This clinical study therefore, aims to examine if there is any difference in clinical and functional outcome for patients undergoing ACL reconstruction using a hamstring autograft in a group of patients having a fixed length suspensory device used on the femoral side versus a group with an adjustable length one. It will be the first purely clinical prospective randomised study of these type of loops with the assessors of both clinical tests and the KT1000 device blinded as to which type of surgery the patient has undergone. Methodology: A randomised, prospective, study is to be set up to compare the results of 2 different ways of undertaking femoral fixation in ACL reconstruction surgery. One arm of the study will be randomised to have their surgery using a fixed length suspensory loop device for achieving femoral side graft fixation, and the other to have an adjustable suspensory loop used. The study will be carried out in the operating theatres, orthopaedic out-patients department and the physiotherapy department at the Royal Devon and Exeter (RD+E) Hospital. Patients will be invited to take part in the study in one of 2 ways. Firstly, by their surgeon when they are initially listed for ACL reconstruction surgery at their out-patient consultation at the RD+E Hospital orthopaedic department. Alternatively, if they are identified from the current surgical waiting list as suitable for inclusion. In this latter case, they will be contacted by letter by their surgeon asking for permission for one of the research team to contact them to discuss the study. All participants will be sent a copy of the patient information leaflet. At their preparation for surgery appointment- usually 2-4 weeks before their operation, they will meet one of the research team who can answer any questions about the study. A study consent form will be signed at this meeting if the patient is willing to be involved in the research Patients who agree to enter the trial will be divided at random to enter the different treatment arms of the study. The randomization schedule will be determined using an on-line random assignment sequence generator (www.graphpad.com/quickcalcs/randomize1.cfm) and will be kept and controlled by the study co-ordinator, and the surgeons will not have access to this schedule. The randomisation details for each patient will be written on to a slip of paper and placed inside an opaque envelope. Each envelope is attributed to one patient and given a study number. One of the research team (study coordinator or research nurse) will supply the operating theatre staff with one of the envelopes containing the slip of paper upon which will be written the randomisation allocation for the patient undergoing surgery at that time. The operating theatre staff will inform the surgeon of the allocation. 150 patients will be initially included with allocation to either arm of the trial. The operating surgeon will not be able to read the slips before the envelope is opened, nor will they perform the randomisation which will be carried out by one of the investigators not carrying out the surgery on the individual patients i.e. the operating surgeon takes no part in the randomisation process. Sample Size: In 2015, at the RD+E Hospital 75 ACL reconstruction procedures were undertaken. 35 cases were performed at Sidmouth hospital giving a total of 110 per annum. Lanzetti's paper (Ref 11) indicated that the mean and Standard Deviation (SD) values using the KT-1000 to measure Antero-Posterior (AP) translation of the tibia in relation to the femur were as follows: Group a Group b KT 1000 Manual maximum 2.3+/-0.9 2.5+/-1 side to side difference (millimetres-mm) 2.1+/-1.2 2.3+/-1 Based on these values the study was powered to detect a Minimum Clinically Important difference (MCID) of 0.6 mm, which would shift the KT-1000 reading from 3.0 mm (upper bound of satisfactory level) to 3.6 mm (0.6 mm above the satisfactory upper bound). Justification: If the true minimum difference (or Minimal Clinically Important Difference) between the experimental and control group KT-1000 measurement means is 0.6mm the researchers will need to recruit 60 cases in each group to be able to reject the null hypothesis that the population means are equal with probability (power) 0.9, type I error rate of 5% (significance) and mean SD of 1.0 (Lanzetti paper referred to above) An adjustment of 20% to account for drop outs would increase the number in each group to 75 and the total sample size to 150 cases. Data Analysis: Results of all the primary outcome between the 2 groups will be analysed at the 12 month time frames using students t-test to compare the groups. A stats package such as SPSS version 24 software will be used (SPSS Inc., Chicago, Illinois) for analysing the results. Procedure: Potential candidates for this study will be identified in one of 2 ways. Firstly, when patients are listed for ACL reconstruction surgery whilst attending orthopaedic out-patient clinics at the RD+E Hospital. At the time of this consultation they will be offered the opportunity to participate in the study. They will be given a copy of the information about the study and the consent form. They will have the opportunity therefore, to discuss the study with their family, friends or General Practitioner (GP) if they wish to do so. It will be explained that a member of the research team will contact them by telephone or letter to ask if they wish to participate in this research. Alternatively, patients will be identified from existing surgical waiting lists. In this case, they will be contacted by their surgeon in writing asking for their permission for one of the study team to approach them about the study. If permission is given, the patient will be sent a copy of the participant information sheet and a consent form so that they can decide if they would like to be involved. One of the research team- either the study coordinator or one of the research nurses- will then contact the patient and if they are willing to be involved, will obtain written consent for study participation. Consent is will be obtained at the preparation for surgery appointment which usually occurs 2-4 weeks before surgery. 3 copies of written consent will be obtained. One will be returned to the patient. One will be placed in the medical notes and one will be kept by the research team in the patient's case record file (CRF). Patient Generated Clinical Outcomes/ Pre-operative Functional Assessment: All ACL reconstruction patients attend the hospital for routine pre-operative assessment-whether involved in the study or not. At this appointment-usually 2-4 weeks before their operation- trial participants will complete the questionnaires related to the study: the Knee Osteo-arthritis Outcome Score (KOOS), the International Knee Documentation Committee (IKDC) subjective knee questionnaire, the Lysholm Knee Questionnaire and the Tegner activity score. Initial Radiological Assessment: Most patients will have undergone a Magnetic Resonance Image (MRI) scan of the affected knee prior to surgery as part of routine care. This test is not performed on all patients having this type of surgery, and is not one of the procedures being examined in this study; hence it is not necessary for every patient to undergo this. Randomisation: Randomisation will be to one of 2 arms of the study. The patient will either receive: 1. An ACL reconstruction using a fixed length suspensory loop for femoral fixation, or 2. An ACL reconstruction using an adjustable length suspensory loop for femoral fixation Tibial fixation for all participants will be as per routine care with an appropriately sized interference screw. Patients who agree to enter the trial will be divided at random to enter the different treatment arms of the study. The randomization schedule will be determined using an on-line random assignment sequence generator (www.graphpad.com/quickcalcs/randomize1.cfm) and will be kept and controlled by the study co-ordinator, and the surgeons will not have access to this schedule. The randomisation details for each patient will be written on to a slip of paper and placed inside an opaque envelope. Each envelope is attributed to one patient and given a study number. One of the research team will supply the operating theatre staff with one of the envelopes containing the slip of paper upon which will be written the randomisation allocation for the patient undergoing surgery at that time. The operating surgeon will not be allowed to open the envelope. The patient will be assigned the study number and their randomisation slip returned to the study coordinator to be kept with the Masterfile copy of the consent form. A hand written note will be made by one of the research team in the orthopaedic section of the patient's medical notes after their surgery, confirming that they consented to the study and detailing which arm of the study they were allocated to. Surgery: Operating techniques will be standard ACL reconstruction techniques using hamstring autograft as used by the 2 surgeons involved in the study. The operating surgeon will record in the operation note evidence of meniscal damage, cartilage and ACL status, including presence of any residual ACL. Immediate Post-operative Care: Patients will be discharged home allowed to fully weight-bear as comfort allows with walking aids for use for a 2 week period. They will be discharged wearing a locked knee brace. They will be reviewed at 2 days after surgery for a wound check and brace removal. They will be instructed in closed kinetic chain knee exercises, range of motion exercises, advised on cryotherapy and referred to the physiotherapy department for a formal ACL rehabilitation programme which will begin 2-3 weeks after surgery. This is all routine care in the researcher's institution. Follow Up: As per routine care, the patients will be followed up in the orthopaedic clinic at 2 and 6 weeks, 3 months, 6 months and 1 year post-operatively. At the 6 month, 1 and 2 year timeframe they will repeat the KOOS, IKDC subjective knee score, Tegner Activity score and the Lysholm Knee questionnaire. These can be completed and posted from home by the patients or when they attend for KT1000 testing- see below. Functional assessment using the KT1000 device will also be carried out at the 3 and 6 month and 1 year follow up time frames. Physiotherapy will continue as clinical need dictates- as per routine care. If possible, all patients will undergo their rehabilitation at the RD+E Hospital to ensure standardisation of care. However, there will be practical logistical reasons why all patients will not be able to do this and they will have to have their physiotherapy in their local hospital. Post-operative Radiological Assessment: All participants will get a single Antero-Posterior (AP) and Lateral X-ray of the operated knee on the day of surgery as per routine care. Data Storage The KOOS, IKDC subjective knee score, Tegner Activity Score and the Lysholm Knee Questionnaire are all undertaken by patients. This is in paper format and transcribed onto an Excel spread sheet on an RD+E Trust computer. The results of the KT1000 measurements will be also put on the spread sheet. The data will remain the property of the RD+E Hospital. All of the remaining data associated with the study will be kept electronically on the hard drives of computers within the Exeter Knee Reconstruction Unit (EKRU). These are encrypted and password protected hospital computers. The data will only be accessible by members of the research team and the study sponsor who will need access for research regulatory purposes. The data will be analysed and reported. The study Masterfile will be kept in the EKRU offices-an area that is inaccessible to the general public and for which staff require keypad door access. Data Collation: To be undertaken by the clinician undertaking the specific procedure concerned, the study coordinator or by research nurses attached to the Research and Development (R+D) department in the RD+E Hospital. The data will be stored on RD+E Hospital secure computers. Data will be entered into an Excel spread sheet for later transfer into a statistical package such as Statistical Package for the Social Sciences (SPSS) version 24 for analysis. All patient identifiers will be removed. The study data will be kept until the study analysis has been completed and then archived in accordance with the archiving Standard Operating Procedures (SOPs) of the study sponsor. Data analysis: Will be carried out by an appropriately qualified statistician. Personnel: * Chief Investigator-Andrew Toms (ADT) * Surgeons-Vipul Mandalia (VIM) and Peter Schranz (PZS) * Study coordinator-Patrick Hourigan (PGH) * Functional outcome assessment team-Dean Chisling De Burgh (DCDB) -physiotherapy department RD+E Hospital. * Database support provided by David Searle- surgical care practitioner in the EKRU. * Clerical staff attached to the EKRU. Confidentiality: All of the research staff will be trained in guidelines for Good Clinical Practice (GCP) in research. All National Health Service (NHS) staff involved are bound by patient confidentiality requirements of the NHS. The study participants General Practitioner (GP) will be informed that their patient is involved in the research- particularly as the patient may wish to discuss their involvement in the research with their GP. All of the data associated with the study will be kept electronically on the hard drives of computers within the Exeter Knee Reconstruction Unit (EKRU). It will be stored on encrypted and password protected hospital computers. The data will only be accessible by members of the research team and by the R+D department at the RD+E Hospital who will require access to the data to ensure compliance with the protocol. When the data is to be sent to the statistician for analysis, it will be anonymised and only a study number used for identification. The statistician uses password and encrypted computers. At the end of the study (see timescales below), all research data will be archived in line with the sponsors SOPS. Radiographs and scans will remain on the secure hospital systems as per routine care. Timescales: Approximately 110 ACL reconstructions carried out per annum by the surgeons within the research team. Allowing 50% declining recruitment, not meeting entry criteria or missed for logistical reasons this will leave 55 potential participants per annum. Thus recruitment should be in approximately 2 years and 8 months. Follow up is for 2 years post entry into the study as outlined above. It will take a further 1 year for data analysis, project write up and submission for publication post study end. Study data will be archived as per the study sponsors archiving SOP's after completion of the study. Dissemination of Results: The participants will be informed in writing of the results if they so desire. The R+D department at the RD+E will be informed of the results. The research team plan to present the results both nationally and internationally at knee surgery conferences and to publish the results in a peer reviewed journal. The team will also present the results to the 2 patient networks in Exeter: The Patient Research Panel and The Patient Knee Support Group Impact of Results: The impact of this study as yet is unknown. If the research identifies a clear advantage of one study arm over the others, then it is likely that this technique will become the standard ACL reconstruction procedure within the RD+E Hospital- with the aim of providing patients with the best clinical and functional results after their ACL reconstruction surgery. Similarly, if a clear difference is found in one study arm, one would hope that presentation of the results to colleagues at other institutions will result in better long term results for their patients. In the event that no technique proves superior to the others, then this will provide surgeons with the reassurance that no matter what their preferred technique, their patient is not being disadvantaged. If results between both arms of the study are the same, there is a potential cost saving for the NHS if only one size of adjustable suspensory loop needs to be kept in stock a opposed to multiple different sizes of the fixed loop device. Conflicts of Interest: The Exeter Knee Reconstruction Unit has received external funding to allow them to undertake studies as this. This is subject to a Masters Service Agreement (MSA) and the monies are already in place. Both devices being studied are made by the same company and thus using one or the other is of no financial benefit to the manufacturer. ADT and VIM undertake consultancy work for Stryker UK and will complete the necessary paperwork for this. Patient Involvement: The research team have consulted with patients on the feasibility of participating in the study at all and in particular about the demands of attending the appointments for functional assessment. The commitment for the majority of the study is the same whether patients are involved in the research or not but nevertheless the research team will emphasise the need for attendance. However, rehabilitation for patients living in Exeter is undertaken at the RD+E site. For some patients who live in the surrounding areas, rehabilitation could normally be undertaken in their local community hospital using current protocols. Ideally the research team would like all patients to attend for rehabilitation at the RD+E so as to standardise care. However, this will not always be possible as patients may have logistical difficulty travelling to Exeter when the study population is drawn from a wide geographical area. If patients do not wish or cannot travel to Exeter for this however, they will have to come to Exeter on 3 extra separate occasions for the KT100 functional test. Attendance at all time frames is critical for completion of the functional outcome assessment. This is both the study primary outcome measure but also the safety net of ensuring neither study arm is failing catastrophically. It was stressed by the patient representatives that the patients need to be fully informed of the commitment required should they agree to take part. The research team have consulted on the design and wording of the patient information leaflet and the consent form. Various changes were recommended in particular to the patient information leaflet- all were implemented. Risks of the Study: The research team do not believe involvement in this study changes the risks from surgery that the patients already face as a part of routine care. Monitoring Adverse Events/Stopping the Study: A log of adverse events will be kept by the study coordinator. Adverse events occurring in the immediate peri and post-operative events should be reported to the coordinator by the consultant surgeon in charge of the case. Adverse events may be identified in clinic and again, the surgeon concerned should report these back to the coordinator to be logged and further action considered if necessary after discussion with the study sponsor. It is possible that adverse events will occur that are dealt with either by the Accident and Emergency (A+E) department, the patient's GP or other hospitals. These may not be readily apparent to the research team. The research team will therefore specifically ask participants to inform their surgeon if any complications or adverse events occur and similarly ask the surgeons to specifically ask their patients for this information at each clinic attendance. A meeting of the research team will be held on a 3 monthly basis to discuss progress of the study, any specific problems and to consider whether there are any justifications for stopping the study. As both techniques being studied of performing ACL are already part of routine practice, the research team do not anticipate identifying an unexpected complication that would necessitation an early termination of the study. Ethical Approval: Ethical approval for this study will be sought from the National Research Ethics Committee via the Health Research Authority.</t>
  </si>
  <si>
    <t>LNCT03184922</t>
  </si>
  <si>
    <t>https://clinicaltrials.gov/study/NCT03184922</t>
  </si>
  <si>
    <t>https://www.embase.com/search/results?subaction=viewrecord&amp;id=LNCT03184922&amp;from=export</t>
  </si>
  <si>
    <t>Role of accelerated rehabilitation versus standard rehabilitation following anterior cruciate ligament reconstruction using hamstring graft</t>
  </si>
  <si>
    <t>Gupta P.K., Acharya A., Mourya A., Ameriya D.</t>
  </si>
  <si>
    <t>(Gupta P.K., sportsmedicinedelhi@yahoo.com; Acharya A., mailmeashis@gmail.com; Mourya A., amitink83@gmail.com; Ameriya D., drdameriya@gmail.com) Department of Orthopaedics, Sir Gangaram Hospital, New Delhi, India.</t>
  </si>
  <si>
    <t>P.K. Gupta, Department of Orthopaedics, Sir Gangaram Hospital, New Delhi, India. Email: sportsmedicinedelhi@yahoo.com</t>
  </si>
  <si>
    <t>Journal of Arthroscopy and Joint Surgery (2017) 4:2 (89-93). Date of Publication: 1 May 2017</t>
  </si>
  <si>
    <t>Reed Elsevier India Pvt. Ltd.</t>
  </si>
  <si>
    <t>Background There is no consensus regarding the optimal postoperative rehabilitation program after anterior cruciate ligament (ACL) reconstruction. Material and methods Forty patients who had a primary anterior cruciate ligament reconstruction (ACL-R) with a semitendinosus-gracilis (STG) autograft from a single orthopaedic surgeon were prospectively randomized into 2 groups. Twenty patients were randomized to the accelerated rehabilitation group (100% male, mean age 26.45 Â± 4.696 years) and 20 to the standard rehabilitation group (90% male, mean age 28.90 Â± 6.307 years). Patients were followed and knee laxity and Tegner activity level values were obtained at 6 weeks, 3 months and 6 months postoperatively. IKDC score and KOOS score was collected at 3 and 6 months postoperatively and functional score by single leg hop test was measured at 6 months. Results There were no differences between the groups for the baseline characteristics (P &gt; .05). There was no difference found between the groups in respect to A-P knee laxity, activity level, Patient satisfaction (KOOS score) and functional performance (P &gt; .05). There were significant differences in the IKDC scores between groups at 3 and 6 months and in the KOOS score at 3 months (P &lt; .05). Conclusions The current study indicate that an accelerated postoperative protocol is equivalent in terms of laxity, patient satisfaction, functional performance and activity level and better in terms of clinical outcome to a standard rehabilitation protocol after an isolated ACL-R using STG autografts.</t>
  </si>
  <si>
    <t>L618013265</t>
  </si>
  <si>
    <t>10.1016/j.jajs.2017.08.003</t>
  </si>
  <si>
    <t>http://dx.doi.org/10.1016/j.jajs.2017.08.003</t>
  </si>
  <si>
    <t>https://www.embase.com/search/results?subaction=viewrecord&amp;id=L618013265&amp;from=export</t>
  </si>
  <si>
    <t>https://catalyst.library.jhu.edu/openurl/01JHU_INST/01JHU_INST:JHU?sid=EMBASE&amp;sid=EMBASE&amp;issn=22149635&amp;id=doi:10.1016%2Fj.jajs.2017.08.003&amp;atitle=Role+of+accelerated+rehabilitation+versus+standard+rehabilitation+following+anterior+cruciate+ligament+reconstruction+using+hamstring+graft&amp;stitle=J.+Arthrosc.+Jt.+Surg.&amp;title=Journal+of+Arthroscopy+and+Joint+Surgery&amp;volume=4&amp;issue=2&amp;spage=89&amp;epage=93&amp;aulast=Gupta&amp;aufirst=Prateek+Ku&amp;auinit=P.K.&amp;aufull=Gupta+P.K.&amp;coden=&amp;isbn=&amp;pages=89-93&amp;date=2017&amp;auinit1=P&amp;auinitm=K</t>
  </si>
  <si>
    <t>Carulli C., Matassi F., Soderi S., Sirleo L., Munz G., Innocenti M.</t>
  </si>
  <si>
    <t>(Carulli C., christian.carulli@unifi.it; Matassi F.; Soderi S.; Sirleo L.; Munz G.; Innocenti M.) Orthopaedic Clinic, University of Florence, Largo P. Palagi 1, 50139, Florence, Italy</t>
  </si>
  <si>
    <t>Knee surgery, sports traumatology, arthroscopy : official journal of the ESSKA (2017) 25:4 (1264-1271). Date of Publication: 1 Apr 2017</t>
  </si>
  <si>
    <t>PURPOSE: The anterior cruciate ligament (ACL) reconstruction is one of the most performed and successful orthopaedic procedures. The results are considered independent by the choice of the graft and the fixation devices. A growing interest on resorbable non-metallic fixation devices versus standard metallic fixation devices has been noted over recent years with few clinical experiences reported in the literature. The aim of this study is to compare the clinical and radiological outcomes of patients undergoing ACL reconstruction using autologous hamstring tendons with tibial fixation by a centrally placed resorbable screw and sheath to a combination of an eccentrically placed resorbable interference screw and supplementary staple fixation.METHODS: Ninety patients undergoing an isolated, single-bundle, primary ACL reconstruction with autologous hamstring tendons, using the same femoral fixation, were randomized to a tibial fixation with a centrally placed resorbable screw and sheath, BioIntrafix (group A), or an eccentrically placed resorbable interference screw, BioRCI, and two non-resorbable staples (group B). The latter has represented for many years our standard fixation method. Clinical evaluations (KOOS, IKDC, KT-2000â„¢ side-to-side difference) and radiological analyses were conducted in both groups with a minimum follow-up of 2 years.RESULTS: We assisted in a satisfactory pain relief and functional improvements, without significant clinical and radiological differences in both groups. No further surgery was needed in patients with the screw/sheath tibial fixation. Seven patients with the screw/staples tibial fixation needed the surgical removal of the fixation devices due to pes anserinus irritation or local infection years after the index operation. Other parameters such as the tunnel enlargement were not statistically different in the two groups.CONCLUSIONS: Good clinical and radiological outcomes of ACL reconstruction by a screw/sheath tibial fixation have been reported showing comparable results with respect to screw/staples fixation. There were no failures associated with loss of fixation with either of tibial fixation methods. A fewer number of surgical removals of tibial devices were also recorded in patients treated by the screw/sheath fixation system, related to the absence of local intolerance or infection compared to subjects with a standard tibial fixation.</t>
  </si>
  <si>
    <t>L618850552</t>
  </si>
  <si>
    <t>http://dx.doi.org/10.1007/s00167-016-4135-9</t>
  </si>
  <si>
    <t>https://www.embase.com/search/results?subaction=viewrecord&amp;id=L618850552&amp;from=export</t>
  </si>
  <si>
    <t>https://catalyst.library.jhu.edu/openurl/01JHU_INST/01JHU_INST:JHU?sid=EMBASE&amp;sid=EMBASE&amp;issn=14337347&amp;id=doi:10.1007%2Fs00167-016-4135-9&amp;atitle=Resorbable+screw+and+sheath+versus+resorbable+interference+screw+and+staples+for+ACL+reconstruction%3A+a+comparison+of+two+tibial+fixation+methods&amp;stitle=Knee+Surg+Sports+Traumatol+Arthrosc&amp;title=Knee+surgery%2C+sports+traumatology%2C+arthroscopy+%3A+official+journal+of+the+ESSKA&amp;volume=25&amp;issue=4&amp;spage=1264&amp;epage=1271&amp;aulast=Carulli&amp;aufirst=Christian&amp;auinit=C.&amp;aufull=Carulli+C.&amp;coden=&amp;isbn=&amp;pages=1264-1271&amp;date=2017&amp;auinit1=C&amp;auinitm=</t>
  </si>
  <si>
    <t>Arthroscopic ACL Reconstruction: Hamstring Versus Quadriceps Tendon Autograft</t>
  </si>
  <si>
    <t>clinicaltrials.gov (2017). Date of Publication: 10 Mar 2017</t>
  </si>
  <si>
    <t>Brief SummaryThe use of hamstrings and quadriceps autografts as an alternative option for reconstruction of the anterior cruciate ligament has good clinical results: however, both techniques have not been compared among them, which is why this study is intended. The use of quadriceps tendon autograft in anterior cruciate ligament repair presents similar or better results compared to autograft of the hamstrings. The objective of the study is to compare the clinical effectiveness of anterior cruciate ligament reconstruction between the use of quadriceps tendon autograft versus hamstring autograft.Detailed DescriptionMethods Institution Patients attending the Orthopedics and Traumatology consult of the Hospital Universitario "Dr. Jose Eleuterio Gonzalez" of the Universidad Autonoma de Nuevo Leon. Study design This is a double-blind , prospective, reproducible, comparative and longitudinal clinical trial with specific population. It is proposed to study 28 patients, being randomly divided into two groups. Inclusion criteria: patients of age between 18 years and 45 years, with anterior cruciate ligament (ACL) injury diagnosed clinically and by magnetic resonance image and with or without associated meniscal injury, without previous reconstruction surgery and with previous informed Consent. Exclusion criteria: multiligamentous injury and/or diagnosis of moderate or severe ostearthritis, chronic degenerative diseases (diabetes mellitus, hypertension) and contralateral ACL injury. Elimination criteria: own initiative to stop participating and those who didn't complete all follow-up appointments. Procedure Before surgery Detailed Informed Consent is performed to the patient before inclusion to the protocol Tegner Lysholm Knee Scoring Scale (evaluates the functionality of the knee and classifies them in grades with respect to its functional capacity) IKDC (evaluates knee ligament injuries, based on symptoms, sports activities and knee function) KOOS (evaluates knee sports injuries in young and middle-aged patients) Knee Society Score (pain, range of motion and injured knee stability) Cincinnati Knee Ligament Rating System (CKRS, assesses knee instability in ACL sports injuries) SF-12 (assesses patient's life quality) VAS (a subjective assesment of pain). Surgery The investigators will proceed to perform the anterior cruciate ligament reconstruction, both by the same surgeon, who will use the same technique in both groups, with the autograft in which the patient will have been randomly assigned. After surgery all patients will be discharged previous warning signs explanation and several appointments in 2 weeks, 1 month, 3, 6 and 12 months after the procedure, for later evaluation scales, mentioned previously Statistical analysis In the sample size calculation, 14 patients per group are included using a mean equivalence formula, with 95% confidence and a power of 80%, estimating an equivalence of more less 2.5 on the Lysholm scale.</t>
  </si>
  <si>
    <t>LNCT04137250</t>
  </si>
  <si>
    <t>https://clinicaltrials.gov/study/NCT04137250</t>
  </si>
  <si>
    <t>https://www.embase.com/search/results?subaction=viewrecord&amp;id=LNCT04137250&amp;from=export</t>
  </si>
  <si>
    <t>A prospective randomized control trial of arthroscopic surgery for stable ramp lesion of the medial meniscus</t>
  </si>
  <si>
    <t>Liu X., Feng H., Hong L., Zhang H.</t>
  </si>
  <si>
    <t>(Liu X.) Department of Sports Medicine Service, Beijing Jishuitan Hospital, Beijing, China. , (Feng H.; Hong L.; Zhang H.)</t>
  </si>
  <si>
    <t>Zhonghua wai ke za zhi [Chinese journal of surgery] (2017) 55:3 (161-165). Date of Publication: 1 Mar 2017</t>
  </si>
  <si>
    <t>Zhonghua wai ke za zhi [Chinese journal of surgery]</t>
  </si>
  <si>
    <t>0529-5815</t>
  </si>
  <si>
    <t>Objective: To evaluate the necessity of arthroscopic suture repair for the stable ramp lesion. Methods: From August 2008 to April 2012, 91 patients of consecutive cases were diagnosed as anterior cruciate ligament (ACL) injury associated with stable ramp lesion in Department of Sports Medicine Service of Beijing Jishuitan Hospital. All of the diagnosis was confirmed during arthroscopic surgeries. The patients were randomized into suture repair group and control group. The ACL was reconstructed using auto grafts of hamstring. MRI was used for evaluation of the healing of the ramp lesion during the follow-up period. The stability of the knee joint was evaluated using KT-1000 device. The clinical functional outcomes were analyzed with Lysholm and International Knee Documentation Committee(IKDC) score. t test and Ï‡(2) test were used to analyze the data, respectively. Results: There were 73 patients (80%) were available for final follow-up. The follow-up period was 24 to 72 months (mean (38.9Â±16.1) months). The suture repair group included 40 patients, while the control group included 33 patients. There were no statistically difference in age(t=0.458, P&gt;0.05), gender(Ï‡(2)=0.222, P&gt;0.05), time interval from injury(t=0.643, P&gt;0.05) and associated injuries(Ï‡(2)=0.658, P&gt;0.05). At the final follow-up, the healing rate of ramp lesion in suture repair group was 97.5% (95% of complete healed, 2.5% of partial healed, and 2.5% of non-healed), in control group the healing rate was 93.9% (87.8% of complete healed, 6.1% of partial healed, and 6.1% of non healed), there were no significant differences between the two groups (Ï‡(2)=0.446, P&gt;0.05). There was no statistically significant difference of postoperative knee stability (t=-0.510, P&gt;0.05). The healing status of ramp area from MRI evaluation had statistically significant correlation with the ACL stability (Ï‡(2)=11.919, P&lt;0.01). For the analysis of postoperative Lysholm scores and IKDC scores, there was no significant difference between the two groups (t=-0.166, P&gt;0.05; t=0.032, P&gt;0.05). Conclusions: Stable ramp lesion could be well healed after arthroscopic treatment of all-inside suture repair as well as refreshment only. For patients with ACL injury and stable ramp lesion, there was no significant difference between the results of MRI evaluation in the early postoperative stage.The postoperative healing status of ramp area had statistically significant correlation with the stability of knee joint.</t>
  </si>
  <si>
    <t>L637574085</t>
  </si>
  <si>
    <t>http://dx.doi.org/10.3760/cma.j.issn.0529-5815.2017.03.001</t>
  </si>
  <si>
    <t>https://www.embase.com/search/results?subaction=viewrecord&amp;id=L637574085&amp;from=export</t>
  </si>
  <si>
    <t>https://catalyst.library.jhu.edu/openurl/01JHU_INST/01JHU_INST:JHU?sid=EMBASE&amp;sid=EMBASE&amp;issn=05295815&amp;id=doi:10.3760%2Fcma.j.issn.0529-5815.2017.03.001&amp;atitle=A+prospective+randomized+control+trial+of+arthroscopic+surgery+for+stable+ramp+lesion+of+the+medial+meniscus&amp;stitle=Zhonghua+Wai+Ke+Za+Zhi&amp;title=Zhonghua+wai+ke+za+zhi+%5BChinese+journal+of+surgery%5D&amp;volume=55&amp;issue=3&amp;spage=161&amp;epage=165&amp;aulast=Liu&amp;aufirst=X.&amp;auinit=X.&amp;aufull=Liu+X.&amp;coden=&amp;isbn=&amp;pages=161-165&amp;date=2017&amp;auinit1=X&amp;auinitm=</t>
  </si>
  <si>
    <t>Graft Selection in Anatomic Anterior Cruciate Ligament Reconstruction: Patella, Hamstrings or Quadriceps Tendon Autograft</t>
  </si>
  <si>
    <t>clinicaltrials.gov (2017). Date of Publication: 23 Feb 2017</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</si>
  <si>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discontinuÃ¯ty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discontinuÃ¯ty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discontinuÃ¯ty of the graft on MRl or arthroscopy. Secondary objectives: patiÃ«nt reported outcome measures (PROMs), clinimetrics, radiological assessment, duration of rehabilitation necessary for return to sports and daily activities and the level of sport activities to which the patiÃ«nt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</si>
  <si>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LNCT03073083</t>
  </si>
  <si>
    <t>https://clinicaltrials.gov/study/NCT03073083</t>
  </si>
  <si>
    <t>https://www.embase.com/search/results?subaction=viewrecord&amp;id=LNCT03073083&amp;from=export</t>
  </si>
  <si>
    <t>What is the Functional Status of Anterior Cruciate Ligament Reconstruction (ACLR) Patients at Discharge From Rehabilitation</t>
  </si>
  <si>
    <t>clinicaltrials.gov (2017). Date of Publication: 31 Jan 2017</t>
  </si>
  <si>
    <t>Brief SummaryObjectives: 1. To examine the ability of ACLR patients at discharge from rehabilitation to perform a single-hop for distance. 2. To examine isometric muscle strength of ACLR patients at discharge from rehabilitation. 3. To examine ACLR patients' self-reported knee function at discharge from rehabilitation 4. To assess the psychological factors for ACLR patients at discharge from rehabilitation. 5. To correlate single-hop for distance with self-reported knee function, strength and psychological factors for ACLR patients at discharge from rehabilitation to discover whether any of these factors can predict the others.Detailed DescriptionAims: 1) To investigate subjective measures, objective measures, functional performance and psychological factors for ACLR patients at discharge from rehabilitation. Hypothesis: 1-a There will be no differences between ACLR patients at discharge from rehabilitation, and return to sport criteria leg symmetry index (LSI â‰¥ 85%), in functional performance for single-hop for distance tests 1-b There will be no differences between ACLR patients at discharge from rehabilitation, and return to sport criteria leg symmetry index (LSI â‰¥ 85%), in objective measures of quadriceps and hamstring isometric muscle strength tests. 1-c There will be no differences between ACLR patients at discharge from rehabilitation, and return to sport criteria (LSI â‰¥ 85%) in subjective measures of self-reported knee function (KOOS) and (IKDC) 1-d There will be no differences in psychological factors for the anterior cruciate ligament return to sport after injury scale (ACL-RSI) between ACLR patients at discharge from rehabilitation and the cut-off score for return to sport (score Ëƒ 63). 1-e There will be no differences in the psychological factors for the Tampa scale of kinesiophobia between ACLR patients at discharge from rehabilitation and the cut-off score of fear of movement (score â‰¤ 37). 2) To investigate the relationship between self-reported knee function, isometric muscles strength, single-hop test and psychological factors post ACL reconstruction. Hypothesis: 2-a There will be a correlation between self-reported knee function and isometric muscles strength in ACLR patients at discharge from rehabilitation. 2-b There will be a correlation between self-reported knee function and single-hop test in ACLR patients at discharge from rehabilitation. 2-c There will be a correlation between self-reported knee function and psychological factors in ACLR patients at discharge from rehabilitation. 2-d There will be a correlation between isometric muscles strength and single-hop test in ACLR patients at discharge from rehabilitation. 2-e There will be a correlation between isometric muscles strength and psychological factors in ACLR patients at discharge from rehabilitation. 2-f There will be a correlation between single-hop test and psychological factors in ACLR patients at discharge from rehabilitation. Study Procedure After the participants confirm that they are interested in the study, they will be seen again at the rehabilitation class during their regular hospital appointment. During the participants' last visit to the rehabilitation department, they will be briefed again about the study, and if they agree to partake, they will be asked to sign the consent form. Self-reported knee function The participants will be asked to complete the Knee injury and Osteoarthritis Outcome Score (KOOS) questionnaire on symptoms, stiffness, pain, function daily living, function sport sand recreational activities and quality of life, and The International Knee Documentation Committee subjective knee form (IKDC) questionnaire, which assesses symptoms, function, and sports activity. Psychological factors The participants will be asked to complete The Tampa Scale for Kinesiophobia (fear of movement) (TSK) which is a questionnaire that assesses pain related fear of movement followed by the Anterior Cruciate ligament Return to Sport after Injury (ACL-RSI) scales, which is a questionnaire that measures athletes' emotions, confidence in performance, and risk appraisal concerning to returning to sport following an ACL injury. A demographics form (age, height and weight) will also be completed. Isometric muscle strength To gather isometric muscle strength data on each participant, data on isometric muscle strength for both legs will be obtained using two different tests for knee extensors and knee flexors muscles, using a hand-held dynamometer (HHD). The participants will be asked to wear sports clothing. The strength of both lower limbs of the participants will be assessed using the HHD, with peak force measured throughout five seconds of muscle contraction. Quadriceps muscles will be measured by first requesting the participants sit on the edge of the treatment bed with their knees 90 degrees flexion and both feet off the ground. The participants will then be asked to apply maximum force in extending the knee joint against the HHD device, which will be fixed using a belt and placed in front of the leg proximal to the ankle joint. They will be asked to do so for five seconds, and to repeat three times with 30 seconds of rest in between. The maximum peak force will be recorded throughout the three trials. To measure hamstring muscles, participants will be instructed to sit on the edge of the treatment bed with 90 degrees' flexion in the knee with both feet off the ground. Then, participants will be instructed to apply maximum force to flex knee joint against the immovable HHD device that will be fixed with a belt and placed at the back of the leg proximal to the ankle joint. They will be asked to so for five seconds, and this will be repeated three times with 30 seconds of rest in between. Maximum peak force will be recorded throughout the three trials. Functional tasks Participants will be requested to perform a single-leg hop for distance, and this will be assessed using a standard metric tape measure. A 3m strip of tape will be placed on the floor, with the start line labelled using a 0.3m strip of tape placed perpendicular to the 3m strip of tape. The participants will be performed three practice trials for the hop test. After finishing the practice trials, four test trials will be asked to perform a single leg hop for distance as described by (Bolgla and Keskula, 1997). Attempts will be classified as successful provided the participant hops and lands with full stability on one leg for three seconds. The participants will be required to achieve four maximum hop attempts with complete stabilisation after landing for three seconds. Attempts will be deemed unsuccessful if the participant hops and touches the ground with their other leg during landing, or if they fail to hop within the limited marked distance; any failed hops will be counted and noted, but not processed. The participant's leg length will be measured while they are lying in a supine position before the first test using a standard tape measure to measure from the anterior superior iliac spine (ASIS) to the distal tip of the medial malleolus. Leg length will be used during data analysis to normalise excursion distances. The participants will begin with their toe on the starting line, standing on one leg, before hopping as far as they can horizontally and landing on the same leg, and the distance hopped will be recorded. The hop data will be normalised to limb length by dividing the distance covered by the participant's leg length and then multiplying by 100, resulting in a percentage value. After completing the test, the participants will be asked to repeat the procedure with the other leg.</t>
  </si>
  <si>
    <t>LNCT03047187</t>
  </si>
  <si>
    <t>https://clinicaltrials.gov/study/NCT03047187</t>
  </si>
  <si>
    <t>https://www.embase.com/search/results?subaction=viewrecord&amp;id=LNCT03047187&amp;from=export</t>
  </si>
  <si>
    <t>Rose M.B., Domes C., Farooqi M., Crawford D.C.</t>
  </si>
  <si>
    <t>(Rose M.B.; Domes C.; Farooqi M.; Crawford D.C., crawfden@ohsu.edu) Department of Orthopedic Surgery and Rehabilitation, Oregon Health and Science University, 3181 S.W. Sam Jackson Park Road, Portland, OR, United States.</t>
  </si>
  <si>
    <t>D.C. Crawford, 3181 S.W. Sam Jackson Park Road, Portland, OR, United States. Email: crawfden@ohsu.edu</t>
  </si>
  <si>
    <t>Knee (2016) 23:6 (1112-1120). Date of Publication: 1 Dec 2016</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</si>
  <si>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 = 47) or TA (n = 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 = 1.0). The relative risk of re-tear in the HT group was 1.5 compared to the TA group (p = 0.7). The TA group improved significantly more on the physical portion of the VR-12 (p = 0.046) and Lysholm score (p = 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</si>
  <si>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ClinicalTrials.gov (NCT01148784)</t>
  </si>
  <si>
    <t>L613675059</t>
  </si>
  <si>
    <t>http://dx.doi.org/10.1016/j.knee.2016.08.011</t>
  </si>
  <si>
    <t>https://www.embase.com/search/results?subaction=viewrecord&amp;id=L613675059&amp;from=export</t>
  </si>
  <si>
    <t>https://catalyst.library.jhu.edu/openurl/01JHU_INST/01JHU_INST:JHU?sid=EMBASE&amp;sid=EMBASE&amp;issn=18735800&amp;id=doi:10.1016%2Fj.knee.2016.08.011&amp;atitle=A+prospective+randomized+comparison+of+two+distinct+allogenic+tissue+constructs+for+anterior+cruciate+ligament+reconstruction&amp;stitle=Knee&amp;title=Knee&amp;volume=23&amp;issue=6&amp;spage=1112&amp;epage=1120&amp;aulast=Rose&amp;aufirst=Michael+B&amp;auinit=M.B.&amp;aufull=Rose+M.B.&amp;coden=KNEEF&amp;isbn=&amp;pages=1112-1120&amp;date=2016&amp;auinit1=M&amp;auinitm=B</t>
  </si>
  <si>
    <t>Balki S., GÃ¶ktaÅŸ H.E., Ã–ztemur Z.</t>
  </si>
  <si>
    <t>(Balki S.) Cumhuriyet University, Faculty of Health Sciences, Sivas, Turkey. Electronic address: balkipt@hotmail.com, (GÃ¶ktaÅŸ H.E.) Cumhuriyet University, Faculty of Health Sciences, Sivas, Turkey, (Ã–ztemur Z.) Cumhuriyet University, Faculty of Medicine, Sivas, Turkey</t>
  </si>
  <si>
    <t>Acta orthopaedica et traumatologica turcica (2016) 50:6 (628-634). Date of Publication: 1 Dec 2016</t>
  </si>
  <si>
    <t>Acta orthopaedica et traumatologica turcica</t>
  </si>
  <si>
    <t>1017-995X</t>
  </si>
  <si>
    <t>OBJECTIVE: In this study, we aimed on investigating the effects of Kinesio taping (KT) in acute postoperative rehabilitation phase of anterior cruciate ligament (ACL) reconstruction.METHODS: Thirty male patients (mean age: 28.1 years) with ACL reconstruction were randomly assigned to two groups: (1) an experimental group to receive a KT treatment through the muscle and lymphatic correction techniques; or (2) a control group for sham KT. Both interventions were applied twice during a 10-day period from the fourth postoperative day. All patients received the same rehabilitation program for three months. The groups were compared according to range of motion (ROM), pain, swelling and muscle strength before treatment and on the fifth and tenth treatment days. Subjective evaluations were made with the Lysholm, modified Cincinnati and Tegner scores on the first and third postoperative months.RESULTS: Intragroup comparisons showed significant improvements in both groups on the fifth and tenth day and first and third month evaluations (p &lt; 0.05). In comparison to the control group, the experimental group showed significant improvements in swelling around the patella, all pain measurements and hamstring muscle strength on the fifth KT day and knee flexion range of motion (ROM), night pain, all swelling measurements and hamstring muscle strength on the tenth KT day (p &lt; 0.05).CONCLUSION: Our results revealed that KT techniques applied in addition to the acute rehabilitation program of ACL reconstruction are beneficial in treatment of pain, swelling, knee flexion ROM, and hamstring muscle strength.LEVEL OF EVIDENCE: Level I, Therapeutic study.</t>
  </si>
  <si>
    <t>L614384878</t>
  </si>
  <si>
    <t>http://dx.doi.org/10.1016/j.aott.2016.03.005</t>
  </si>
  <si>
    <t>https://www.embase.com/search/results?subaction=viewrecord&amp;id=L614384878&amp;from=export</t>
  </si>
  <si>
    <t>https://catalyst.library.jhu.edu/openurl/01JHU_INST/01JHU_INST:JHU?sid=EMBASE&amp;sid=EMBASE&amp;issn=1017995X&amp;id=doi:10.1016%2Fj.aott.2016.03.005&amp;atitle=Kinesio+taping+as+a+treatment+method+in+the+acute+phase+of+ACL+reconstruction%3A+A+double-blind%2C+placebo-controlled+study&amp;stitle=Acta+Orthop+Traumatol+Turc&amp;title=Acta+orthopaedica+et+traumatologica+turcica&amp;volume=50&amp;issue=6&amp;spage=628&amp;epage=634&amp;aulast=Balki&amp;aufirst=Selvin&amp;auinit=S.&amp;aufull=Balki+S.&amp;coden=&amp;isbn=&amp;pages=628-634&amp;date=2016&amp;auinit1=S&amp;auinitm=</t>
  </si>
  <si>
    <t>Can Targeted Exercise Improve Knee Strength in Patients With Persisting Hamstring Deficiency Following ACL-reconstruction? - A Randomized Controlled Trial</t>
  </si>
  <si>
    <t>clinicaltrials.gov (2016). Date of Publication: 4 Oct 2016</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</si>
  <si>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JÃ¸rgensen1, Per Aagaard2, Nis Nissen3, Mark W. Creaby4, Jonas Bloch Thorlund2, Carsten Jensen3, Trine Torfing5 and Anders Holsgaard-Larsen1 Published: Trials. 2018; 19: 75. Published online 2018 Jan 26. doi: 10.1186/s13063-018-2448-3</t>
  </si>
  <si>
    <t>LNCT02939677</t>
  </si>
  <si>
    <t>https://clinicaltrials.gov/study/NCT02939677</t>
  </si>
  <si>
    <t>https://www.embase.com/search/results?subaction=viewrecord&amp;id=LNCT02939677&amp;from=export</t>
  </si>
  <si>
    <t>Liu Y., Cui G., Yan H., Yang Y., Ao Y.</t>
  </si>
  <si>
    <t>(Liu Y.; Cui G.; Yan H.; Yang Y.; Ao Y., yingfang.ao@vip.sina.com) Institute of Sports Medicine, Peking University Third Hospital, Beijing, China</t>
  </si>
  <si>
    <t>The American journal of sports medicine (2016) 44:9 (2314-2322). Date of Publication: 1 Sep 2016</t>
  </si>
  <si>
    <t>CONCLUSION: Both SB and DB ACL reconstruction with 6- to 8-stranded HG showed satisfactory results in subjective scores and anteroposterior and rotational stability over a nearly 7-year follow-up; neither technique was superior.BACKGROUND: Whether double-bundle (DB) anterior cruciate ligament (ACL) reconstruction with 6- to 8-stranded hamstring autograft (HG) is better than single-bundle (SB) ACL reconstruction remains debatable, as long-term follow-up data are lacking.PURPOSE: To prospectively investigate and compare the long-term results of DB and SB ACL reconstruction with a 6- to 8-stranded HG.STUDY DESIGN: Randomized controlled clinical trial;1.METHODS: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data.RESULTS: A total of 68 patients (DB group, 34; SB group, 34) were observed for a mean of 80 months (range, 74-86 months). There were 2 traumatic instability failures and two 5Â° extension restrictions in the DB group, while no failures or 5Â°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t>
  </si>
  <si>
    <t>L618335889</t>
  </si>
  <si>
    <t>http://dx.doi.org/10.1177/0363546516650876</t>
  </si>
  <si>
    <t>https://www.embase.com/search/results?subaction=viewrecord&amp;id=L618335889&amp;from=export</t>
  </si>
  <si>
    <t>https://catalyst.library.jhu.edu/openurl/01JHU_INST/01JHU_INST:JHU?sid=EMBASE&amp;sid=EMBASE&amp;issn=15523365&amp;id=doi:10.1177%2F0363546516650876&amp;atitle=Comparison+Between+Single-+and+Double-Bundle+Anterior+Cruciate+Ligament+Reconstruction+With+6-+to+8-Stranded+Hamstring+Autograft%3A+A+Prospective%2C+Randomized+Clinical+Trial&amp;stitle=Am+J+Sports+Med&amp;title=The+American+journal+of+sports+medicine&amp;volume=44&amp;issue=9&amp;spage=2314&amp;epage=2322&amp;aulast=Liu&amp;aufirst=Yulei&amp;auinit=Y.&amp;aufull=Liu+Y.&amp;coden=&amp;isbn=&amp;pages=2314-2322&amp;date=2016&amp;auinit1=Y&amp;auinitm=</t>
  </si>
  <si>
    <t>Joshi A., Kayasth N., Shrestha S., Kc B.R.</t>
  </si>
  <si>
    <t>(Joshi A.; Kayasth N.; Kc B.R.) Shree Birendra Hospital, Nepalese Army Institute of Health Sciences, Chhauni, Kathmandu, Nepal, (Shrestha S.) Armed Police Force Hospital, Kathmandu, Nepal</t>
  </si>
  <si>
    <t>Journal of Nepal Health Research Council (2016) 14:34 (180-185). Date of Publication: 1 Sep 2016</t>
  </si>
  <si>
    <t>Journal of Nepal Health Research Council</t>
  </si>
  <si>
    <t>1999-6217 (electronic)</t>
  </si>
  <si>
    <t>BACKGROUND: Autologous hamstring grafts are commonly used for anterior cruciate ligament reconstruction. The injury of infrapatellar branch of saphenous nerve is one of the concerns leading to various pattern of sensory loss in the operated leg. An oblique incision to harvest the graft has been reported to be better than the vertical one.The aim of this study was to compare the incidence, recovery of nerve injury and final outcome in patients with hamstring harvest of vertical or oblique incision.METHODS: A total of 146 patients who underwent hamstring graft harvest for anterior cruciate ligament reconstruction, were included in the study. They were randomized into two (Vertical and Oblique) groups as per the incisions used. The sensory loss along the Infra Patellar Branch of Saphenous Nerve was documented on 3rd day. Recovery of the nerve injury was monitoredat three, six and 12 months follow-ups. At final follow up Tegner Lysholm score and scale was recorded to compare between two groups.RESULTS: The incidence of infrapatellar branch of saphenous nerve injury was 25% in vertical group and 16.36% in oblique group. Recovery of nerve injury started earlier in oblique group compared to vertical group. The mean TegnerLyshom score was not significantly different in both the groups.CONCLUSIONS: Oblique incision to harvest hamstring graft has lesser incidence of infrapatellar branch of saphenous nerve injury, recovers earlier and does not have any adverse effect on final outcome compared to the vertical incision.</t>
  </si>
  <si>
    <t>L618739702</t>
  </si>
  <si>
    <t>https://www.embase.com/search/results?subaction=viewrecord&amp;id=L618739702&amp;from=export</t>
  </si>
  <si>
    <t>https://catalyst.library.jhu.edu/openurl/01JHU_INST/01JHU_INST:JHU?sid=EMBASE&amp;sid=EMBASE&amp;issn=19996217&amp;id=doi:&amp;atitle=Infra+Patellar+Branch+of+Saphenous+Nerve+Injury+during+Hamstring+Graft%C2%A0Harvest%3A+Vertical+versus+Oblique+Incisions&amp;stitle=J+Nepal+Health+Res+Counc&amp;title=Journal+of+Nepal+Health+Research+Council&amp;volume=14&amp;issue=34&amp;spage=180&amp;epage=185&amp;aulast=Joshi&amp;aufirst=A.&amp;auinit=A.&amp;aufull=Joshi+A.&amp;coden=&amp;isbn=&amp;pages=180-185&amp;date=2016&amp;auinit1=A&amp;auinitm=</t>
  </si>
  <si>
    <t>Ruffilli A., Pagliazzi G., Ferranti E., Busacca M., Capannelli D., Buda R.</t>
  </si>
  <si>
    <t>(Ruffilli A., aruffilli@tiscali.it; Pagliazzi G., gherardo.pagliazzi@gmail.com; Ferranti E., en_ferra@hotmail.it; Buda R., roberto.buda@ior.it) I Clinic, Rizzoli Orthopaedic Institute, Bologna University, Via Giulio Cesare Pupilli 1, Bologna, Italy. , (Busacca M., maurizio.busacca@ior.it; Capannelli D., diana.capannelli@yahoo.it) Service of Ecography and Radiology, Rizzoli Orthopaedic Institute, Via Giulio Cesare Pupilli 1, Bologna, Italy.</t>
  </si>
  <si>
    <t>G. Pagliazzi, I Clinic, Rizzoli Orthopaedic Institute, Bologna University, Via Giulio Cesare Pupilli 1, Bologna, Italy. Email: gherardo.pagliazzi@gmail.com</t>
  </si>
  <si>
    <t>European Journal of Orthopaedic Surgery and Traumatology (2016) 26:6 (657-664). Date of Publication: 1 Aug 2016</t>
  </si>
  <si>
    <t>Springer-Verlag France, 22, Rue de Palestro, Paris, France. york@springer-paris.fr</t>
  </si>
  <si>
    <t>Background: Anterior cruciate ligament (ACL) reconstruction with hamstring graft (HG) is a commonly performed procedure. Despite the type of reconstruction chosen, the detached HG undergoes a remodeling process known as ligamentization. In order to shorten the ligamentization process, the maintenance of HG tibial insertion, aimed to spare the tendons vascular supply, has been postulated. The aim of this paper is to report the results of a prospective randomized study comparing clinical and MRI results between two different ACL reconstructive procedures with and without HG tibial insertion preservation. Methods: Forty patients (mean age 27.5 Â± 9.5 years) were enrolled and randomly divided into two groups. The study group underwent an ACL reconstruction using a distally inserted HG, while the control group underwent a technique encompassing HG tibial detachment. Subjective and objective IKDC score was administered preoperatively and at 3-, 6-, 12- and 24-month follow-up. Graft morphology was assessed through MRI evaluation performed at 6-month follow-up. Results: Clinical results were excellent in both groups. Regarding MRI results, a better intra-articular graft morphology was observed in the study group (Tau = 0.313, p = 0.024). No differences in graft integration were noticed. Conclusion: The main finding of this preliminary study is that preservation of the hamstring tibial insertion seems to enhance graft ligamentization with improved morphology of the intra-articular portion of the graft compared to a detachment of the hamstring tendons from the tibial side. Further well-designed studies with higher number of patients as well as more serial MRI evaluations are required to validate these preliminary findings.</t>
  </si>
  <si>
    <t>L611200889</t>
  </si>
  <si>
    <t>http://dx.doi.org/10.1007/s00590-016-1812-9</t>
  </si>
  <si>
    <t>https://www.embase.com/search/results?subaction=viewrecord&amp;id=L611200889&amp;from=export</t>
  </si>
  <si>
    <t>https://catalyst.library.jhu.edu/openurl/01JHU_INST/01JHU_INST:JHU?sid=EMBASE&amp;sid=EMBASE&amp;issn=14321068&amp;id=doi:10.1007%2Fs00590-016-1812-9&amp;atitle=Hamstring+graft+tibial+insertion+preservation+versus+detachment+in+anterior+cruciate+ligament+reconstruction%3A+a+prospective+randomized+comparative+study&amp;stitle=Eur.+J.+Orthop.+Surg.+Traumatol.&amp;title=European+Journal+of+Orthopaedic+Surgery+and+Traumatology&amp;volume=26&amp;issue=6&amp;spage=657&amp;epage=664&amp;aulast=Ruffilli&amp;aufirst=Alberto&amp;auinit=A.&amp;aufull=Ruffilli+A.&amp;coden=EJOTF&amp;isbn=&amp;pages=657-664&amp;date=2016&amp;auinit1=A&amp;auinitm=</t>
  </si>
  <si>
    <t>Grunau P.D., Arneja S., Leith J.M.</t>
  </si>
  <si>
    <t>(Grunau P.D., pdgrunau@gmail.com; Arneja S.; Leith J.M.) Department of Orthopaedics, University of British Columbia, Vancouver, British Columbia, Canada</t>
  </si>
  <si>
    <t>The American journal of sports medicine (2016) 44:6 (1482-1486). Date of Publication: 1 Jun 2016</t>
  </si>
  <si>
    <t>BACKGROUND: Soft tissue grafts are commonly used in surgical reconstruction of the anterior cruciate ligament (ACL). Applying the appropriate tension to the final graft reconstruction has traditionally been performed by the surgeon and is based on the surgeon's experience and perception of applied tension. Problems with manual application of tension to the ACL reconstruction include under- or overtightening the reconstruction, inconsistent tension application among subjects, and variable load application to each strand.PURPOSE: To assess whether measured tensioning of hamstring ACL grafts during fixation improves clinical outcome or knee laxity postoperatively when compared with conventional tensioning maneuvers.STUDY DESIGN: Randomized controlled trial; Level of evidence, 1.METHODS: This was a prospective randomized controlled trial of consecutive primary ACL patients. The device group included patients in whom a measured tensioning device was used for graft tensioning (80 N), and the physician group did not use a tensioning device. The primary outcome was KT-1000 arthrometer side-to-side laxity differences between knees at 6, 12, and 18 months postoperatively. Secondary outcomes included the International Knee Documentation Committee (IKDC) Subjective Knee Evaluation Form and Anterior Cruciate Ligament Quality of Life Questionnaire (ACL-QoL) at those intervals. Chi-square and t tests were used for analysis. The study had 90% power to detect a difference of 2 mm between groups.RESULTS: A sample of 127 patients was randomized. Of those, 14 did not have follow-up data and were excluded from this analysis, resulting in a final sample of 113 (55 patients in the device group and 58 in the physician group). No significant differences were found in baseline demographics or comorbidities. There were no significant differences between the groups (physician vs device) at baseline and at 6, 12, and 18 months in side-to-side laxity (4.6 vs 4.7 mm, 1.6 vs 1.3 mm, 1.5 vs 1.3 mm, and 1.1 vs 1.0 mm, respectively), IKDC score (58.2 vs 56.4, 72.0 vs 67.9, 79.9 vs 76.0, and 81.3 vs 78.5, respectively), or ACL-QoL score (998.2 vs 901.2, 1846.4 vs 1647.5, 2150.4 vs 2268.3, and 2436.9 vs 2231.8, respectively).CONCLUSION: Measured tensioning of hamstring ACL grafts during fixation does not improve clinical outcome or knee laxity postoperatively when compared with conventional tensioning maneuvers.</t>
  </si>
  <si>
    <t>L618702602</t>
  </si>
  <si>
    <t>http://dx.doi.org/10.1177/0363546516634021</t>
  </si>
  <si>
    <t>https://www.embase.com/search/results?subaction=viewrecord&amp;id=L618702602&amp;from=export</t>
  </si>
  <si>
    <t>https://catalyst.library.jhu.edu/openurl/01JHU_INST/01JHU_INST:JHU?sid=EMBASE&amp;sid=EMBASE&amp;issn=15523365&amp;id=doi:10.1177%2F0363546516634021&amp;atitle=A+Randomized+Clinical+Trial+to+Assess+the+Clinical+Effectiveness+of+a+Measured+Objective+Tensioning+Device+in+Hamstring+Anterior+Cruciate+Ligament+Reconstruction&amp;stitle=Am+J+Sports+Med&amp;title=The+American+journal+of+sports+medicine&amp;volume=44&amp;issue=6&amp;spage=1482&amp;epage=1486&amp;aulast=Grunau&amp;aufirst=Peter+David&amp;auinit=P.D.&amp;aufull=Grunau+P.D.&amp;coden=&amp;isbn=&amp;pages=1482-1486&amp;date=2016&amp;auinit1=P&amp;auinitm=D</t>
  </si>
  <si>
    <t>Karikis I., Desai N., Sernert N., Rostgard-Christensen L., Kartus J.</t>
  </si>
  <si>
    <t>(Karikis I., ioannis.karikis@vgregion.se) Department of Orthopaedics, NU-Hospital Group, TrollhÃ¤ttan/Uddevalla, Sweden Institute of Clinical Sciences, The Sahlgrenska Academy, University of Gothenburg, Gothenburg, Sweden, (Desai N.) Institute of Clinical Sciences, The Sahlgrenska Academy, University of Gothenburg, Gothenburg, Sweden Department of Orthopaedics, Sahlgrenska University Hospital, MÃ¶lndal, Sweden, (Sernert N.) Institute of Clinical Sciences, The Sahlgrenska Academy, University of Gothenburg, Gothenburg, Sweden Department of Research and Development, NU-Hospital Group, TrollhÃ¤ttan, Sweden, (Rostgard-Christensen L.) Department of Radiology, LidkÃ¶ping Hospital, LidkÃ¶ping, Sweden, (Kartus J.) Department of Orthopaedics, NU-Hospital Group, TrollhÃ¤ttan/Uddevalla, Sweden Institute of Clinical Sciences, The Sahlgrenska Academy, University of Gothenburg, Gothenburg, Sweden Department of Research and Development, NU-Hospital Group, TrollhÃ¤ttan, Sweden</t>
  </si>
  <si>
    <t>The American journal of sports medicine (2016) 44:5 (1225-1236). Date of Publication: 1 May 2016</t>
  </si>
  <si>
    <t>BACKGROUND: 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study.HYPOTHESIS: Double-bundle ACL reconstruction will result in a better outcome in terms of the pivot-shift test.STUDY DESIGN: Randomized controlled trial; Level of evidence, 1.METHODS: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AhlbÃ¤ck, Kellgren-Lawrence, and Fairbank grading systems at 6 weeks postoperatively and at the final follow-up evaluation.RESULTS: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scales.CONCLUSION: At the 5-year follow-up of an unselected group of patients, anatomic DB reconstruction was not superior to anatomic SB reconstruction in terms of the pivot-shift test.</t>
  </si>
  <si>
    <t>L618829414</t>
  </si>
  <si>
    <t>http://dx.doi.org/10.1177/0363546515626543</t>
  </si>
  <si>
    <t>https://www.embase.com/search/results?subaction=viewrecord&amp;id=L618829414&amp;from=export</t>
  </si>
  <si>
    <t>https://catalyst.library.jhu.edu/openurl/01JHU_INST/01JHU_INST:JHU?sid=EMBASE&amp;sid=EMBASE&amp;issn=15523365&amp;id=doi:10.1177%2F0363546515626543&amp;atitle=Comparison+of+Anatomic+Double-+and+Single-Bundle+Techniques+for+Anterior+Cruciate+Ligament+Reconstruction+Using+Hamstring+Tendon+Autografts%3A+A+Prospective+Randomized+Study+With+5-Year+Clinical+and+Radiographic+Follow-up&amp;stitle=Am+J+Sports+Med&amp;title=The+American+journal+of+sports+medicine&amp;volume=44&amp;issue=5&amp;spage=1225&amp;epage=1236&amp;aulast=Karikis&amp;aufirst=Ioannis&amp;auinit=I.&amp;aufull=Karikis+I.&amp;coden=&amp;isbn=&amp;pages=1225-1236&amp;date=2016&amp;auinit1=I&amp;auinitm=</t>
  </si>
  <si>
    <t>Single-bundle versus double-bundle anterior cruciate ligament reconstruction: A comparative 2-year follow-up</t>
  </si>
  <si>
    <t>Mayr H.O., Benecke P., Hoell A., Schmitt-Sody M., Bernstein A., Suedkamp N.P., Stoehr A.</t>
  </si>
  <si>
    <t>(Mayr H.O., hermann.mayr@uniklinik-freiburg.de; Bernstein A.; Suedkamp N.P.) Department of Orthopedic and Trauma Surgery, Albert Ludwig University of Freiburg, Hugstetter Strasse 55, Freiburg, Germany. , (Benecke P.) Albert Ludwig University of Freiburg, Freiburg, Germany. , (Hoell A.; Schmitt-Sody M.) Ludwig Maximilian University of Munich, Munich, Germany. , (Stoehr A.) OCM-Clinic Munich, Munich, Germany.</t>
  </si>
  <si>
    <t>H.O. Mayr, Department of Orthopedic and Trauma Surgery, Albert Ludwig University of Freiburg, Hugstetter Strasse 55, Freiburg, Germany. Email: hermann.mayr@uniklinik-freiburg.de</t>
  </si>
  <si>
    <t>Arthroscopy - Journal of Arthroscopic and Related Surgery (2016) 32:1 (34-42). Date of Publication: 2016</t>
  </si>
  <si>
    <t>Purpose To compare anatomic single-bundle (SB) versus double-bundle (DB) anterior cruciate ligament (ACL) reconstruction and to determine possible differences in clinical outcomes. Methods In this prospective randomized study, 64 patients were divided into 2 equal groups. Anatomic SB and DB ACL reconstructions were performed using hamstring tendons. A follow-up examination 2 years after surgery comprised International Knee Documentation Committee (IKDC) 2000 assessment, Laxitester (ORTEMA Sport Protection, MarkgrÃ¶ningen, Germany) measurement of anteroposterior translation regarding rotational stability, and radiographic evaluation. Statistical analysis and power calculation were performed (P &lt;.05). Results We examined 62 patients at a mean of 26 months (range, 23.3 to 32.7 months) after surgery. IKDC subjective and objective scores showed no significant differences when both groups were compared. The Laxitester measurements showed no significant differences regarding anteroposterior translation in the neutral position, internal rotation, and external rotation. However, there was a significant improvement in rotational laxity in external rotation in the DB group (P =.02). No differences were seen between the groups regarding osteoarthritic changes and tunnel widening. Conclusions There were no differences in IKDC subjective and objective scores between patients who underwent anatomic SB ACL reconstruction and those who underwent anatomic DB ACL reconstruction. Level of Evidence Level I, prospective, randomized controlled clinical trial.</t>
  </si>
  <si>
    <t>L605792839</t>
  </si>
  <si>
    <t>http://dx.doi.org/10.1016/j.arthro.2015.06.029</t>
  </si>
  <si>
    <t>https://www.embase.com/search/results?subaction=viewrecord&amp;id=L605792839&amp;from=export</t>
  </si>
  <si>
    <t>https://catalyst.library.jhu.edu/openurl/01JHU_INST/01JHU_INST:JHU?sid=EMBASE&amp;sid=EMBASE&amp;issn=15263231&amp;id=doi:10.1016%2Fj.arthro.2015.06.029&amp;atitle=Single-bundle+versus+double-bundle+anterior+cruciate+ligament+reconstruction%3A+A+comparative+2-year+follow-up&amp;stitle=Arthroscopy+J.+Arthroscopic+Relat.+Surg.&amp;title=Arthroscopy+-+Journal+of+Arthroscopic+and+Related+Surgery&amp;volume=32&amp;issue=1&amp;spage=34&amp;epage=42&amp;aulast=Mayr&amp;aufirst=Hermann+O.&amp;auinit=H.O.&amp;aufull=Mayr+H.O.&amp;coden=ARTHE&amp;isbn=&amp;pages=34-42&amp;date=2016&amp;auinit1=H&amp;auinitm=O</t>
  </si>
  <si>
    <t>Reconstruction of the anterior cruciate ligament by allogeneic tendon graft: Clinical curative effect and immune rejection</t>
  </si>
  <si>
    <t>Tu Z.S., Liang L.X., Xing J.S.</t>
  </si>
  <si>
    <t>(Tu Z.S.; Liang L.X.; Xing J.S.) Department of Orthopedics, Foshan Hospital of TCM, Foshan, Guangdong Province, China.</t>
  </si>
  <si>
    <t>Chinese Journal of Tissue Engineering Research (2016) 20:15 (2190-2196). Date of Publication: 2016</t>
  </si>
  <si>
    <t>Chinese Journal of Tissue Engineering Research</t>
  </si>
  <si>
    <t>1673-8225</t>
  </si>
  <si>
    <t>Journal of Clinical Rehabilitative Tissue Engineering Research, lei_0415@hotmail.com</t>
  </si>
  <si>
    <t>BACKGROUND: Problems can occur at the donor site where the autologous tendon graft is taken. Allogenic tissue has become an important graft option for the reconstruction of the anterior cruciate ligament. OBJECTIVE: To study the clinical curative effect and immune rejection of arthroscopic reconstruction of the anterior cruciate ligament by allogeneic tendon graft. METHODS: The 120 included patients with anterior cruciate ligament injury were randomized into autologous tendon graft and allogeneic tendon graft groups, respectively, with 60 patients in each group. The autologous semitendinosus-gracilis graft at the affected side or the allogeneic anterior cruciate ligament was implanted into the knee joint in autologous tendon graft group or allogeneic tendon graft group, respectively. Lachman test results, Lysholm and Larson scores of joint function, and postoperative immune rejection were observed and assessed during 2-year follow-up. RESULTS AND CONCLUSION: Lysholm and Larson scores in autologous tendon graft and allogeneic tendon graft groups were significantly increased after the reconstruction compared with before the reconstruction; however, there was no difference in the scores between both two groups at 2 years after the reconstruction (P &gt; 0.05). At the end of the follow-up, the normal function of the knee joint was restored, and no lag and flexion constraint of the knee joint were observed. No significant differences were observed in Lachman test results between both groups (P &gt; 0.05). Compared with the autologous tendon graft group, immune rejection rates were higher in the allogeneic tendon graft group; however, no significant differences were observed between both groups (P &gt; 0.05). In summary, the allogeneic tendon graft may be a candidate for the reconstruction of the anterior cruciate ligament due to its similar clinical curative effect to the autologous tendon graft and low immune rejection rates.</t>
  </si>
  <si>
    <t>English, Chinese</t>
  </si>
  <si>
    <t>L617442047</t>
  </si>
  <si>
    <t>10.3969/j.issn.2095-4344.2016.15.009</t>
  </si>
  <si>
    <t>http://dx.doi.org/10.3969/j.issn.2095-4344.2016.15.009</t>
  </si>
  <si>
    <t>https://www.embase.com/search/results?subaction=viewrecord&amp;id=L617442047&amp;from=export</t>
  </si>
  <si>
    <t>https://catalyst.library.jhu.edu/openurl/01JHU_INST/01JHU_INST:JHU?sid=EMBASE&amp;sid=EMBASE&amp;issn=16738225&amp;id=doi:10.3969%2Fj.issn.2095-4344.2016.15.009&amp;atitle=Reconstruction+of+the+anterior+cruciate+ligament+by+allogeneic+tendon+graft%3A+Clinical+curative+effect+and+immune+rejection&amp;stitle=Chin.+J.+Tissue+Eng.+Res.&amp;title=Chinese+Journal+of+Tissue+Engineering+Research&amp;volume=20&amp;issue=15&amp;spage=2190&amp;epage=2196&amp;aulast=Tu&amp;aufirst=Ze-Song&amp;auinit=Z.S.&amp;aufull=Tu+Z.S.&amp;coden=&amp;isbn=&amp;pages=2190-2196&amp;date=2016&amp;auinit1=Z&amp;auinitm=S</t>
  </si>
  <si>
    <t>MRI Study of Ballooning and Ligamentisation Short Transplants ACL Hamstring According to Technical DT4</t>
  </si>
  <si>
    <t>clinicaltrials.gov (2015). Date of Publication: 7 Dec 2015</t>
  </si>
  <si>
    <t>Brief SummaryMRI study of ballooning and ligamentisation short transplants of anterior cruciate ligament (ACL) according to DT4 technique in 60 patients with more than one year of follow up.Detailed DescriptionMonocentric study in the CHRU Lille in which the first goal is to estimate the frequency of tunnel's ballooning in a surgical anterior cruciate ligament reconstruction using short transplants of hamstrings. the secondary goals Secondary goals of this study are the estimation of ligamentisation if ballooning or not, the comparison of sagittal laximetry between "ballooned" group and "not ballooned"one, the clinical results in IKDC score (International Knee Documentation Committee subjective fee form) and KOOS (Knee injury Osteoarthritis Outcome Score) between the "ballooned" group and the "not ballooned"one.</t>
  </si>
  <si>
    <t>LNCT02626975</t>
  </si>
  <si>
    <t>https://clinicaltrials.gov/study/NCT02626975</t>
  </si>
  <si>
    <t>https://www.embase.com/search/results?subaction=viewrecord&amp;id=LNCT02626975&amp;from=export</t>
  </si>
  <si>
    <t>LindstrÃ¶m M., Wredmark T., Wretling M.-L., Henriksson M., FellÃ¤nder-Tsai L.</t>
  </si>
  <si>
    <t>(LindstrÃ¶m M., Maria.C.Lindstrom@ki.se; Wredmark T.; FellÃ¤nder-Tsai L.) Department of Clinical Science, Intervention and Technology, Division of Orthopedics, Karolinska Institutet, Stockholm, Sweden. , (Henriksson M.) Department of Clinical Sciences, Danderyd Hospital, Karolinska Institutet, Stockholm, Sweden. , (Wretling M.-L.) Department of Clinical Science, Intervention and Technology, Division of Medical Imaging and Technology, Karolinska Institutet, Stockholm, Sweden. , (Wretling M.-L.) Department of Radiology, Karolinska University Hopsital at Huddinge, Stockholm, Sweden.</t>
  </si>
  <si>
    <t>M. LindstrÃ¶m, Department of Clinical Science, Intervention and Technology (CLINTEC) K 54, Karolinska Institutet, Huddinge, Stockholm, Sweden. Email: Maria.C.Lindstrom@ki.se</t>
  </si>
  <si>
    <t>Knee (2015) 22:6 (559-564). Date of Publication: 1 Dec 2015</t>
  </si>
  <si>
    <t>Elsevier</t>
  </si>
  <si>
    <t>Background: It is unclear what factors contribute to knee joint effusion after anterior cruciate ligament (ACL) injury and reconstruction. Knee homeostasis after injury and surgery is crucial for rehabilitation and knee well-being. We examined if effusion was affected by post-operative bracing, and if patients with effusion fit into a common profile. Methods: Patients were randomized to wearing or not wearing a post-operative brace for three weeks after ACL reconstruction with semitendinosus-gracilis tendons. Knee joint effusion was detected by computed tomography in 60 patients (22 women), before and three and 12 months after surgery. Joint effusion, clinical and subjective tests were analyzed. Results: This is the first prospective, randomized study on post-operative bracing for patients with a semitendinosus-gracilis graft showed that bracing had no effect on three-months presence of joint effusion. Excessive joint effusion was present in 68% of the patients three months after surgery and was associated to prior meniscus injury (p = 0.05) and higher prior Tegner activity level (p = 0.006). We found a positive association between longer time from injury to surgery and joint effusion three months post-operatively (rho = 0.29, p &lt; 0.05). Twelve months post-operatively, joint effusion had diminished to baseline levels. Subjective scores and activity levels were lower for women. Three-months joint effusion predicted lower final outcome scores in women. Conclusion: Prior meniscus injury and pre-injury Tegner activity levels are predictive significant variables for excessive knee joint effusion after ACL reconstruction. Post-operative bracing had no effect. A larger clinical cohort is needed to confirm findings of this logistic regression. Level of evidence: I.</t>
  </si>
  <si>
    <t>L604712648</t>
  </si>
  <si>
    <t>http://dx.doi.org/10.1016/j.knee.2015.04.015</t>
  </si>
  <si>
    <t>https://www.embase.com/search/results?subaction=viewrecord&amp;id=L604712648&amp;from=export</t>
  </si>
  <si>
    <t>https://catalyst.library.jhu.edu/openurl/01JHU_INST/01JHU_INST:JHU?sid=EMBASE&amp;sid=EMBASE&amp;issn=18735800&amp;id=doi:10.1016%2Fj.knee.2015.04.015&amp;atitle=Post-operative+bracing+after+ACL+reconstruction+has+no+effect+on+knee+joint+effusion.+A+prospective%2C+randomized+study&amp;stitle=Knee&amp;title=Knee&amp;volume=22&amp;issue=6&amp;spage=559&amp;epage=564&amp;aulast=Lindstr%C3%B6m&amp;aufirst=Maria&amp;auinit=M.&amp;aufull=Lindstr%C3%B6m+M.&amp;coden=KNEEF&amp;isbn=&amp;pages=559-564&amp;date=2015&amp;auinit1=M&amp;auinitm=</t>
  </si>
  <si>
    <t>A comparison of acute and chronic anterior cruciate ligament reconstruction using LARS artificial ligaments: A randomized prospective study with a 5-year follow-up</t>
  </si>
  <si>
    <t>Chen J., Gu A., Jiang H., Zhang W., Yu X.</t>
  </si>
  <si>
    <t>(Chen J., chenjia360@hotmail.com; Gu A.; Jiang H.; Zhang W.) Orthopedic Department, The Affiliated Taizhou People's Hospital of Nantong University, Taizhou, Jiangsu, China. , (Yu X.) Department of Radiology, Huashan Hospital Affiliated to Fudan University, Shanghai, China.</t>
  </si>
  <si>
    <t>J. Chen, Orthopedic Department, The Affiliated Taizhou People's Hospital of Nantong University, Taizhou, Jiangsu, China. Email: chenjia360@hotmail.com</t>
  </si>
  <si>
    <t>Archives of Orthopaedic and Trauma Surgery (2015) 135:1 (95-102). Date of Publication: 9 Nov 2015</t>
  </si>
  <si>
    <t>Purpose This prospective randomized study compared acute and chronic anterior cruciate ligament (ACL) reconstruction using ligament advanced reinforcement system (LARS) artificial ligament in young active adults with a 5-year follow-up. Methods Fifty-five patients were enrolled in this study and divided into two groups based on the elapsed time between the injury and reconstruction: the acute group (3-7 weeks) and the chronic group (6-11 months). The clinical outcomes were evaluated using the Lysholm knee scoring scale, the Tegner activity rating, a KT-1000 Arthrometer, and the International Knee Documentation Committee (IKDC) scoring system. Isokinetic strength of the quadriceps and hamstring was assessed using the Biodex System 3 isokinetic dynamometer. Results Anterior laxity was decreased and quadriceps/ hamstring muscle strength was increased in the acute group compared to the chronic group (p&gt;0.05). There were no statistically significant differences in Lysholm scores, Tegner activity scores, and the IKDC evaluation form between the two groups. Conclusions These results suggest that earlier ACL reconstruction using a LARS artificial ligament may provide an advantage in the treatment and rehabilitation of ACL rupture.</t>
  </si>
  <si>
    <t>L603592357</t>
  </si>
  <si>
    <t>http://dx.doi.org/10.1007/s00402-014-2108-3</t>
  </si>
  <si>
    <t>https://www.embase.com/search/results?subaction=viewrecord&amp;id=L603592357&amp;from=export</t>
  </si>
  <si>
    <t>https://catalyst.library.jhu.edu/openurl/01JHU_INST/01JHU_INST:JHU?sid=EMBASE&amp;sid=EMBASE&amp;issn=14343916&amp;id=doi:10.1007%2Fs00402-014-2108-3&amp;atitle=A+comparison+of+acute+and+chronic+anterior+cruciate+ligament+reconstruction+using+LARS+artificial+ligaments%3A+A+randomized+prospective+study+with+a+5-year+follow-up&amp;stitle=Arch.+Orthop.+Trauma+Surg.&amp;title=Archives+of+Orthopaedic+and+Trauma+Surgery&amp;volume=135&amp;issue=1&amp;spage=95&amp;epage=102&amp;aulast=Chen&amp;aufirst=Jia&amp;auinit=J.&amp;aufull=Chen+J.&amp;coden=AOTSE&amp;isbn=&amp;pages=95-102&amp;date=2015&amp;auinit1=J&amp;auinitm=</t>
  </si>
  <si>
    <t>Arama Y., Salmon L.J., Sri-Ram K., Linklater J., Roe J.P., Pinczewski L.A.</t>
  </si>
  <si>
    <t>(Arama Y.) North Sydney Orthopaedic and Sports Medicine Centre, Sydney, Australia, (Salmon L.J.) North Sydney Orthopaedic and Sports Medicine Centre, Sydney, Australia, (Sri-Ram K.) North Sydney Orthopaedic and Sports Medicine Centre, Sydney, Australia, (Linklater J.) Castlereagh Imaging, Sydney, Australia, (Roe J.P.) North Sydney Orthopaedic and Sports Medicine Centre, Sydney, Australia The Mater Hospital, Sydney, Australia, (Pinczewski L.A.) North Sydney Orthopaedic and Sports Medicine Centre, Sydney, Australia The Mater Hospital, Sydney, Australia Notre Dame University, Sydney, Australia lpinczewski@nsosmc.com.au</t>
  </si>
  <si>
    <t>The American journal of sports medicine (2015) 43:8 (1893-1901). Date of Publication: 1 Aug 2015</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</si>
  <si>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years.STUDY DESIGN: Randomized controlled trial; Level of evidence, 1.METHODS: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</si>
  <si>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hydroxyapatite (1306-06-5, 51198-94-8), lactic acid (113-21-3, 50-21-5), polylactic acid (26100-51-6), titanium (7440-32-6)</t>
  </si>
  <si>
    <t>L612120206</t>
  </si>
  <si>
    <t>http://dx.doi.org/10.1177/0363546515588926</t>
  </si>
  <si>
    <t>https://www.embase.com/search/results?subaction=viewrecord&amp;id=L612120206&amp;from=export</t>
  </si>
  <si>
    <t>https://catalyst.library.jhu.edu/openurl/01JHU_INST/01JHU_INST:JHU?sid=EMBASE&amp;sid=EMBASE&amp;issn=15523365&amp;id=doi:10.1177%2F0363546515588926&amp;atitle=Bioabsorbable+Versus+Titanium+Screws+in+Anterior+Cruciate+Ligament+Reconstruction+Using+Hamstring+Autograft%3A+A+Prospective%2C+Blinded%2C+Randomized+Controlled+Trial+With+5-Year+Follow-up&amp;stitle=Am+J+Sports+Med&amp;title=The+American+journal+of+sports+medicine&amp;volume=43&amp;issue=8&amp;spage=1893&amp;epage=1901&amp;aulast=Arama&amp;aufirst=Yuval&amp;auinit=Y.&amp;aufull=Arama+Y.&amp;coden=&amp;isbn=&amp;pages=1893-1901&amp;date=2015&amp;auinit1=Y&amp;auinitm=</t>
  </si>
  <si>
    <t>Anterior cruciate ligament reconstruction with or without remnant preservation: A 6-month follow-up</t>
  </si>
  <si>
    <t>Wang J., Li Y., Yu T.-B., Zhang Q.-L.</t>
  </si>
  <si>
    <t>(Wang J.; Yu T.-B.) Department of Orthopedics, The Affiliated Hospital of Qingdao University, Qingdao, Shandong Province, China. , (Li Y.; Zhang Q.-L.) Department of Orthopedics, Qingdao Municipal Hospital (Eastern Area), Qingdao, Shandong Province, China.</t>
  </si>
  <si>
    <t>Q.-L. Zhang, Department of Orthopedics, Qingdao Municipal Hospital (Eastern Area), Qingdao, Shandong Province, China.</t>
  </si>
  <si>
    <t>Chinese Journal of Tissue Engineering Research (2015) 19:29 (4640-4644). Date of Publication: 9 Jul 2015</t>
  </si>
  <si>
    <t>Background: In recent years, the number of cases of anterior cruciate ligament reconstruction with remnant preservation is increased year by year, but its clinical results, especially effects on improving proprioceptive recovery after reconstruction, are still controversial. Objective: To compare the clinical effects of arthroscopic anterior cruciate ligament reconstruction with or without remnant preservation. Methods: Totally 146 patients undergoing arthroscopic anterior cruciate ligament reconstruction were randomly divided into two groups: preserving-remnant group and removing-remnant group. Autologous hamstring tendons were selected. Evaluation of knee mobility, Lysholm score. IKDC scores and knee stability was performed before and 6, 12 months after reconstruction. Proprioception was recorded before and 3, 6 and 12 months after reconstruction. The comparative analysis was carried out on these data between the group and between affected and healthy limbs. Results And Conclusion: 114 patients were followed up for over 12 months, including 61 in the preserving-remnant group and 53 in the removing-remnant group. There were significantly statistical improvements in knee mobility, Lysholm score. IKDC score and knee stability at 6 and 12 months after reconstruction in the two groups (P &gt; 0.01), and the Lysholm score. IKDC score and knee stability were better in the removing-remnant group than the removing-remnant group at 6 months after reconstruction (P &gt; 0.05). The knee proprioception was significantly improved at 3,6 and 12 months after reconstruction in the two groups (p &lt; 0.01), and it was also better in the removing-remnant group than the removing-remnant group at 3 and 6 months after reconstruction (P &gt; 0.05). These findings indicate that the anterior cruciate ligament reconstruction with remnant preservation is beneficial to the recovery of postoperative proprioception and knee function.</t>
  </si>
  <si>
    <t>L606126214</t>
  </si>
  <si>
    <t>10.3969/j.issn.2095-4344.2015.29.010</t>
  </si>
  <si>
    <t>http://dx.doi.org/10.3969/j.issn.2095-4344.2015.29.010</t>
  </si>
  <si>
    <t>https://www.embase.com/search/results?subaction=viewrecord&amp;id=L606126214&amp;from=export</t>
  </si>
  <si>
    <t>https://catalyst.library.jhu.edu/openurl/01JHU_INST/01JHU_INST:JHU?sid=EMBASE&amp;sid=EMBASE&amp;issn=16738225&amp;id=doi:10.3969%2Fj.issn.2095-4344.2015.29.010&amp;atitle=Anterior+cruciate+ligament+reconstruction+with+or+without+remnant+preservation%3A+A+6-month+follow-up&amp;stitle=Chin.+J.+Tissue+Eng.+Res.&amp;title=Chinese+Journal+of+Tissue+Engineering+Research&amp;volume=19&amp;issue=29&amp;spage=4640&amp;epage=4644&amp;aulast=Wang&amp;aufirst=Jun&amp;auinit=J.&amp;aufull=Wang+J.&amp;coden=&amp;isbn=&amp;pages=4640-4644&amp;date=2015&amp;auinit1=J&amp;auinitm=</t>
  </si>
  <si>
    <t>Koga H., Muneta T., Yagishita K., Watanabe T., Mochizuki T., Horie M., Nakamura T., Otabe K., Sekiya I.</t>
  </si>
  <si>
    <t>(Koga H.) Department of Orthopaedic Surgery, Tokyo Medical and Dental University Hospital of Medicine, Tokyo, Japan koga.orj@tmd.ac.jp koga-z@rg7.so-net.ne.jp, (Muneta T.) Department of Orthopaedic Surgery, Tokyo Medical and Dental University Hospital of Medicine, Tokyo, Japan, (Yagishita K.) Department of Orthopaedic Surgery, Tokyo Medical and Dental University Hospital of Medicine, Tokyo, Japan, (Watanabe T.) Department of Orthopaedic Surgery, Tokyo Medical and Dental University Hospital of Medicine, Tokyo, Japan, (Mochizuki T.) Department of Orthopaedic Surgery, Tokyo Medical and Dental University Hospital of Medicine, Tokyo, Japan, (Horie M.) Department of Orthopaedic Surgery, Tokyo Medical and Dental University Hospital of Medicine, Tokyo, Japan, (Nakamura T.) Department of Orthopaedic Surgery, Tokyo Medical and Dental University Hospital of Medicine, Tokyo, Japan, (Otabe K.) Department of Orthopaedic Surgery, Tokyo Medical and Dental University Hospital of Medicine, Tokyo, Japan, (Sekiya I.) Department of Orthopaedic Surgery, Tokyo Medical and Dental University Hospital of Medicine, Tokyo, Japan</t>
  </si>
  <si>
    <t>The American journal of sports medicine (2015) 43:5 (1157-1164). Date of Publication: 1 May 2015</t>
  </si>
  <si>
    <t>CONCLUSION: In DB ACL reconstruction, when the anteromedial bundle was fixed at 20Â° of flexion, fixation of the PLB at 45Â° was worse than fixation at 0Â° and 20Â°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findings.BACKGROUND: In double-bundle (DB) anterior cruciate ligament (ACL) reconstruction, no consensus exists on an optimal setting for the posterolateral bundle (PLB) graft fixation angles.HYPOTHESIS: Different PLB fixation angles would affect clinical outcomes in DB ACL reconstruction.STUDY DESIGN: Randomized controlled trial; Level of evidence, 1.METHODS: This study prospectively included 90 patients who underwent primary DB ACL reconstruction with an autologous semitendinosus tendon. The PLB fixation angles were randomly set as follows: 0Â° of flexion (P0; n=30), 20Â° (P20; n=30), and 45Â° (P45; n=30). In all groups, the anteromedial bundle was fixed at 20Â°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recorded.RESULTS: Seventy-five patients (P0, n=25; P20, n=26; P45, n=24) who were followed for 2 years were evaluated. Preoperatively, there were no differences among the groups. Postoperatively, pivot-shift test results in the P0 and P20 groups were better than those in the P45 group (P0, n=23 graded negative and 2 graded 1+; P20, n=23 and 2; P45, n=15 and 7, respectively; P0 vs P45: P=.038 and P20 vs P45: P=.038). Average KT-1000 arthrometer laxity measurements were better in the P20 group than in the P45 group (P0, 0.4 mm; P20, 0.3 mm; P45, 1.3 mm; P20 vs P45: P=.048), and there were more patients with graft failure (KT-1000 measurement, â‰¥4 mm) in the P45 group (n=3) than the P0 and P20 groups (each, n=0). There were no significant differences in range of motion, other laxity tests, muscle strength, Tegner score, Lysholm score, subjective rating scale, or additional surgery.</t>
  </si>
  <si>
    <t>L607605611</t>
  </si>
  <si>
    <t>http://dx.doi.org/10.1177/0363546514567069</t>
  </si>
  <si>
    <t>https://www.embase.com/search/results?subaction=viewrecord&amp;id=L607605611&amp;from=export</t>
  </si>
  <si>
    <t>https://catalyst.library.jhu.edu/openurl/01JHU_INST/01JHU_INST:JHU?sid=EMBASE&amp;sid=EMBASE&amp;issn=15523365&amp;id=doi:10.1177%2F0363546514567069&amp;atitle=Effect+of+posterolateral+bundle+graft+fixation+angles+on+clinical+outcomes+in+double-bundle+anterior+cruciate+ligament+reconstruction%3A+a+randomized+controlled+trial&amp;stitle=Am+J+Sports+Med&amp;title=The+American+journal+of+sports+medicine&amp;volume=43&amp;issue=5&amp;spage=1157&amp;epage=1164&amp;aulast=Koga&amp;aufirst=Hideyuki&amp;auinit=H.&amp;aufull=Koga+H.&amp;coden=&amp;isbn=&amp;pages=1157-1164&amp;date=2015&amp;auinit1=H&amp;auinitm=</t>
  </si>
  <si>
    <t>Karimi-Mobarakeh M., Mardani-Kivi M., Mortazavi A., Saheb-Ekhtiari K., Hashemi-Motlagh K.</t>
  </si>
  <si>
    <t>(Karimi-Mobarakeh M.; Mardani-Kivi M.; Mortazavi A.; Saheb-Ekhtiari K.; Hashemi-Motlagh K.) Orthopedic Department, Kerman University of Medical Sciences, Kerman, Iran</t>
  </si>
  <si>
    <t>Knee surgery, sports traumatology, arthroscopy : official journal of the ESSKA (2015) 23:4 (1086-1091). Date of Publication: 1 Apr 2015</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</si>
  <si>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motion.RESULTS: The study included 21 (17.6 %) female and 99 (82.4 %) male patients with a mean age of 29.9 Â± 7.8 in the ST group and 32.4 Â±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knee.LEVEL OF EVIDENCE: Randomized controlled trial, Level I.</t>
  </si>
  <si>
    <t>L606351385</t>
  </si>
  <si>
    <t>http://dx.doi.org/10.1007/s00167-014-2890-z</t>
  </si>
  <si>
    <t>https://www.embase.com/search/results?subaction=viewrecord&amp;id=L606351385&amp;from=export</t>
  </si>
  <si>
    <t>https://catalyst.library.jhu.edu/openurl/01JHU_INST/01JHU_INST:JHU?sid=EMBASE&amp;sid=EMBASE&amp;issn=14337347&amp;id=doi:10.1007%2Fs00167-014-2890-z&amp;atitle=Role+of+gracilis+harvesting+in+four-strand+hamstring+tendon+anterior+cruciate+ligament+reconstruction%3A+a+double-blinded+prospective+randomized+clinical+trial&amp;stitle=Knee+Surg+Sports+Traumatol+Arthrosc&amp;title=Knee+surgery%2C+sports+traumatology%2C+arthroscopy+%3A+official+journal+of+the+ESSKA&amp;volume=23&amp;issue=4&amp;spage=1086&amp;epage=1091&amp;aulast=Karimi-Mobarakeh&amp;aufirst=Mahmoud&amp;auinit=M.&amp;aufull=Karimi-Mobarakeh+M.&amp;coden=&amp;isbn=&amp;pages=1086-1091&amp;date=2015&amp;auinit1=M&amp;auinitm=</t>
  </si>
  <si>
    <t>Mid- to long-term results of single-bundle versus double-bundle anterior cruciate ligament reconstruction: Randomized controlled trial</t>
  </si>
  <si>
    <t>(Koga H., koga.orj@tmd.ac.jp; Muneta T.; Yagishita K.; Watanabe T.; Mochizuki T.; Horie M.; Nakamura T.; Otabe K.; Sekiya I.) Department of Orthopaedic Surgery, Tokyo Medical and Dental University Hospital of Medicine, 1-5-45 Yushima, Bunkyo-ku, Tokyo, Japan.</t>
  </si>
  <si>
    <t>H. Koga, Department of Orthopaedic Surgery, Tokyo Medical and Dental University Hospital of Medicine, 1-5-45 Yushima, Bunkyo-ku, Tokyo, Japan.</t>
  </si>
  <si>
    <t>Arthroscopy - Journal of Arthroscopic and Related Surgery (2015) 31:1 (69-76). Date of Publication: 1 Jan 2015</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</si>
  <si>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30Â°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=.024 and P &lt;.0001, respectively). KT measurements were better in the DB group (mean, 1.4 mm v 2.7 mm; P =.0023). The Tegner score was also better in the DB group (P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 Level of Evidence Level II, lesser-quality prospective randomized trial.</t>
  </si>
  <si>
    <t>L602000239</t>
  </si>
  <si>
    <t>http://dx.doi.org/10.1016/j.arthro.2014.07.020</t>
  </si>
  <si>
    <t>https://www.embase.com/search/results?subaction=viewrecord&amp;id=L602000239&amp;from=export</t>
  </si>
  <si>
    <t>https://catalyst.library.jhu.edu/openurl/01JHU_INST/01JHU_INST:JHU?sid=EMBASE&amp;sid=EMBASE&amp;issn=15263231&amp;id=doi:10.1016%2Fj.arthro.2014.07.020&amp;atitle=Mid-+to+long-term+results+of+single-bundle+versus+double-bundle+anterior+cruciate+ligament+reconstruction%3A+Randomized+controlled+trial&amp;stitle=Arthroscopy+J.+Arthroscopic+Relat.+Surg.&amp;title=Arthroscopy+-+Journal+of+Arthroscopic+and+Related+Surgery&amp;volume=31&amp;issue=1&amp;spage=69&amp;epage=76&amp;aulast=Koga&amp;aufirst=Hideyuki&amp;auinit=H.&amp;aufull=Koga+H.&amp;coden=ARTHE&amp;isbn=&amp;pages=69-76&amp;date=2015&amp;auinit1=H&amp;auinitm=</t>
  </si>
  <si>
    <t>Ibrahim S.A., Abdul Ghafar S., Marwan Y., Mahgoub A.M., Al Misfer A., Farouk H., Wagdy M., Alherran H., Khirait S.</t>
  </si>
  <si>
    <t>(Ibrahim S.A.) Division of Sport Medicine, Department of Orthopaedic Surgery, Al-Razi Orthopaedic Hospital, Kuwait City, Kuwait, (Abdul Ghafar S.) Division of Sport Medicine, Department of Orthopaedic Surgery, Al-Razi Orthopaedic Hospital, Kuwait City, Kuwait, (Marwan Y., yousefmarwan@hotmail.com) Division of Sport Medicine, Department of Orthopaedic Surgery, Al-Razi Orthopaedic Hospital, Kuwait City, Kuwait , (Mahgoub A.M.) Division of Sport Medicine, Department of Orthopaedic Surgery, Al-Razi Orthopaedic Hospital, Kuwait City, Kuwait, (Al Misfer A.) Division of Sport Medicine, Department of Orthopaedic Surgery, Al-Razi Orthopaedic Hospital, Kuwait City, Kuwait, (Farouk H.) Division of Sport Medicine, Department of Orthopaedic Surgery, Al-Razi Orthopaedic Hospital, Kuwait City, Kuwait, (Wagdy M.) Division of Sport Medicine, Department of Orthopaedic Surgery, Al-Razi Orthopaedic Hospital, Kuwait City, Kuwait, (Alherran H.) Division of Sport Medicine, Department of Orthopaedic Surgery, Al-Razi Orthopaedic Hospital, Kuwait City, Kuwait, (Khirait S.) Division of Sport Medicine, Department of Orthopaedic Surgery, Al-Razi Orthopaedic Hospital, Kuwait City, Kuwait</t>
  </si>
  <si>
    <t>The American journal of sports medicine (2015) 43:1 (161-168). Date of Publication: 1 Jan 2015</t>
  </si>
  <si>
    <t>BACKGROUND: Anatomic double-bundle anterior cruciate ligament (ACL) reconstruction provides excellent results for restoring normal kinematics to the knee. Nevertheless, strong evidence supporting an ideal method for fixation of the ACL graft is lacking.HYPOTHESIS: Intratunnel femoral fixation of the ACL graft via a cross-pin fixation technique would provide better clinical and objective results than the extratunnel femoral fixation with cortical buttons.STUDY DESIGN: Randomized clinical trial; Level of evidence, 2.METHODS: Seventy patients with a unilateral ACL-deficient knee were randomly assigned to 1 of 2 femoral fixation groups. Group A (35 patients) was fixed with 2 bioabsorbable Rigidfix pins, 1 cross-pin per bundle, while group B (35 patients) was secured with 1 EndoButton cortical button per bundle. All femoral tunnels were created via an anteromedial portal, and a bioabsorbable Biointrafix interference screw was used for tibial fixation for both groups. The evaluation of the patients was performed by history details, clinical examination findings, measurement of the joint laxity by KT-1000 arthrometer, and use of validated patient outcome questionnaires. Statistical analysis was carried out with Fisher exact and Mann-Whitney U tests, with P&lt;.05 considered the cutoff level of significance.RESULTS: At a mean follow-up of 30 months, 34 and 32 patients of group A and B, respectively, were available for evaluation. There were no statistically significant differences between the treatment groups regarding the subjective and objective outcomes, except for KT-1000 arthrometer values. The median KT-1000 value of patients in the cross-pin fixation group was 1.30 mm, while the median value in the cortical button fixation group was 1.95 mm (P&lt;.001). Four patients with ACL grafts that were fixed with cortical buttons demonstrated failure of stability via the instrumented knee laxity testing, while patients from the other group had no failures.CONCLUSION: Intratunnel femoral fixation of the double-bundle ACL graft from the cross-pin fixation technique provided better instrumented knee laxity results than did the extratunnel femoral fixation with cortical buttons. Future larger studies comparing these 2 techniques should be conducted to ensure the availability of stronger evidence supporting the findings of this study.</t>
  </si>
  <si>
    <t>L604577256</t>
  </si>
  <si>
    <t>http://dx.doi.org/10.1177/0363546514554189</t>
  </si>
  <si>
    <t>https://www.embase.com/search/results?subaction=viewrecord&amp;id=L604577256&amp;from=export</t>
  </si>
  <si>
    <t>https://catalyst.library.jhu.edu/openurl/01JHU_INST/01JHU_INST:JHU?sid=EMBASE&amp;sid=EMBASE&amp;issn=15523365&amp;id=doi:10.1177%2F0363546514554189&amp;atitle=Intratunnel+versus+extratunnel+autologous+hamstring+double-bundle+graft+for+anterior+cruciate+ligament+reconstruction%3A+a+comparison+of+2+femoral+fixation+procedures&amp;stitle=Am+J+Sports+Med&amp;title=The+American+journal+of+sports+medicine&amp;volume=43&amp;issue=1&amp;spage=161&amp;epage=168&amp;aulast=Ibrahim&amp;aufirst=Samir+A.bdul+Razik&amp;auinit=S.A.&amp;aufull=Ibrahim+S.A.&amp;coden=&amp;isbn=&amp;pages=161-168&amp;date=2015&amp;auinit1=S&amp;auinitm=A</t>
  </si>
  <si>
    <t>Anatomic oblong double bundle anterior cruciate ligament reconstruction</t>
  </si>
  <si>
    <t>Inoue T., Soejima T., Murakami H., Tabuchi K., Noguchi K., Horibe S., Tanaka Y., Shiba N.</t>
  </si>
  <si>
    <t>(Inoue T., ihsakat@med.kurume-u.ac.jp) Department of Orthopaedic Surgery, Chikugo City Hospital, Chikugo, Japan. , (Soejima T.) Kurume University Institute of Health and Sports Science, Kurume, Japan. , (Murakami H.) Department of Sports Orthopedics, Murakami Hospital for Special Surgery, Japan. , (Tabuchi K.; Noguchi K.) Department of Orthopaedic Surgery, Kurume University Medical Center, Kurume, Japan. , (Horibe S.) Faculty of Comprehensive Rehabilitation, Osaka Prefecture University, Osaka, Japan. , (Tanaka Y.) Department of Sports Orthopaedics, Osaka Rosai Hospital, Sakai, Japan. , (Shiba N.) Department of Orthopaedic Surgery, Kurume University School of Medicine, Kurume, Japan.</t>
  </si>
  <si>
    <t>T. Inoue, Department of Orthopaedic Surgery, Chikugo city Hospital, Chikugo, Japan. Email: ihsakat@med.kurume-u.ac.jp</t>
  </si>
  <si>
    <t>Kurume Medical Journal (2015) 62:3-4 (53-58). Date of Publication: 2015</t>
  </si>
  <si>
    <t>Kurume Medical Journal</t>
  </si>
  <si>
    <t>1881-2090 (electronic),0023-5679</t>
  </si>
  <si>
    <t>Kurume University School of Medicine</t>
  </si>
  <si>
    <t>Summary: Double-bundle anterior cruciate ligament (ACL) reconstruction using hamstring tendon grafts is a standard procedure for ACL injury. However, its clinical effectiveness is not always satisfactory. One cause of this was problems with the graft-tunnel healing of the posterolateral bundle (PLB) on the femur. To solve this problem, we devised a new anatomic ACL reconstruction technique to improve the graft-tunnel healing of the femoral PLB by using a single-bundle with one bone tunnel on the femoral side and a double-bundle on the tibial side. We have performed 40 procedures with excellent results and no cases of intra- or postoperative complication. This procedure can help improve the graft-tunnel healing around the femoral bone tunnel aperture for the PLB.</t>
  </si>
  <si>
    <t>L611401891</t>
  </si>
  <si>
    <t>10.2739/kurumemedj.MS66002</t>
  </si>
  <si>
    <t>http://dx.doi.org/10.2739/kurumemedj.MS66002</t>
  </si>
  <si>
    <t>https://www.embase.com/search/results?subaction=viewrecord&amp;id=L611401891&amp;from=export</t>
  </si>
  <si>
    <t>https://catalyst.library.jhu.edu/openurl/01JHU_INST/01JHU_INST:JHU?sid=EMBASE&amp;sid=EMBASE&amp;issn=18812090&amp;id=doi:10.2739%2Fkurumemedj.MS66002&amp;atitle=Anatomic+oblong+double+bundle+anterior+cruciate+ligament+reconstruction&amp;stitle=Kurume+Med.+J.&amp;title=Kurume+Medical+Journal&amp;volume=62&amp;issue=3-4&amp;spage=53&amp;epage=58&amp;aulast=Inoue&amp;aufirst=Takashi&amp;auinit=T.&amp;aufull=Inoue+T.&amp;coden=KRMJA&amp;isbn=&amp;pages=53-58&amp;date=2015&amp;auinit1=T&amp;auinitm=</t>
  </si>
  <si>
    <t>Autologous hamstring tendon for anterior cruciate ligament reconstruction: Influence of incisions in different directions for cutting the hamstring tendon on the anterior tibial skin sensitivity</t>
  </si>
  <si>
    <t>Li J.-Y., Zhao Q.-C., Shang X.-F., Deng X.-W., Gan Z.-Y.</t>
  </si>
  <si>
    <t>(Li J.-Y.; Zhao Q.-C.; Shang X.-F.; Deng X.-W.; Gan Z.-Y.) Second Department of Orthopedics, Anhui Provincial Hospital, Anhui Medical University, Hefei, Anhui Province, China.</t>
  </si>
  <si>
    <t>Q.-C. Zhao, Second Department of Orthopedics, Anhui Provincial Hospital, Anhui Medical University, Hefei, Anhui Province, China.</t>
  </si>
  <si>
    <t>Chinese Journal of Tissue Engineering Research (2014) 18:51 (8320-8324). Date of Publication: 10 Dec 2014</t>
  </si>
  <si>
    <t>BACKGROUND: Autologous hamstring tendon for anterior cruciate ligament reconstruction is the mainstream treatment of anterior cruciate ligament injury. When traveling from inside to outside and from top to bottom in the front of the knee, the patellar branch of the saphenous nerve runs parallel to the hamstring tendon. Therefore, to cut the tendon can lead to tibialis anterior skin sensitivity loss. To alter the incision direction may reduce the impact on the anterior tibial skin sensitivity. OBJECTIVE: To explore the influence of incisions in different directions for cutting the hamstring tendon on the anterior tibial skin sensitivity in anterior cruciate ligament reconstruction. METHODS: Seventy-four patients with anterior cruciate ligament injury admitted from July 2013 to February 2014 were enrolled. These patients underwent arthroscopic anterior cruciate ligament reconstruction using autologous hamstring tendon, and randomly divided into oblique incision group (n=37) and vertical incision group (n=37). RESULTS AND CONCLUSION: There was no statistically significant difference in the incision length between the two groups (P &gt; 0.05). Compared with the vertical incision group, the area of skin sensitivity loss was smaller in the oblique incision group at 2 days, 1 month and 3 months after reconstruction (P &lt; 0.05), but after 6 months, there was no difference in the area of skin sensitivity loss and Lysholm scores between the two groups (P &gt; 0.05). These findings indicate that during anterior cruciate ligament reconstruction, the oblique and vertical incisions have similar effects on had no effect on postoperative recovery of anterior tibial skin sensitivity and knee function.</t>
  </si>
  <si>
    <t>L606126643</t>
  </si>
  <si>
    <t>10.3969/j.issn.2095-4344.2014.51.023</t>
  </si>
  <si>
    <t>http://dx.doi.org/10.3969/j.issn.2095-4344.2014.51.023</t>
  </si>
  <si>
    <t>https://www.embase.com/search/results?subaction=viewrecord&amp;id=L606126643&amp;from=export</t>
  </si>
  <si>
    <t>https://catalyst.library.jhu.edu/openurl/01JHU_INST/01JHU_INST:JHU?sid=EMBASE&amp;sid=EMBASE&amp;issn=16738225&amp;id=doi:10.3969%2Fj.issn.2095-4344.2014.51.023&amp;atitle=Autologous+hamstring+tendon+for+anterior+cruciate+ligament+reconstruction%3A+Influence+of+incisions+in+different+directions+for+cutting+the+hamstring+tendon+on+the+anterior+tibial+skin+sensitivity&amp;stitle=Chin.+J.+Tissue+Eng.+Res.&amp;title=Chinese+Journal+of+Tissue+Engineering+Research&amp;volume=18&amp;issue=51&amp;spage=8320&amp;epage=8324&amp;aulast=Li&amp;aufirst=Jiu-Yuan&amp;auinit=J.-Y.&amp;aufull=Li+J.-Y.&amp;coden=&amp;isbn=&amp;pages=8320-8324&amp;date=2014&amp;auinit1=J&amp;auinitm=-Y</t>
  </si>
  <si>
    <t>Acute Anterior Cruciate Ligament Rupture; RecOnsTruction Or Repair?</t>
  </si>
  <si>
    <t>clinicaltrials.gov (2014). Date of Publication: 1 Dec 2014</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</si>
  <si>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</si>
  <si>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LNCT02310854</t>
  </si>
  <si>
    <t>https://clinicaltrials.gov/study/NCT02310854</t>
  </si>
  <si>
    <t>https://www.embase.com/search/results?subaction=viewrecord&amp;id=LNCT02310854&amp;from=export</t>
  </si>
  <si>
    <t>Gifstad T., Drogset J.O., GrÃ¸ntvedt T., Hortemo G.S.</t>
  </si>
  <si>
    <t>(Gifstad T., tone.gifstad@ntnu.no; Drogset J.O.; GrÃ¸ntvedt T.; Hortemo G.S.) Orthopaedic Research Center, Trondheim University Hospital, 7006, Trondheim, Norway,</t>
  </si>
  <si>
    <t>Knee surgery, sports traumatology, arthroscopy : official journal of the ESSKA (2014) 22:9 (2153-2162). Date of Publication: 1 Sep 2014</t>
  </si>
  <si>
    <t>PURPOSE: Hamstring tendon grafts are commonly used in anterior cruciate ligament (ACL) reconstructions. A number of fixation devices are available; however, several have limited clinical support. To our knowledge, no randomized controlled study comparing the EZLoc and the Bone Mulch Screw for femoral fixation in ACL reconstruction exists. Therefore, the purpose of this study was to compare the results following the use of these two femoral fixation devices. Time in surgery for the two methods was also to be compared.METHODS: A total of 110 patients between 18 and 45 years old at two orthopaedic departments, A (n = 55) and B (n = 55), were randomized to ACL reconstruction with femoral fixation of the hamstring graft with either the EZLoc or the Bone Mulch Screw. Surgical time was measured for each group. The patients were evaluated after 6 weeks and 3, 6, 12 and 24 months. The clinical examination included range of motion, evaluation of intraarticular swelling, tenderness at the lateral femoral condyle, the Lachman test, the Pivot shift test and the KT-1000 arthrometer. In addition, the visual analogue scale score for pain, the Tegner activity score, the Lysholm functional score and the knee injury and osteoarthritis outcome score were recorded. Knee extension and flexion muscle strength were also measured with a Biodex.RESULTS: There were no significant differences in any of the parameters mentioned above at the 2-year follow-up evaluation. Three patients in each group underwent revision ACL reconstruction during the study. More than 95% of the knees in both groups were found to be stable. Good to excellent results were found for all selected knee scores in both groups. There were no statistically significant differences between the two groups in any of the muscle strength parameters. Time in surgery was statistically significantly shorter in the EZLoc group compared with the Bone Mulch group.CONCLUSION: There were no statistically significant differences in clinical findings, knee scores or in muscle strength between the EZLoc group and the Bone Mulch group at the 2-year follow-up evaluation. Time in surgery was statistically significantly shorter for patients undergoing ACL reconstruction with hamstring grafts when the EZLoc femoral fixation device was used.II.</t>
  </si>
  <si>
    <t>L603536192</t>
  </si>
  <si>
    <t>http://dx.doi.org/10.1007/s00167-013-2652-3</t>
  </si>
  <si>
    <t>https://www.embase.com/search/results?subaction=viewrecord&amp;id=L603536192&amp;from=export</t>
  </si>
  <si>
    <t>https://catalyst.library.jhu.edu/openurl/01JHU_INST/01JHU_INST:JHU?sid=EMBASE&amp;sid=EMBASE&amp;issn=14337347&amp;id=doi:10.1007%2Fs00167-013-2652-3&amp;atitle=Femoral+fixation+of+hamstring+tendon+grafts+in+ACL+reconstructions%3A+the+2-year+follow-up+results+of+a+prospective+randomized+controlled+study&amp;stitle=Knee+Surg+Sports+Traumatol+Arthrosc&amp;title=Knee+surgery%2C+sports+traumatology%2C+arthroscopy+%3A+official+journal+of+the+ESSKA&amp;volume=22&amp;issue=9&amp;spage=2153&amp;epage=2162&amp;aulast=Gifstad&amp;aufirst=Tone&amp;auinit=T.&amp;aufull=Gifstad+T.&amp;coden=&amp;isbn=&amp;pages=2153-2162&amp;date=2014&amp;auinit1=T&amp;auinitm=</t>
  </si>
  <si>
    <t>Wang C.-J., Ko J.-Y., Chou W.-Y., Hsu S.-L., Ko S.-F., Huang C.-C., Chang H.-W.</t>
  </si>
  <si>
    <t>(Wang C.-J.; Ko J.-Y.; Chou W.-Y.; Hsu S.-L.) Department of Orthopedic Surgery, Chang Gung Memorial Hospital, Chang Gung University College of Medicine, Taiwan. , (Ko S.-F.; Huang C.-C., w281211@adm.cgmh.org.tw) Department of Radiology, Chang Gung Memorial Hospital, Chang Gung University College of Medicine, Taiwan. , (Chang H.-W.) Department of Biological Sciences, Center for Research in Medical Science and Technology, National Sun Yat-Sen University, Kaohsiung, Taiwan.</t>
  </si>
  <si>
    <t>C.-C. Huang, Department of Diagnostic Radiology, Chang Gung Memorial Hospital, Kaohsiung Medical Center, 123 Ta-Pei Road, Niao Sung District, Kaohsiung 833, Taiwan. Email: w281211@adm.cgmh.org.tw</t>
  </si>
  <si>
    <t>Journal of Surgical Research (2014) 188:1 (110-118). Date of Publication: 1 May 2014</t>
  </si>
  <si>
    <t>Journal of Surgical Research</t>
  </si>
  <si>
    <t>1095-8673 (electronic),0022-4804</t>
  </si>
  <si>
    <t>Academic Press Inc., apjcs@harcourt.com</t>
  </si>
  <si>
    <t>Shockwave was shown to enhance the healing of anterior cruciate ligament (ACL) reconstruction in rabbits. This study evaluated the effect of extracorporeal shockwave therapy (ESWT) on ACL reconstruction in human subjects. We hypothesized that ESWT may improve human ACL reconstruction. Methods Fifty-three patients were randomized into two groups with 26 patients in ESWT group and 27 patients in control group. The ESWT group underwent single-bundle hamstring autograft ACL reconstruction and received ESWT immediately after surgery. The control group underwent ACL surgery without ESWT. Both groups received the same rehabilitation postoperatively. The evaluations included Lysholm score, IKDC score and KT-1000, radiograph, bone mineral density, and magnetic resonance imaging. Results ESWT group showed significantly better Lysholm score than control group at 1 and 2 y postoperatively (P &lt; 0.001 and 0.001, respectively). No significant difference was noted in IKDC score between the two groups (P = 0.080 and 0.076, respectively). The KT-1000 values were significantly better in ESWT group than control group at 2 y postoperatively (P = 0.027). The tibia tunnel on X-ray was significantly smaller in ESWT group compared with control group at 2 y (P = 0.018). The bone mineral density values showed no discernable difference between the two groups at 6 mo and 2 y (P = 0.522 and 0.984, respectively). On magnetic resonance imaging, ESWT group showed significant decrease in tibia tunnel enlargement at 6 mo and 2 y compared with the control group (P = 0.024 and &lt;0.001, respectively). Conclusions ESWT significantly improves the subjective Lysholm score and decreases the middle 1/3 tibia tunnel enlargement after single hamstring autograft ACL reconstruction. Â© 2014 Elsevier Inc. All rights reserved.</t>
  </si>
  <si>
    <t>L53015463</t>
  </si>
  <si>
    <t>http://dx.doi.org/10.1016/j.jss.2014.01.050</t>
  </si>
  <si>
    <t>https://www.embase.com/search/results?subaction=viewrecord&amp;id=L53015463&amp;from=export</t>
  </si>
  <si>
    <t>https://catalyst.library.jhu.edu/openurl/01JHU_INST/01JHU_INST:JHU?sid=EMBASE&amp;sid=EMBASE&amp;issn=10958673&amp;id=doi:10.1016%2Fj.jss.2014.01.050&amp;atitle=Shockwave+therapy+improves+anterior+cruciate+ligament+reconstruction&amp;stitle=J.+Surg.+Res.&amp;title=Journal+of+Surgical+Research&amp;volume=188&amp;issue=1&amp;spage=110&amp;epage=118&amp;aulast=Wang&amp;aufirst=Ching-Jen&amp;auinit=C.-J.&amp;aufull=Wang+C.-J.&amp;coden=JSGRA&amp;isbn=&amp;pages=110-118&amp;date=2014&amp;auinit1=C&amp;auinitm=-J</t>
  </si>
  <si>
    <t>The effect of remnant preservation on tibial tunnel enlargement in ACL reconstruction with hamstring autograft: A prospective randomized controlled trial</t>
  </si>
  <si>
    <t>Zhang Q., Zhang S., Cao X., Liu L., Liu Y., Li R.</t>
  </si>
  <si>
    <t>(Zhang Q.; Zhang S.; Cao X., Caoxuecheng63@126.com; Liu L.; Liu Y.; Li R.) Department of Orthapaedic Surgery, The General Hospital of the Jinan Military Command, No. 25, Shifan Road, Jinan, Shandong, China.</t>
  </si>
  <si>
    <t>X. Cao, Email: Caoxuecheng63@126.com</t>
  </si>
  <si>
    <t>Knee Surgery, Sports Traumatology, Arthroscopy (2014) 22:1 (166-173). Date of Publication: January 2014</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</si>
  <si>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Â± 6.7 and 34.0 Â± 8.9 % in the preserving- and removing-remnant groups, respectively (P = 0.0004). In the preserving-remnant group, the average Lysholm score increased from 60.3 Â± 5.3 (51-69) to 93.0 Â± 3.5 (88-100), and the side-to-side difference of the KT-1000 changed from 6.3 Â± 0.9 (5.1-8.0) to 1.4 Â± 0.6 (0.5-2.4) mm. In the removing-remnant group, the average Lysholm score increased from 58.7 Â± 6.5 (48-71) to 91.1 Â± 3.9 (85-100), and the side-to-side difference of the KT-1000 changed from 6.5 Â± 0.8 (5.4-8.2) to 1.7 Â± 0.6 (0.6-2.8) mm. Conclusions: It is confirmed that remnant preservation in ACL reconstruction can resist tibial tunnel enlargement but that this technique does not affect the short-term clinical outcome of ACL reconstruction. Level of evidence: I. Â© 2012 Springer-Verlag Berlin Heidelberg.</t>
  </si>
  <si>
    <t>L1052354624</t>
  </si>
  <si>
    <t>http://dx.doi.org/10.1007/s00167-012-2341-7</t>
  </si>
  <si>
    <t>https://www.embase.com/search/results?subaction=viewrecord&amp;id=L1052354624&amp;from=export</t>
  </si>
  <si>
    <t>https://catalyst.library.jhu.edu/openurl/01JHU_INST/01JHU_INST:JHU?sid=EMBASE&amp;sid=EMBASE&amp;issn=14337347&amp;id=doi:10.1007%2Fs00167-012-2341-7&amp;atitle=The+effect+of+remnant+preservation+on+tibial+tunnel+enlargement+in+ACL+reconstruction+with+hamstring+autograft%3A+A+prospective+randomized+controlled+trial&amp;stitle=Knee+Surg.+Sports+Traumatol.+Arthroscopy&amp;title=Knee+Surgery%2C+Sports+Traumatology%2C+Arthroscopy&amp;volume=22&amp;issue=1&amp;spage=166&amp;epage=173&amp;aulast=Zhang&amp;aufirst=Qiang&amp;auinit=Q.&amp;aufull=Zhang+Q.&amp;coden=&amp;isbn=&amp;pages=166-173&amp;date=2014&amp;auinit1=Q&amp;auinitm=</t>
  </si>
  <si>
    <t>Anatomical ACL reconstruction by a double- versus a single-bundle technique. prospective randomised study of short-term clinical results</t>
  </si>
  <si>
    <t>AnatomickaÌ_x0081_ rekonstrukce LCA double- versus single-bundle technikou - zhodnoceniÌ_x0081_ kraÌ_x0081_tkodobyÌ_x0081_ch klinickyÌ_x0081_ch vyÌ_x0081_sledkuÌŠ prospektivniÌ_x0081_ randomizovaneÌ_x0081_ studie</t>
  </si>
  <si>
    <t>Zeman P., Koudela K., Kasl J., NeprasÌŒ P., Zeman J., MateÌŒjka J.</t>
  </si>
  <si>
    <t>(Zeman P., zempet@centrum.cz; Koudela K.; Kasl J.; NeprasÌŒ P.; Zeman J.; MateÌŒjka J.) Klinika ortopedie a traumatologie pohyboveÌ_x0081_ho uÌ_x0081_strojiÌ_x0081_, LF UK a FN v Plzni, Czech Republic.</t>
  </si>
  <si>
    <t>Acta Chirurgiae Orthopaedicae et Traumatologiae Cechoslovaca (2014) 81:1 (40-50). Date of Publication: 2014</t>
  </si>
  <si>
    <t>PURPOSE OF THE STUDY: The aim of the study is to present a comparison of short-term results of double- versus single-bundle anatomical reconstruction of the anterior cruciate ligament (ACL) using hamstring endons and their fixation with absorbable interference screws. MATERIAL AND METHODS: A total of 110 patients with an isolated ACL lesion and the healthy contralateral knee who met the indication criteria for ACL double bundle reconstruction (TISL, 14 mm; ICNW, 12 mm) were intra-operatively allocated at random to either double-bundle group (DB, n=55) or single-bundle group (SB, n=55). At 12 months after surgery, 97 patients (DB group, n=49; SB group, n=48), comprising 68 men and 29 women, were evaluated; the average age was 29.1 years and the injury-to-surgery interval was 15.9 weeks. Pre- and post-operative subjective criteria involved the IKDC and Lysholm score. Objectively, the occurrence of graft failure, range of motion deficit, return to pre-injury sports activity, side-to-side difference in anterior laxity of both knees in 20Â° flexion on a GNRB laximeter at an applied pressure of 124 N and 250 N, and pivot shift phenomenon were assessed. RESULTS: No statistically significant difference was found in pre-operative values between the two groups. Post-operatively, there were no significant differences in the occurrence of complete graft failure (p=0.0755; DB group, n=0; SB group, n=3), range-of-motion deficit (p=0.2277-0.9788) or return to pre-operative sports activity (p=0.2322). In the DB group, side-to-side anterior tibial shifts at a pressure of 124 N (medians=1.3 mm and 2.1 mm for DBand SB groups, respectively; p=0.0007) and at a pressure of 250 N (DB group =2.1 mm; SB group = 3.1 mm; p&lt;0.0001) were significantly different from the corresponding values in the SB group. Positive results for the pivot shift test (PST) were significantly less frequent in the DB than the SB group (Chi-square test =0.0112). The SB group patients had a 2.9-times (odds ratio, 2.8704) higher risk of positive postoperative PST results than the DB group patients. In both groups, a comparison of pre- and post-operative criteria showed significant improvement in both the subjective and the objective results. DISCUSSION: The results of this study, in accordance with other authors' conclusions, suggest that the double-bundle technique provides better control over rotational and anterior knee laxity and therefore restores knee biomechanics better. However, other literature data do not confirm any significantly better outcomes of this method. Since only short-term results have been obtained so far, the study will continue because only the long-term results can provide conclusive evidence of an advantage of one technique over the other. CONCLUSIONS: Our study showed significantly better restoration of knee rotational and anterior laxity in the patients undergoing anatomical reconstruction of the ACL by the double-bundle technique. The other evaluated criteria did not differ in relation to the technique used.</t>
  </si>
  <si>
    <t>English, Czech</t>
  </si>
  <si>
    <t>L372766894</t>
  </si>
  <si>
    <t>10.55095/achot2014/004</t>
  </si>
  <si>
    <t>http://dx.doi.org/10.55095/achot2014/004</t>
  </si>
  <si>
    <t>https://www.embase.com/search/results?subaction=viewrecord&amp;id=L372766894&amp;from=export</t>
  </si>
  <si>
    <t>https://catalyst.library.jhu.edu/openurl/01JHU_INST/01JHU_INST:JHU?sid=EMBASE&amp;sid=EMBASE&amp;issn=00015415&amp;id=doi:10.55095%2Fachot2014%2F004&amp;atitle=Anatomical+ACL+reconstruction+by+a+double-+versus+a+single-bundle+technique.+prospective+randomised+study+of+short-term+clinical+results&amp;stitle=Acta+Chir.+Orthop.+Traumatol.+Cech.&amp;title=Acta+Chirurgiae+Orthopaedicae+et+Traumatologiae+Cechoslovaca&amp;volume=81&amp;issue=1&amp;spage=40&amp;epage=50&amp;aulast=Zeman&amp;aufirst=P.&amp;auinit=P.&amp;aufull=Zeman+P.&amp;coden=ACOTA&amp;isbn=&amp;pages=40-50&amp;date=2014&amp;auinit1=P&amp;auinitm=</t>
  </si>
  <si>
    <t>A comparison of functional outcomes after metallic and bioabsorbable interference screw fixations in arthroscopic ACL reconstructions</t>
  </si>
  <si>
    <t>Hegde A.S., Rai D.K., Kannampilly A.J.</t>
  </si>
  <si>
    <t>(Hegde A.S., atmanandahegde@gmail.com; Rai D.K.; Kannampilly A.J.) Department of Orthopaedics, Yenepoya Medical College, Mangalore, India.</t>
  </si>
  <si>
    <t>A. Hegde, 102, Dune Apartments, 1st Cross Road, Shivbagh, Mangalore. 575002, India. Email: atmanandahegde@gmail.com</t>
  </si>
  <si>
    <t>Journal of Clinical and Diagnostic Research (2014) 8:4 (LC01-LC03). Date of Publication: April 2014</t>
  </si>
  <si>
    <t>Journal of Clinical and Diagnostic Research, editor-in-chief@jcdr.net</t>
  </si>
  <si>
    <t>Introduction: Anterior Cruciate Ligament (ACL) is as one of the most frequently injured ligaments in the modern contact sports scenario. Graft fixations can be achieved during anterior cruciate ligament (ACL) reconstructions by using either bioabsorbable screws or metal screws. The objective of this study was to compare the functional outcomes after bioabsorbable and metallic interference screw fixations in arthroscopic anterior cruciate ligament reconstructions done by using hamstring grafts. Materials and Methods: This was a prospective, randomized study. Patients in Group 1 received bioabsorbable interference screws and patients in Group 2 received metallic interference screws. Arthroscopic assisted, anterior cruciate ligament reconstructions with the use of hamstring grafts which were fixed proximally with endobuttons and distally with bioabsorbable or metallic interference screws, were undertaken. Progress in functional outcomes was assessed by using Mann Whitney U- test. Functional outcomes in the two groups were compared by using independent t-test. Observation and Results: In each group, there were statistically significant improvements in functional outcomes over successive follow-ups, which were seen on basis on Mann-Whitney U-test. The comparison of functional outcomes between the two groups, done by using independent t-test, showed no statistically significant differences between the two groups at 3 months, 6 months and 1 year of follow-up. p-value &lt;0.05 was considered to be significant in our study. Conclusion:In our prospective study of comparison of functional outcomes between bioabsorbable and metallic interference screws in arthroscopic anterior cruciate ligament reconstuctions, which were evaluated by using Tegner activity scale and Lysholm knee scoring scale for a period of 1 year, no statistically significant difference was found. However, further authentication is required by doing long term studies.</t>
  </si>
  <si>
    <t>L372840609</t>
  </si>
  <si>
    <t>10.7860/JCDR/2014/8834.4237</t>
  </si>
  <si>
    <t>http://dx.doi.org/10.7860/JCDR/2014/8834.4237</t>
  </si>
  <si>
    <t>https://www.embase.com/search/results?subaction=viewrecord&amp;id=L372840609&amp;from=export</t>
  </si>
  <si>
    <t>https://catalyst.library.jhu.edu/openurl/01JHU_INST/01JHU_INST:JHU?sid=EMBASE&amp;sid=EMBASE&amp;issn=0973709X&amp;id=doi:10.7860%2FJCDR%2F2014%2F8834.4237&amp;atitle=A+comparison+of+functional+outcomes+after+metallic+and+bioabsorbable+interference+screw+fixations+in+arthroscopic+ACL+reconstructions&amp;stitle=J.+Clin.+Diagn.+Res.&amp;title=Journal+of+Clinical+and+Diagnostic+Research&amp;volume=8&amp;issue=4&amp;spage=&amp;epage=&amp;aulast=Hegde&amp;aufirst=Atmananda+S.&amp;auinit=A.S.&amp;aufull=Hegde+A.S.&amp;coden=&amp;isbn=&amp;pages=-&amp;date=2014&amp;auinit1=A&amp;auinitm=S</t>
  </si>
  <si>
    <t>Comparing the anatomic single-bundle versus the anatomic double-bundle for anterior cruciate ligament reconstruction: A prospective, randomized, single blind, clinical study</t>
  </si>
  <si>
    <t>Koken M., Akan B., Kaya A., Armangil M.</t>
  </si>
  <si>
    <t>(Koken M.; Akan B., burakakan1977@yahoo.co.uk; Kaya A.) Ufuk University, Ankara, Turkey. , (Armangil M.) Ankara University, Ankara, Turkey.</t>
  </si>
  <si>
    <t>B. Akan, Ufuk University, Ankara, Turkey. Email: burakakan1977@yahoo.co.uk</t>
  </si>
  <si>
    <t>European Orthopaedics and Traumatology (2014) 5:3 (247-252). Date of Publication: September 2014</t>
  </si>
  <si>
    <t>European Orthopaedics and Traumatology</t>
  </si>
  <si>
    <t>1867-4577 (electronic),1867-4569</t>
  </si>
  <si>
    <t>Purpose: The aim of this study was to compare the early results of anatomic single bundle versus double-bundle anterior cruciate ligament (ACL) reconstruction. Methods: We conducted a prospective randomized study of anatomic single-bundle versus double-bundle ACL reconstruction using the hamstring tendons of 67 patients with unilateral ACL deficiency. The subjects were randomized into two groups. The single-bundle group consisted of 37 patients and the double-bundle group 30 patients. We used the following evaluations: clinical examination, KT-1000 arthrometry, Tegner knee score, modified Cincinnati score, Knee Injury and Osteoarthritis Outcome Scale (KOOS), International Knee Documentation Committee (IKDC) score. Two surgeons performed all operations, and a blinded independent author conducted the clinical follow-up assessments. Results: The mean follow-up period was 25.8 months. The differences between the preoperative and postoperative clinical examinations and the KT-1000 measurements were statistically different in both groups (p &lt; 0.05). There were no statistically significant differences between the groups. Tegner knee scores, modified Cincinnati scores, and KOOS and IKDC scores showed statistically significant improvement in both groups (p &lt; 0.05). There were no statistically significant differences between the groups. Conclusions: This prospective study found no difference between the outcomes of the anatomic single-bundle and the anatomic double-bundle ACL reconstructions. Level of evidence II. Â© 2013 EFORT.</t>
  </si>
  <si>
    <t>L373811498</t>
  </si>
  <si>
    <t>10.1007/s12570-013-0231-1</t>
  </si>
  <si>
    <t>http://dx.doi.org/10.1007/s12570-013-0231-1</t>
  </si>
  <si>
    <t>https://www.embase.com/search/results?subaction=viewrecord&amp;id=L373811498&amp;from=export</t>
  </si>
  <si>
    <t>https://catalyst.library.jhu.edu/openurl/01JHU_INST/01JHU_INST:JHU?sid=EMBASE&amp;sid=EMBASE&amp;issn=18674577&amp;id=doi:10.1007%2Fs12570-013-0231-1&amp;atitle=Comparing+the+anatomic+single-bundle+versus+the+anatomic+double-bundle+for+anterior+cruciate+ligament+reconstruction%3A+A+prospective%2C+randomized%2C+single+blind%2C+clinical+study&amp;stitle=Eur.+Orthop.+Traumatol.&amp;title=European+Orthopaedics+and+Traumatology&amp;volume=5&amp;issue=3&amp;spage=247&amp;epage=252&amp;aulast=Koken&amp;aufirst=Murat&amp;auinit=M.&amp;aufull=Koken+M.&amp;coden=&amp;isbn=&amp;pages=247-252&amp;date=2014&amp;auinit1=M&amp;auinitm=</t>
  </si>
  <si>
    <t>Reduction of tunnel enlargement with use of autologous ruptured tissue in anterior cruciate ligament reconstruction: A pilot clinical trial</t>
  </si>
  <si>
    <t>Matsumoto T., Kuroda R., Matsushita T., Araki D., Hoshino Y., Nagamune K., Kurosaka M.</t>
  </si>
  <si>
    <t>(Matsumoto T., matsun@m4.dion.ne.jp; Kuroda R.; Matsushita T.; Araki D.; Kurosaka M.) Department of Orthopaedic Surgery, Kobe University, Graduate School of Medicine, 7-5-2 Kusunoki-cho, Chuo-ku, Kobe 650-0017, Japan. , (Hoshino Y.) Department of Orthopaedic Surgery, Kobe Kaisei Hospital, Kobe, Japan. , (Nagamune K.) Human and Artificial Intelligent Systems, University of Fukui, Graduate School of Engineering, Fukui, Japan.</t>
  </si>
  <si>
    <t>T. Matsumoto, Department of Orthopaedic Surgery, Kobe University, Graduate School of Medicine, 7-5-2 Kusunoki-cho, Chuo-ku, Kobe 650-0017, Japan. Email: matsun@m4.dion.ne.jp</t>
  </si>
  <si>
    <t>Arthroscopy - Journal of Arthroscopic and Related Surgery (2014) 30:4 (468-474). Date of Publication: April 2014</t>
  </si>
  <si>
    <t>Purpose To compare the tunnel enlargement of double-bundle (DB) anterior cruciate ligament reconstruction (ACLR) with and without suturing of autologous ruptured tissue to hamstring graft in patients with subacute anterior cruciate ligament injury. Methods Ten patients with subacute (3 months after injury) anterior cruciate ligament rupture were randomly allocated to undergo DB ACLR with suturing of the ruptured tissue to hamstring graft (n = 5) or conventional DB ACLR (n = 5). When autologous ruptured tissue was used, remnant ruptured tissue was then harvested, divided into 4 pieces, placed between the loops at the distal and proximal portions of the graft, and secured with the suture. As the primary endpoint, tunnel volume assessment by 3-dimensional multi-detector row computed tomography (MDCT) was performed 1 year after ACLR. To assess the efficacy of these procedures, the Lysholm score, anterior tibial translation (measured with a KT-1000 arthrometer [MEDmetric, San Diego, CA]), and rotational instability (measured by the pivot-shift test) were evaluated after 2 years. Results Tunnel volume enlargement between 3 weeks and 1 year after ACLR as assessed by 3-dimensional MDCT was significantly less for ACLR using ruptured tissue than for conventional ACLR, especially at the femoral site (P &lt;.05). However, the postoperative Lysholm score, anterior stability of the knee measured with the KT-1000 arthrometer, and rate of negative manual pivot-shift test results did not differ significantly between the 2 groups. There was no correlation to the clinical outcomes in terms of tunnel size. Conclusions The Lysholm score, anterior laxity measured with the KT-1000 arthrometer, and rotational instability according to the pivot-shift test did not differ significantly between ACLR using ruptured tissue and the conventional technique. However, ACLR using ruptured tissue produced less femoral tunnel enlargement as assessed by MDCT, warranting further long-term follow-up to elucidate its effectiveness. Level of Evidence Level II, prospective comparative study. Â© 2014 The Arthroscopy Association of North America. Published by Elsevier Inc. All rights reserved.</t>
  </si>
  <si>
    <t>L53024915</t>
  </si>
  <si>
    <t>http://dx.doi.org/10.1016/j.arthro.2013.12.014</t>
  </si>
  <si>
    <t>https://www.embase.com/search/results?subaction=viewrecord&amp;id=L53024915&amp;from=export</t>
  </si>
  <si>
    <t>https://catalyst.library.jhu.edu/openurl/01JHU_INST/01JHU_INST:JHU?sid=EMBASE&amp;sid=EMBASE&amp;issn=15263231&amp;id=doi:10.1016%2Fj.arthro.2013.12.014&amp;atitle=Reduction+of+tunnel+enlargement+with+use+of+autologous+ruptured+tissue+in+anterior+cruciate+ligament+reconstruction%3A+A+pilot+clinical+trial&amp;stitle=Arthroscopy+J.+Arthroscopic++Relat.+Surg.&amp;title=Arthroscopy+-+Journal+of+Arthroscopic+and+Related+Surgery&amp;volume=30&amp;issue=4&amp;spage=468&amp;epage=474&amp;aulast=Matsumoto&amp;aufirst=Tomoyuki&amp;auinit=T.&amp;aufull=Matsumoto+T.&amp;coden=ARTHE&amp;isbn=&amp;pages=468-474&amp;date=2014&amp;auinit1=T&amp;auinitm=</t>
  </si>
  <si>
    <t>KÄ±nÄ±klÄ± G.I., YÃ¼ksel I., BaltacÄ± G., Atay O.A.</t>
  </si>
  <si>
    <t>(KÄ±nÄ±klÄ± G.I.) Department of Physiotherapy and Rehabilitation, Faculty of Health Sciences, Hacettepe University, Ankara, Turkey. gizemirem83@yahoo.com, (YÃ¼ksel I.) Department of Physiotherapy and Rehabilitation, Faculty of Health Sciences, Hacettepe University, Ankara, Turkey, (BaltacÄ± G.) Department of Physiotherapy and Rehabilitation, Faculty of Health Sciences, Hacettepe University, Ankara, Turkey, (Atay O.A.) Department of Orthopaedics and Traumatology, Hacettepe University, Faculty of Medicine, Ankara, Turkey</t>
  </si>
  <si>
    <t>Acta orthopaedica et traumatologica turcica (2014) 48:3 (283-289). Date of Publication: 2014</t>
  </si>
  <si>
    <t>OBJECTIVE: The aim of this study was to assess the functional results of an early onset progressive eccentric and concentric training in patients with autogen hamstring anterior cruciate ligament (ACL) reconstruction.METHODS: Thirty-three patients with autogenous hamstring ACL reconstruction were randomly divided into study (n=16, mean age; 33.87Â±8.19) and control (n=17, mean age; 32.64Â±8.21) groups and followed the same ACL rehabilitation program. Additionally, the study group followed a progressive eccentric and concentric training for 12 weeks on the Monitorized Functional Squat System (MFSS) beginning 3 weeks after surgery. The groups were compared according to the isokinetic strength of the knee extensors and flexors, functional performance (the vertical jump test, a single hop for distance test) and the Lysholm knee scale, the Anterior Cruciate Ligament-Quality of Life Questionnaire (ACL-QOL), before and 16 weeks after the surgery.RESULTS: The functional outcomes in terms of the vertical jump test (p=0.012), a single hop-for-distance test (p=0.027), the Lysholm knee scale (p=0.002) and the ACL-QOL questionnaire (p=0.000) demonstrated significantly greater improvement in the study group. No significant difference was reported between groups for isokinetic strength of the knee extensors and flexors (p&gt;0.05).CONCLUSION: Adding progressive eccentric and concentric exercises to the standard rehabilitation protocol may improve the functional results after ACL reconstruction with autogen hamstring grafts.</t>
  </si>
  <si>
    <t>L605393811</t>
  </si>
  <si>
    <t>http://dx.doi.org/10.3944/AOTT.2014.13.0111</t>
  </si>
  <si>
    <t>https://www.embase.com/search/results?subaction=viewrecord&amp;id=L605393811&amp;from=export</t>
  </si>
  <si>
    <t>https://catalyst.library.jhu.edu/openurl/01JHU_INST/01JHU_INST:JHU?sid=EMBASE&amp;sid=EMBASE&amp;issn=1017995X&amp;id=doi:10.3944%2FAOTT.2014.13.0111&amp;atitle=The+effect+of+progressive+eccentric+and+concentric+training+on+functional+performance+after+autogenous+hamstring+anterior+cruciate+ligament+reconstruction%3A+a+randomized+controlled+study&amp;stitle=Acta+Orthop+Traumatol+Turc&amp;title=Acta+orthopaedica+et+traumatologica+turcica&amp;volume=48&amp;issue=3&amp;spage=283&amp;epage=289&amp;aulast=K%C4%B1n%C4%B1kl%C4%B1&amp;aufirst=Gizem+I.rem&amp;auinit=G.I.&amp;aufull=K%C4%B1n%C4%B1kl%C4%B1+G.I.&amp;coden=&amp;isbn=&amp;pages=283-289&amp;date=2014&amp;auinit1=G&amp;auinitm=I</t>
  </si>
  <si>
    <t>Do the patients really need concentrated and/or accelerated rehabilitation program after ACL surgery? A new lightened rehabilitation program: A prospective - Double blind - Randomized- controlled study</t>
  </si>
  <si>
    <t>Kaya D., Turhan E., DÃ¶nmez G., Doral M.N.</t>
  </si>
  <si>
    <t>(Kaya D.) Department of Physical Therapy and Rehabilitation, Faculty of Health Science, Biruni University, Istanbul, Turkey. , (Turhan E.; Doral M.N.) Department of Orthopaedics and Traumatology, Faculty of Medicine, Hacettepe University, Ankara, Turkey. , (DÃ¶nmez G.) Department of Sports Medicine, Faculty of Medicine, Hacettepe University, Ankara, Turkey.</t>
  </si>
  <si>
    <t>Orthopaedic Journal of Sports Medicine (2014) 2:11 Supplement 3. Date of Publication: 2014</t>
  </si>
  <si>
    <t>Objectives: The purpose of this study was to design and assess the outcomes of the new lightened rehabilitation program after anterior cruciate ligament reconstruction (ACL-R). Methods: Thirty-two of the 57 patients with ACL-R using tibialis anterior grafts completed the study. The patients in the lightened rehabilitation program were compared with patients in standard rehabilitation program. The two groups were assessed using International Knee Documentation Committee (IKDC) and Lysholm scores, isokinetic knee muscle strength, knee joint position sense, and hop test. Results: There were no significant differences in muscle strength of the quadriceps and hamstring at 60Â°/s, 180Â°/s, and 330Â°/s between the operative and non-operative side in the lightened rehabilitation group while there was significant difference in muscle strength of the quadriceps and hamstring at 60Â°/s between the operative and nonoperative side in the standard rehabilitation group. There were significant differences in muscle strength of the quadriceps and hamstring at 330Â°/s and joint position sense at 75Â°, 45Â°, and 15Â° between the operative side of the patients in lightened rehabilitation group and operative side of the patients in standard rehabilitation group. There was no difference in the knee joint position sense at 15Â°, 45Â°, and 75Â°, between the operative and non-operative side in the both groups. Conclusion: Clinical relevance of this study is that the new lightened rehabilitation program should be also succeeding as much as standard rehabilitation program after ACL-R. It is suggested that future studies might evaluate the effects of the new lightened rehabilitation program for different grafts and professional athletes.</t>
  </si>
  <si>
    <t>L611784198</t>
  </si>
  <si>
    <t>10.1177/2325967114S00274</t>
  </si>
  <si>
    <t>http://dx.doi.org/10.1177/2325967114S00274</t>
  </si>
  <si>
    <t>https://www.embase.com/search/results?subaction=viewrecord&amp;id=L611784198&amp;from=export</t>
  </si>
  <si>
    <t>https://catalyst.library.jhu.edu/openurl/01JHU_INST/01JHU_INST:JHU?sid=EMBASE&amp;sid=EMBASE&amp;issn=23259671&amp;id=doi:10.1177%2F2325967114S00274&amp;atitle=Do+the+patients+really+need+concentrated+and%2For+accelerated+rehabilitation+program+after+ACL+surgery%3F+A+new+lightened+rehabilitation+program%3A+A+prospective+-+Double+blind+-+Randomized-+controlled+study&amp;stitle=Orthop.+J.+Sports+Med.&amp;title=Orthopaedic+Journal+of+Sports+Medicine&amp;volume=2&amp;issue=11&amp;spage=&amp;epage=&amp;aulast=Kaya&amp;aufirst=Defne&amp;auinit=D.&amp;aufull=Kaya+D.&amp;coden=&amp;isbn=&amp;pages=-&amp;date=2014&amp;auinit1=D&amp;auinitm=</t>
  </si>
  <si>
    <t>The effects of early aggressive rehabilitation on outcomes after anterior cruciate ligament reconstruction using autologous hamstring tendon: A randomized clinical trial</t>
  </si>
  <si>
    <t>Christensen J.C., Goldfine L.R., West H.S.</t>
  </si>
  <si>
    <t>(Christensen J.C.; Goldfine L.R.; West H.S.) The Orthopedic Specialty Hospital, Murray, UT, United States.</t>
  </si>
  <si>
    <t>J.C. Christensen, The Orthopedic Specialty Hospital, Murray, UT, United States.</t>
  </si>
  <si>
    <t>Journal of Sport Rehabilitation (2013) 22:3 (191-201). Date of Publication: August 2013</t>
  </si>
  <si>
    <t>1056-6716,1543-3072 (electronic)</t>
  </si>
  <si>
    <t>Human Kinetics Publishers Inc., 1607 N. Market Street, Champaign, United States.</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</si>
  <si>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 Â© 2013 Human Kinetics, Inc.</t>
  </si>
  <si>
    <t>L370141788</t>
  </si>
  <si>
    <t>http://dx.doi.org/10.1123/jsr.22.3.191</t>
  </si>
  <si>
    <t>https://www.embase.com/search/results?subaction=viewrecord&amp;id=L370141788&amp;from=export</t>
  </si>
  <si>
    <t>https://catalyst.library.jhu.edu/openurl/01JHU_INST/01JHU_INST:JHU?sid=EMBASE&amp;sid=EMBASE&amp;issn=10566716&amp;id=doi:10.1123%2Fjsr.22.3.191&amp;atitle=The+effects+of+early+aggressive+rehabilitation+on+outcomes+after+anterior+cruciate+ligament+reconstruction+using+autologous+hamstring+tendon%3A+A+randomized+clinical+trial&amp;stitle=J.+Sport+Rehabil.&amp;title=Journal+of+Sport+Rehabilitation&amp;volume=22&amp;issue=3&amp;spage=191&amp;epage=201&amp;aulast=Christensen&amp;aufirst=Jesse+C.&amp;auinit=J.C.&amp;aufull=Christensen+J.C.&amp;coden=JSRHE&amp;isbn=&amp;pages=191-201&amp;date=2013&amp;auinit1=J&amp;auinitm=C</t>
  </si>
  <si>
    <t>Open kinetic chain exercises in a restricted range of motion after anterior cruciate ligament reconstruction: a randomized controlled clinical trial.</t>
  </si>
  <si>
    <t>Fukuda T.Y., Fingerhut D., Moreira V.C., Camarini P.M., Scodeller N.F., Duarte Jr. A., Martinelli M., Bryk F.F.</t>
  </si>
  <si>
    <t>(Fukuda T.Y., tfukuda10@yahoo.com.br) Santa Casa de SÃ£o Paulo, Setor de Fisioterapia, Rua Dr CesÃ¡rio Motta 112, 01221-020, SÃ£o Paulo-SP, Brazil., (Fingerhut D.; Moreira V.C.; Camarini P.M.; Scodeller N.F.; Duarte Jr. A.; Martinelli M.; Bryk F.F.)</t>
  </si>
  <si>
    <t>T.Y. Fukuda, Santa Casa de SÃ£o Paulo, Setor de Fisioterapia, Rua Dr CesÃ¡rio Motta 112, 01221-020, SÃ£o Paulo-SP, Brazil. Email: tfukuda10@yahoo.com.br</t>
  </si>
  <si>
    <t>The American journal of sports medicine (2013) 41:4 (788-794). Date of Publication: Apr 2013</t>
  </si>
  <si>
    <t>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To determine if an early start of OKC exercises for quadriceps strength in a restricted ROM would promote a clinical improvement without causing increased anterior knee laxity in patients after ACL reconstruction. Randomized controlled clinical trial; Level of evidence, 1.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45Â° and 90Â°. The LOKC group (n = 24; mean age, 24 years) performed the same protocol with a late start of OKC exercises between 0Â° and 90Â°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</si>
  <si>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L563021956</t>
  </si>
  <si>
    <t>https://www.embase.com/search/results?subaction=viewrecord&amp;id=L563021956&amp;from=export</t>
  </si>
  <si>
    <t>https://catalyst.library.jhu.edu/openurl/01JHU_INST/01JHU_INST:JHU?sid=EMBASE&amp;sid=EMBASE&amp;issn=15523365&amp;id=doi:&amp;atitle=Open+kinetic+chain+exercises+in+a+restricted+range+of+motion+after+anterior+cruciate+ligament+reconstruction%3A+a+randomized+controlled+clinical+trial.&amp;stitle=Am+J+Sports+Med&amp;title=The+American+journal+of+sports+medicine&amp;volume=41&amp;issue=4&amp;spage=788&amp;epage=794&amp;aulast=Fukuda&amp;aufirst=Thiago+Yukio&amp;auinit=T.Y.&amp;aufull=Fukuda+T.Y.&amp;coden=&amp;isbn=&amp;pages=788-794&amp;date=2013&amp;auinit1=T&amp;auinitm=Y</t>
  </si>
  <si>
    <t>The effect of early whole-body vibration therapy on neuromuscular control after anterior cruciate ligament reconstruction: a randomized controlled trial.</t>
  </si>
  <si>
    <t>Fu C.L., Yung S.H., Law K.Y., Leung K.H., Lui P.Y., Siu H.K., Chan K.M.</t>
  </si>
  <si>
    <t>(Fu C.L., allanfu@gmail.com) Chak Lun Allan Fu, Physiotherapy Department, Prince of Wales Hospital, Hong Kong., (Yung S.H.; Law K.Y.; Leung K.H.; Lui P.Y.; Siu H.K.; Chan K.M.)</t>
  </si>
  <si>
    <t>C.L. Fu, Chak Lun Allan Fu, Physiotherapy Department, Prince of Wales Hospital, Hong Kong. Email: allanfu@gmail.com</t>
  </si>
  <si>
    <t>The American journal of sports medicine (2013) 41:4 (804-814). Date of Publication: Apr 2013</t>
  </si>
  <si>
    <t>Despite rehabilitation training, deficiency in knee joint position sense, muscular performance, postural control, and functional ability is common after anterior cruciate ligament reconstruction (ACLR). Whole-body vibration therapy (WBVT), which is initiated from 3 months postoperatively, has proven benefits. However, the effect of earlier WBVT is unknown. To investigate the effect of early WBVT on neuromuscular control after ACLR. Randomized controlled trial; Level of evidence, 1. A total of 48 patients with unilateral complete isolated ACL tears were recruited. Single-bundle hamstring ACLR was performed in all patients. After surgery, they were randomly assigned to either the reference or treatment group. Reference group patients received conventional ACL rehabilitation, while treatment group patients received 8 weeks of WBVT in addition to conventional rehabilitation, starting from 1 month postoperatively. Joint position sense, postural control, and knee isokinetic performance were assessed before surgery and at 1, 3, and 6 months postoperatively using the Biodex dynamometer, Biodex Stability System, and Cybex NORM, respectively. Knee range of motion (ROM), stability (manual testing and KT-1000 arthrometer), and functional ability (single-legged hop test, triple hop test, shuttle run test, and carioca test) were also examined. Two-way repeated-measures analysis of variance and the Mann-Whitney U test were used for statistical analysis. There was no complication throughout the rehabilitation. All patients achieved full knee ROM and stable knee joints at 6 months after surgery. The WBVT group demonstrated significantly better postural control, muscle performance, single-legged hop, and shuttle run (P &lt; .05) than the reference group, but there was no significant difference in knee joint position sense, triple hop, carioca, ROM, and stability (P &gt; .05). Early WBVT started from 1 month postoperatively was an effective training method without compromising knee ROM and stability. It improved postural control, isokinetic performance, single-legged hop, and shuttle run but not knee joint position sense, triple hop, and carioca.</t>
  </si>
  <si>
    <t>L563021961</t>
  </si>
  <si>
    <t>https://www.embase.com/search/results?subaction=viewrecord&amp;id=L563021961&amp;from=export</t>
  </si>
  <si>
    <t>https://catalyst.library.jhu.edu/openurl/01JHU_INST/01JHU_INST:JHU?sid=EMBASE&amp;sid=EMBASE&amp;issn=15523365&amp;id=doi:&amp;atitle=The+effect+of+early+whole-body+vibration+therapy+on+neuromuscular+control+after+anterior+cruciate+ligament+reconstruction%3A+a+randomized+controlled+trial.&amp;stitle=Am+J+Sports+Med&amp;title=The+American+journal+of+sports+medicine&amp;volume=41&amp;issue=4&amp;spage=804&amp;epage=814&amp;aulast=Fu&amp;aufirst=Chak+Lun+Allan&amp;auinit=C.L.&amp;aufull=Fu+C.L.&amp;coden=&amp;isbn=&amp;pages=804-814&amp;date=2013&amp;auinit1=C&amp;auinitm=L</t>
  </si>
  <si>
    <t>Fukuda T.Y., Fingerhut D., Moreira V.C., Camarini P.M., Scodeller N.F., Duarte A., Martinelli M., Bryk F.F.</t>
  </si>
  <si>
    <t>(Fukuda T.Y.; Fingerhut D.; Moreira V.C.; Camarini P.M.; Scodeller N.F.; Duarte A.; Martinelli M.; Bryk F.F.) Santa Casa de SÃ£o Paulo, Setor de Fisioterapia, Rua Dr CesÃ¡rio Motta 112, 01221-020, SÃ£o Paulo-SP, Brazil. tfukuda10@yahoo.com.br</t>
  </si>
  <si>
    <t>The American journal of sports medicine (2013) 41:4 (788-794). Date of Publication: 1 Apr 2013</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</si>
  <si>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surgery.PURPOSE: To determine if an early start of OKC exercises for quadriceps strength in a restricted ROM would promote a clinical improvement without causing increased anterior knee laxity in patients after ACL reconstruction.STUDY DESIGN: Randomized controlled clinical trial; Level of evidence, 1.METHODS: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45Â° and 90Â°. The LOKC group (n = 24; mean age, 24 years) performed the same protocol with a late start of OKC exercises between 0Â° and 90Â°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months).RESULTS: No difference (P &lt; .05) was noted between groups with respect to demographic data. Both groups (EOKC and LOKC) had a higher level of function and less pain at the 19-week, 25-week, and 17-month assessments when compared with 12 weeks postoperatively (P &lt; .05). The EOKC group had improved quadriceps muscle strength at the 19-week, 25-week, and 17-month follow-up when compared with 12 weeks postoperatively (P &lt; .05); the LOKC group showed improvement only at the 17-month postoperative assessment. However, the analysis between groups showed no difference for all pain and functional assessments, including anterior knee laxity (P &gt; .05).CONCLUSION: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</si>
  <si>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L609092012</t>
  </si>
  <si>
    <t>http://dx.doi.org/10.1177/0363546513476482</t>
  </si>
  <si>
    <t>https://www.embase.com/search/results?subaction=viewrecord&amp;id=L609092012&amp;from=export</t>
  </si>
  <si>
    <t>https://catalyst.library.jhu.edu/openurl/01JHU_INST/01JHU_INST:JHU?sid=EMBASE&amp;sid=EMBASE&amp;issn=15523365&amp;id=doi:10.1177%2F0363546513476482&amp;atitle=Open+kinetic+chain+exercises+in+a+restricted+range+of+motion+after+anterior+cruciate+ligament+reconstruction%3A+a+randomized+controlled+clinical+trial&amp;stitle=Am+J+Sports+Med&amp;title=The+American+journal+of+sports+medicine&amp;volume=41&amp;issue=4&amp;spage=788&amp;epage=794&amp;aulast=Fukuda&amp;aufirst=Thiago+Y.ukio&amp;auinit=T.Y.&amp;aufull=Fukuda+T.Y.&amp;coden=&amp;isbn=&amp;pages=788-794&amp;date=2013&amp;auinit1=T&amp;auinitm=Y</t>
  </si>
  <si>
    <t>(Fu C.L.; Yung S.H.; Law K.Y.; Leung K.H.; Lui P.Y.; Siu H.K.; Chan K.M.) Chak Lun Allan Fu, Physiotherapy Department, Prince of Wales Hospital, Hong Kong. allanfu@gmail.com</t>
  </si>
  <si>
    <t>The American journal of sports medicine (2013) 41:4 (804-814). Date of Publication: 1 Apr 2013</t>
  </si>
  <si>
    <t>BACKGROUND: Despite rehabilitation training, deficiency in knee joint position sense, muscular performance, postural control, and functional ability is common after anterior cruciate ligament reconstruction (ACLR). Whole-body vibration therapy (WBVT), which is initiated from 3 months postoperatively, has proven benefits. However, the effect of earlier WBVT is unknown.PURPOSE: To investigate the effect of early WBVT on neuromuscular control after ACLR.STUDY DESIGN: Randomized controlled trial; Level of evidence, 1.METHODS: A total of 48 patients with unilateral complete isolated ACL tears were recruited. Single-bundle hamstring ACLR was performed in all patients. After surgery, they were randomly assigned to either the reference or treatment group. Reference group patients received conventional ACL rehabilitation, while treatment group patients received 8 weeks of WBVT in addition to conventional rehabilitation, starting from 1 month postoperatively. Joint position sense, postural control, and knee isokinetic performance were assessed before surgery and at 1, 3, and 6 months postoperatively using the Biodex dynamometer, Biodex Stability System, and Cybex NORM, respectively. Knee range of motion (ROM), stability (manual testing and KT-1000 arthrometer), and functional ability (single-legged hop test, triple hop test, shuttle run test, and carioca test) were also examined. Two-way repeated-measures analysis of variance and the Mann-Whitney U test were used for statistical analysis.RESULTS: There was no complication throughout the rehabilitation. All patients achieved full knee ROM and stable knee joints at 6 months after surgery. The WBVT group demonstrated significantly better postural control, muscle performance, single-legged hop, and shuttle run (P &lt; .05) than the reference group, but there was no significant difference in knee joint position sense, triple hop, carioca, ROM, and stability (P &gt; .05).CONCLUSION: Early WBVT started from 1 month postoperatively was an effective training method without compromising knee ROM and stability. It improved postural control, isokinetic performance, single-legged hop, and shuttle run but not knee joint position sense, triple hop, and carioca.</t>
  </si>
  <si>
    <t>L609092081</t>
  </si>
  <si>
    <t>http://dx.doi.org/10.1177/0363546513476473</t>
  </si>
  <si>
    <t>https://www.embase.com/search/results?subaction=viewrecord&amp;id=L609092081&amp;from=export</t>
  </si>
  <si>
    <t>https://catalyst.library.jhu.edu/openurl/01JHU_INST/01JHU_INST:JHU?sid=EMBASE&amp;sid=EMBASE&amp;issn=15523365&amp;id=doi:10.1177%2F0363546513476473&amp;atitle=The+effect+of+early+whole-body+vibration+therapy+on+neuromuscular+control+after+anterior+cruciate+ligament+reconstruction%3A+a+randomized+controlled+trial&amp;stitle=Am+J+Sports+Med&amp;title=The+American+journal+of+sports+medicine&amp;volume=41&amp;issue=4&amp;spage=804&amp;epage=814&amp;aulast=Fu&amp;aufirst=Chak+L.un+Allan&amp;auinit=C.L.&amp;aufull=Fu+C.L.&amp;coden=&amp;isbn=&amp;pages=804-814&amp;date=2013&amp;auinit1=C&amp;auinitm=L</t>
  </si>
  <si>
    <t>Hwang D.-H., Shetty G.M., Kim J.I., Kwon J.H., Song J.-K., MuÃ±oz M., Lee J.S., Nha K.-W.</t>
  </si>
  <si>
    <t>(Hwang D.-H.; Kim J.I.; Kwon J.H.; Song J.-K.; MuÃ±oz M.; Nha K.-W., kwnhamj@hotmail.com) Department of Orthopaedic Surgery, Inje University, Ilsanpaik Hospital, 2240 Daehwadong, Ilsanseogu, Goyangsi, Gyeonggido, 411-706, South Korea. , (Lee J.S.) Department of Orthopaedic Surgery, Gumdan Top General Hospital, Incheon, South Korea. , (Shetty G.M.) Department of Orthopaedic Surgery, Breach Candy Hospital, Mumbai, India.</t>
  </si>
  <si>
    <t>K.-W. Nha, Department of Orthopaedic Surgery, Inje University, Ilsanpaik Hospital, 2240 Daehwadong, Ilsanseogu, Goyangsi, Gyeonggido, 411-706, South Korea. Email: kwnhamj@hotmail.com</t>
  </si>
  <si>
    <t>Arthroscopy - Journal of Arthroscopic and Related Surgery (2013) 29:1 (83-88). Date of Publication: January 2013</t>
  </si>
  <si>
    <t>0749-8063,1526-3231 (electronic)</t>
  </si>
  <si>
    <t>Purpose: The purpose of this prospective, randomized, computed tomography-based study was to investigate whether the press-fit technique reduces tunnel volume enlargement (TVE) and improves the clinical outcome after anterior cruciate ligament reconstruction at a minimum follow-up of 1 year compared with conventional technique. Methods: Sixty-nine patients undergoing primary ACL reconstruction using hamstring autografts were randomly allocated to either the press-fit technique group (group A) or conventional technique group (group B). All patients were evaluated for TVE and tunnel widening using computed tomography scanning, for functional outcome using International Knee Documentation Committee and Lysholm scores, for rotational stability using the pivot-shift test, and for anterior laxity using the KT-2000 arthrometer at a minimum of 1-year follow-up. Results: There were no significant differences in TVE between the 2 groups. In group A, in which the press-fit technique was used, mean volume enlargement in the femoral tunnel was 65% compared with 71.5% in group B (P =.84). In group A, 57% (20 of 35) of patients developed femoral TVE compared with 67% (23 of 34) of patients in group B (P =.27). Both groups showed no significant difference for functional outcome (mean Lysholm score P =.73, International Knee Documentation Committee score P =.15), or knee laxity (anterior P =.78, rotational P =.22) at a minimum follow-up of 1 year. Conclusions: In a comparison of press-fit and conventional techniques, there were no significant differences in TVE and clinical outcome at short-term follow-up. Level of Evidence: Level II, therapeutic study, prospective randomized clinical trial. Â© 2013 by the Arthroscopy Association of North America.</t>
  </si>
  <si>
    <t>L368040271</t>
  </si>
  <si>
    <t>http://dx.doi.org/10.1016/j.arthro.2012.07.007</t>
  </si>
  <si>
    <t>https://www.embase.com/search/results?subaction=viewrecord&amp;id=L368040271&amp;from=export</t>
  </si>
  <si>
    <t>https://catalyst.library.jhu.edu/openurl/01JHU_INST/01JHU_INST:JHU?sid=EMBASE&amp;sid=EMBASE&amp;issn=07498063&amp;id=doi:10.1016%2Fj.arthro.2012.07.007&amp;atitle=Does+press-fit+technique+reduce+tunnel+volume+enlargement+after+anterior+cruciate+ligament+reconstruction+with+autologous+hamstring+tendons%3F+A+prospective+randomized+computed+tomography+study&amp;stitle=Arthroscopy+J.+Arthroscopic++Relat.+Surg.&amp;title=Arthroscopy+-+Journal+of+Arthroscopic+and+Related+Surgery&amp;volume=29&amp;issue=1&amp;spage=83&amp;epage=88&amp;aulast=Hwang&amp;aufirst=Dae-Hee&amp;auinit=D.-H.&amp;aufull=Hwang+D.-H.&amp;coden=ARTHE&amp;isbn=&amp;pages=83-88&amp;date=2013&amp;auinit1=D&amp;auinitm=-H</t>
  </si>
  <si>
    <t>Randomized controlled trial of osteoconductive fixation screws for anterior cruciate ligament reconstruction: A comparison of the calaxo and milagro screws</t>
  </si>
  <si>
    <t>Bourke H.E., Salmon L.J., Waller A., Winalski C.S., Williams H.A., Linklater J.M., Vasanji A., Roe J.P., Pinczewski L.A.</t>
  </si>
  <si>
    <t>(Bourke H.E.; Salmon L.J.; Waller A.; Williams H.A.; Roe J.P.; Pinczewski L.A., lpinczewski@nsosmc.com.au) North Sydney Orthopaedic and Sports Medicine Centre, Mater Clinic, 3 Gillies St., Wollstonecraft, Sydney, NSW 2065, Australia. , (Linklater J.M.) Castlereagh Imaging, St. Leonards, Australia. , (Winalski C.S.) Imaging Institute, Department of Biomedical Engineering, Lerner Research Institute, Cleveland, OH, United States. , (Vasanji A.) ImageIQ, Cleveland, OH, United States.</t>
  </si>
  <si>
    <t>L.A. Pinczewski, North Sydney Orthopaedic and Sports Medicine Centre, Mater Clinic, 3 Gillies St., Wollstonecraft, Sydney, NSW 2065, Australia. Email: lpinczewski@nsosmc.com.au</t>
  </si>
  <si>
    <t>Arthroscopy - Journal of Arthroscopic and Related Surgery (2013) 29:1 (74-82). Date of Publication: January 2013</t>
  </si>
  <si>
    <t>Purpose: To compare the outcome of 2 bioabsorbable screws for tibial interference fixation in anterior cruciate ligament reconstruction with reference to rate of absorption, osteoconductive properties, and clinical outcome. Methods: Patients undergoing primary anterior cruciate ligament reconstruction with hamstring autograft in a single unit were invited to participate in this study. Patients were randomized to receive either the Calaxo screw (Smith &amp; Nephew, Andover, MA) or Milagro screw (DePuy Mitek, Raynham, MA) for tibial fixation. Patients were reviewed with subjective and objective evaluation by use of the International Knee Documentation Committee form, Lysholm score, KT-1000 arthrometry (MEDmetric, San Diego, CA), and clinical examination. Magnetic resonance imaging was performed at 1 year and computed tomography scanning at 1 week and at 6, 12, and 24 months. Results: Sixty patients agreed to participate in the study, with 32 patients randomized to the Calaxo screw and 28 to the Milagro screw for tibial fixation. There was no significant difference in subjective or objective clinical outcome between the 2 groups. At 24 months, 88% of Calaxo screws showed complete screw resorption compared with 0% of Milagro screws (P &lt;.001). Tibial cysts were present in 88% of the Calaxo group and 7% of the Milagro group (P =.001). At 24 months, the mean volume of new bone formation for the Calaxo group was 21% of original screw volume. Ossification of the Milagro screw was unable to be accurately assessed as a result of incomplete screw resorption. Conclusions: Both screws showed similar favorable objective and subjective outcomes at 2 years. The Calaxo screw resorbed completely over a period of 6 months and was associated with a high incidence of intra-tunnel cyst formation. The Milagro screw increased in volume over a period of 6 months, followed by a gradual resorption, which was still ongoing at 2 years. Both screws were associated with tunnel widening, and neither showed evidence of significant tunnel ossification. We conclude that, despite satisfactory clinical outcomes, the addition of "osteoconductive" materials to bioabsorbable screws is not associated with bone formation at the screw site at 2 years. Level of Evidence: Level I, randomized controlled trial. Â© 2013 by the Arthroscopy Association of North America.</t>
  </si>
  <si>
    <t>L368040279</t>
  </si>
  <si>
    <t>http://dx.doi.org/10.1016/j.arthro.2012.10.021</t>
  </si>
  <si>
    <t>https://www.embase.com/search/results?subaction=viewrecord&amp;id=L368040279&amp;from=export</t>
  </si>
  <si>
    <t>https://catalyst.library.jhu.edu/openurl/01JHU_INST/01JHU_INST:JHU?sid=EMBASE&amp;sid=EMBASE&amp;issn=07498063&amp;id=doi:10.1016%2Fj.arthro.2012.10.021&amp;atitle=Randomized+controlled+trial+of+osteoconductive+fixation+screws+for+anterior+cruciate+ligament+reconstruction%3A+A+comparison+of+the+calaxo+and+milagro+screws&amp;stitle=Arthroscopy+J.+Arthroscopic++Relat.+Surg.&amp;title=Arthroscopy+-+Journal+of+Arthroscopic+and+Related+Surgery&amp;volume=29&amp;issue=1&amp;spage=74&amp;epage=82&amp;aulast=Bourke&amp;aufirst=Henry+E.&amp;auinit=H.E.&amp;aufull=Bourke+H.E.&amp;coden=ARTHE&amp;isbn=&amp;pages=74-82&amp;date=2013&amp;auinit1=H&amp;auinitm=E</t>
  </si>
  <si>
    <t>The impact of platelet-rich plasma on the prevention of tunnel widening in anterior cruciate ligament reconstruction using quadrupled autologous hamstring tendon: A randomised clinical trial</t>
  </si>
  <si>
    <t>Mirzatolooei F., Alamdari M.T., Khalkhali H.R.</t>
  </si>
  <si>
    <t>(Mirzatolooei F., fardin_tolouei@yahoo.com; Alamdari M.T.) Urmia University of Medical Sciences, Orthopaedic Department, Emamkhomeini Hospital, Ershad Ave, Urmia, Iran. , (Khalkhali H.R.) Urmia University of Medical Sciences, Department of Biostatistics and Epidemiology, Emamkhomeini Hospital, Ershad Ave, Urmia, Iran.</t>
  </si>
  <si>
    <t>F. Mirzatolooei, Urmia University of Medical Sciences, Orthopaedic Department, Emamkhomeini Hospital, Ershad Ave, Urmia, Iran. Email: fardin_tolouei@yahoo.com</t>
  </si>
  <si>
    <t>Journal of Bone and Joint Surgery - Series B (2013) 95 B:1 (65-69). Date of Publication: January 2013</t>
  </si>
  <si>
    <t>95 B</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</si>
  <si>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 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 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 We conclude that PRP has no significant effect in preventing tunnel widening after ACL reconstruction. Â© 2013 British Editorial Society of Bone &amp; Joint Surgery.</t>
  </si>
  <si>
    <t>L368366183</t>
  </si>
  <si>
    <t>http://dx.doi.org/10.1302/0301-620X.95B1.30487</t>
  </si>
  <si>
    <t>https://www.embase.com/search/results?subaction=viewrecord&amp;id=L368366183&amp;from=export</t>
  </si>
  <si>
    <t>https://catalyst.library.jhu.edu/openurl/01JHU_INST/01JHU_INST:JHU?sid=EMBASE&amp;sid=EMBASE&amp;issn=0301620X&amp;id=doi:10.1302%2F0301-620X.95B1.30487&amp;atitle=The+impact+of+platelet-rich+plasma+on+the+prevention+of+tunnel+widening+in+anterior+cruciate+ligament+reconstruction+using+quadrupled+autologous+hamstring+tendon%3A+A+randomised+clinical+trial&amp;stitle=J.+Bone+Jt.+Surg.+Ser.+B&amp;title=Journal+of+Bone+and+Joint+Surgery+-+Series+B&amp;volume=95+B&amp;issue=1&amp;spage=65&amp;epage=69&amp;aulast=Mirzatolooei&amp;aufirst=F.&amp;auinit=F.&amp;aufull=Mirzatolooei+F.&amp;coden=JBSUA&amp;isbn=&amp;pages=65-69&amp;date=2013&amp;auinit1=F&amp;auinitm=</t>
  </si>
  <si>
    <t>A prospective randomized study comparing double- and single-bundle techniques for anterior cruciate ligament reconstruction.</t>
  </si>
  <si>
    <t>AhldÃ©n M., Sernert N., Karlsson J., Kartus J.</t>
  </si>
  <si>
    <t>(AhldÃ©n M., mattias@ahlden.com) Mattias AhldÃ©n, Department of Orthopaedics, Sahlgrenska University Hospital/MÃ¶lndal, SE-431 80, MÃ¶lndal, Sweden., (Sernert N.; Karlsson J.; Kartus J.)</t>
  </si>
  <si>
    <t>M. AhldÃ©n, Email: mattias@ahlden.com</t>
  </si>
  <si>
    <t>The American journal of sports medicine (2013) 41:11 (2484-2491). Date of Publication: Nov 2013</t>
  </si>
  <si>
    <t>The aim of the study was to compare the results after arthroscopic anterior cruciate ligament (ACL) reconstruction using either the double-bundle or single-bundle technique with hamstring tendon autografts in an unselected group of patients. Double-bundle ACL reconstruction will render a better outcome on the pivot-shift test. Randomized controlled trial; Level of evidence, 1.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</si>
  <si>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L563069648</t>
  </si>
  <si>
    <t>https://www.embase.com/search/results?subaction=viewrecord&amp;id=L563069648&amp;from=export</t>
  </si>
  <si>
    <t>https://catalyst.library.jhu.edu/openurl/01JHU_INST/01JHU_INST:JHU?sid=EMBASE&amp;sid=EMBASE&amp;issn=15523365&amp;id=doi:&amp;atitle=A+prospective+randomized+study+comparing+double-+and+single-bundle+techniques+for+anterior+cruciate+ligament+reconstruction.&amp;stitle=Am+J+Sports+Med&amp;title=The+American+journal+of+sports+medicine&amp;volume=41&amp;issue=11&amp;spage=2484&amp;epage=2491&amp;aulast=Ahld%C3%A9n&amp;aufirst=Mattias&amp;auinit=M.&amp;aufull=Ahld%C3%A9n+M.&amp;coden=&amp;isbn=&amp;pages=2484-2491&amp;date=2013&amp;auinit1=M&amp;auinitm=</t>
  </si>
  <si>
    <t>Clinical Outcome and Tunnel Widening After Hamstring Anterior Cruciate Ligament Reconstruction: A Prospective Randomized Computed Tomography - Based Trial Comparing Aperture With Cortical Fixation</t>
  </si>
  <si>
    <t>clinicaltrials.gov (2012). Date of Publication: 4 Dec 2012</t>
  </si>
  <si>
    <t>Brief SummaryBackground: Failure of graft incorporation and tunnel widening (TW) after anterior cruciate ligament (ACL) reconstruction has been frequently reported in the literature. The etiology of TW is still not fully understood. Patients and Methods: This is a prospective randomized study including 60 patients, conducted in a Level I trauma center in Innsbruck, Austria. The study protocol was approved by the hospital ethics committee. This study is planned and conducted following the Consolidated Standards on Reporting Trials (CONSORT) guidelines. Aperture fixation is performed using BioComposite interference screws (Arthrex, Naples, FL). Extracortical fixation is performed using the ACL Tightrope (Arthrex, Naples, FL). TW is measured on CT scan postoperative, after 6 and 24 months. Clinical outcome is determined at 1, 2 after reconstruction, IKDC with KOOS Knee-related QoL subscale, Lysholm, Tegner Activity scores, hop tests and KT-1000 measurements are performed. Hypothesis: The purpose of this randomized controlled trail is to determine the influence of two different fixation methods on TW and clinical outcome after anatomic ACL reconstruction using hamstring graft in young and active patients.Detailed DescriptionThe study is a randomized controlled clinical trial and will be conducted at the Traumasurgery Innsbruck. Two different surgical methods are tested: ACL Tightrope reconstruction VS Biocomposite interference screws. Following eligibility criteria have to be met: 1. Age 18 -40 years 2. ACL insufficiency diagnosed by clinical examination (positive Lachman test and/or pivot shift test) and MRI (complete tear) 3. Not more than 12 month after trauma to the knee 4. Tegner Score 5 to 10 Not eligible if: 1. Earlier major knee injury to the index knee 2. Previous knee surgery (except diagnostic arthroscopy) to index knee 3. Associated knee fractures 4. Associated PCL injury, complete MCL or LCL tear 5. Concomitant severe injury to contra-lateral knee at time of assessment 6. Injury to the lateral/posterolateral ligament complex with increased laxity (positive dial test and external rotation thigh foot angle test), 7. Pregnancy and scope to become within next time 8. A history of deep vein thrombosis (DVT) or a disorder of the coagulative system 9. Claustrophobia 10. General systemic disease affecting physical function, any other condition or treatment interfering with the completion of the trial, including patients with metal devices, pacemaker or motion disorders 11. Chronic systemic use of steroids Following inclusion and exclusion criteria have to be met: Inclusion: 1. The ACL injury can be either "isolated" or combined with one or several of the following injuries visualized on MRI and/or arthroscopy: * A meniscus tear that is either left untreated or treated with a partial resection * A small, stable meniscus tear treated with fixation, but fixation not interfering with the rehabilitation protocol * Cartilage changes verified on MRI with arthroscopically determine intact surface 2. A radiographic examination with normal joint status or combined with either one of the following finding: * A small avulsed fragment located laterally, usually described as a Second fracture * JSN grade 1 or osteophytes grade 1 as determined by the OARSI atlas (Altman et al. 1995) 3. Agreement to participate in the study and signed informed consent prior to inclusion. Exclusion: 1.Presence of one of the following associated injuries to the index knee as visualized on MRI and/or arthroscopy: * An unstable longitudinal meniscus tear that requires repair and where the following postoperative treatment (i.e. bracing and limited ROM) interferes with the rehabilitation protocol * Bi-compartmental extensive meniscus resection * A cartilage injury representing a full thickness loss down to bone * A total rupture of MCL/LCL as visualized on MRI A power analysis was performed, estimating that a minimum of 34 patients (17 in each group) would be required to obtain a power more than 80%.</t>
  </si>
  <si>
    <t>LNCT01755819</t>
  </si>
  <si>
    <t>https://clinicaltrials.gov/study/NCT01755819</t>
  </si>
  <si>
    <t>https://www.embase.com/search/results?subaction=viewrecord&amp;id=LNCT01755819&amp;from=export</t>
  </si>
  <si>
    <t>(Mirzatolooei F., fardin_tolouei@yahoo.com) Department of Orthopedic Surgery, Urmia University of Medical Sciences, Urmia, Iran.</t>
  </si>
  <si>
    <t>F. Mirzatolooei, Urmia University of Medical Sciences, No. 34, Asghari Ave., Emamat Blvd., Urmia, 57199, Iran. Email: fardin_tolouei@yahoo.com</t>
  </si>
  <si>
    <t>Acta Orthopaedica et Traumatologica Turcica (2012) 46:5-6 (361-366). Date of Publication: 2012</t>
  </si>
  <si>
    <t>Acta Orthopaedica et Traumatologica Turcica</t>
  </si>
  <si>
    <t>Ekin Medical Publishing, Topkapi, Istanbul, Turkey.</t>
  </si>
  <si>
    <t>Objective: The aim of this study was to compare the clinical results of transtibial and transportal TransFixÂ® methods in ACL reconstruction. Methods: One hundred and sixty-eight patients were randomized into either transtibial TransFixÂ® (n=88) or transportal TransFixÂ® (n=80) femoral fixation groups for hamstring ACL reconstruction. Patients were clinically evaluated through history and physical examination as well as the International Knee Documentation Committee (IKDC) and Lysholm scores and a rolimeter over an 18-month time frame. Results: According to the IKDC score, there were more normal knees in the transportal group than the transtibial group (37 vs. 25). Mean Lysholm score was 78.32Â±10.7 in the transtibial group and 81.41Â±8.2 in the transportal group (p=0.037). Mean rolimeter value was 2.2Â±1.13 mm in the transtibial group and 1.73Â±0.85 mm in the transportal group (p=0.002). At the final follow-up, 20 patients in the transtibial group and 10 in the transportal group had a Lachman test grade of 2 or 3. More intraoperative complications in terms of graft passage difficulties and posterior wall blow-up were seen in the transportal group. Conclusion: Transportal TransFixÂ® technique appears to produce better clinical results than the traditional transtibial technique. Â© 2012 Turkish Association of Orthopaedics and Traumatology.</t>
  </si>
  <si>
    <t>L368352784</t>
  </si>
  <si>
    <t>10.3944/AOTT.2012.2679</t>
  </si>
  <si>
    <t>http://dx.doi.org/10.3944/AOTT.2012.2679</t>
  </si>
  <si>
    <t>https://www.embase.com/search/results?subaction=viewrecord&amp;id=L368352784&amp;from=export</t>
  </si>
  <si>
    <t>https://catalyst.library.jhu.edu/openurl/01JHU_INST/01JHU_INST:JHU?sid=EMBASE&amp;sid=EMBASE&amp;issn=1017995X&amp;id=doi:10.3944%2FAOTT.2012.2679&amp;atitle=Comparison+of+short+term+clinical+outcomes+between+transtibial+and+transportal+TransFix%C2%AE+femoral+fixation+in+hamstring+ACL+reconstruction&amp;stitle=Acta+Orthop.+Traumatol.+Turc.&amp;title=Acta+Orthopaedica+et+Traumatologica+Turcica&amp;volume=46&amp;issue=5-6&amp;spage=361&amp;epage=366&amp;aulast=Mirzatolooei&amp;aufirst=Fardin&amp;auinit=F.&amp;aufull=Mirzatolooei+F.&amp;coden=&amp;isbn=&amp;pages=361-366&amp;date=2012&amp;auinit1=F&amp;auinitm=</t>
  </si>
  <si>
    <t>Tibial Tunnel Widening in ACL Reconstruction-Comparing Two Bioscrews: A Prospective Randomized Clinical Trial</t>
  </si>
  <si>
    <t>clinicaltrials.gov (2012). Date of Publication: 7 Nov 2012</t>
  </si>
  <si>
    <t>Brief SummaryWidening of the single tibial tunnel following ACL surgery with quadrupled hamstrings autograft may contribute to failure of the graft and/or present technical challenges secondary to bone loss in a revision setting (Getelman, 1999). As such, efforts should be made to minimize the incidence and magnitude of tibial tunnel widening without sacrificing the biomechanical properties of the graft construct. The purpose of this investigation is to examine the tibial tunnel widening relationship between bioabsorbable interference screws composed of poly-L-lactic acid (PLLA) alone and composite bioabsorbable interference screws composed of poly-L-lactic acid embedded with beta tricalcium phosphate (PLLA+TCP) utilized as tibial fixation devices. Specifically the study has the following objectives: 1) To quantify the extent of tibial tunnel enlargement at 3-, 6- and 12-months post ACL reconstruction with autogenous quadrupled hamstring graft; 2) To determine if the incorporation of beta tricalcium phosphate to the bioabsorbable interference screw alters the observed magnitude of tunnel widening; 3) To hypothesize mechanisms for any observed differences between tibial fixation devices; and 4) To correlate tibial tunnel widening with clinical outcome status. It is hypothesized that the PLLA+TCP bioabsorbable interference screw will not be associated with a reduction in tibial tunnel widening around the implant but rather between the implant and articular surface, compared to the PLLA alone screw. It is also hypothesized that there will be no effect of observed tunnel widening on clinical outcomes or graft failure rates.</t>
  </si>
  <si>
    <t>LNCT01727739</t>
  </si>
  <si>
    <t>https://clinicaltrials.gov/study/NCT01727739</t>
  </si>
  <si>
    <t>https://www.embase.com/search/results?subaction=viewrecord&amp;id=LNCT01727739&amp;from=export</t>
  </si>
  <si>
    <t>Effect of calcium phosphate-hybridized tendon graft in anterior cruciate ligament reconstruction: a randomized controlled trial.</t>
  </si>
  <si>
    <t>Mutsuzaki H., Kanamori A., Ikeda K., Hioki S., Kinugasa T., Sakane M.</t>
  </si>
  <si>
    <t>(Mutsuzaki H.) Department of Orthopaedic Surgery, Ibaraki Prefectural University of Health Sciences, Ami-machi, Inashiki-gun, Japan., (Kanamori A.; Ikeda K.; Hioki S.; Kinugasa T.; Sakane M.)</t>
  </si>
  <si>
    <t>H. Mutsuzaki, Department of Orthopaedic Surgery, Ibaraki Prefectural University of Health Sciences, Ami-machi, Inashiki-gun, Japan.</t>
  </si>
  <si>
    <t>The American journal of sports medicine (2012) 40:8 (1772-1780). Date of Publication: Aug 2012</t>
  </si>
  <si>
    <t>The authors developed a novel technique to improve tendon-bone healing by hybridizing calcium phosphate (CaP) with a tendon graft using an alternating soaking process.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Randomized controlled trial; Level of evidence, 1.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All patients underwent a minimum 2-year follow-up. KT-1000 arthrometry data indicated statistically significant decreased average anterior tibial translation in the CaP group compared with the conventional method group: 1.0 Â± 2.0 mm versus 1.9 Â± 1.6 mm (P &lt; .05), respectively, at 1 year; 1.6 Â± 2.1 mm versus 2.6 Â± 2.4 mm (P &lt; .05), respectively, at 2 years. The Lysholm score was higher in the CaP group than in the conventional method group at 2 years (96.9 Â± 4.3 vs 91.7 Â± 13.3, P &lt; .05). The CaP-hybridized tendon graft reduced the percentage of bone tunnel enlargement of the anteroposterior diameter at the main joint aperture site 1 year postoperatively (femoral side: 15.5% Â± 13.4% vs 22.1% Â± 16.4%, P &lt; .05; tibial side: 19.3% Â± 17.1% vs 26.1% Â± 13.7%, P &lt; .05). The results of the pivot-shift test, IKDC grade, and Tegner score; the intensity of the tendon graft (MRI); and arthroscopic appearance were not significantly different at both follow-up periods in the 2 groups.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</si>
  <si>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calcium phosphate (10103-46-5, 13767-12-9, 14358-97-5, 7758-87-4)</t>
  </si>
  <si>
    <t>L366357224</t>
  </si>
  <si>
    <t>https://www.embase.com/search/results?subaction=viewrecord&amp;id=L366357224&amp;from=export</t>
  </si>
  <si>
    <t>https://catalyst.library.jhu.edu/openurl/01JHU_INST/01JHU_INST:JHU?sid=EMBASE&amp;sid=EMBASE&amp;issn=15523365&amp;id=doi:&amp;atitle=Effect+of+calcium+phosphate-hybridized+tendon+graft+in+anterior+cruciate+ligament+reconstruction%3A+a+randomized+controlled+trial.&amp;stitle=Am+J+Sports+Med&amp;title=The+American+journal+of+sports+medicine&amp;volume=40&amp;issue=8&amp;spage=1772&amp;epage=1780&amp;aulast=Mutsuzaki&amp;aufirst=Hirotaka&amp;auinit=H.&amp;aufull=Mutsuzaki+H.&amp;coden=&amp;isbn=&amp;pages=1772-1780&amp;date=2012&amp;auinit1=H&amp;auinitm=</t>
  </si>
  <si>
    <t>Double-bundle versus single-bundle anterior cruciate ligament reconstruction: a prospective randomized study with 5-year results.</t>
  </si>
  <si>
    <t>Suomalainen P., JÃ¤rvelÃ¤ T., Paakkala A., Kannus P., JÃ¤rvinen M.</t>
  </si>
  <si>
    <t>(Suomalainen P.) Tampere University Hospital (TAYS), Teiskontie 35, Tampere, 33520, Finland., (JÃ¤rvelÃ¤ T.; Paakkala A.; Kannus P.; JÃ¤rvinen M.)</t>
  </si>
  <si>
    <t>P. Suomalainen, Tampere University Hospital (TAYS), Teiskontie 35, Tampere, 33520, Finland. Email: piia.suomalainen@uta.fi</t>
  </si>
  <si>
    <t>The American journal of sports medicine (2012) 40:7 (1511-1518). Date of Publication: Jul 2012</t>
  </si>
  <si>
    <t>Surgical technique is essential in anterior cruciate ligament (ACL) reconstruction. This randomized 5-year study tested the hypothesis that double-bundle ACL reconstruction with hamstring autografts and aperture screw fixation has fewer graft ruptures and rates of osteoarthritis (OA) and better stability than single-bundle reconstruction. Randomized controlled trial; Level of evidence, 1. Ninety patients were randomized: double-bundle ACL reconstruction with bioabsorbable screw fixation (DB group; n = 30), single-bundle ACL reconstruction with bioabsorbable screw fixation (SBB group; n = 30), and single-bundle ACL reconstruction with metallic screw fixation (SBM group; n = 30). The following evaluation methods were used: clinical examination, KT-1000 arthrometer measurement, and International Knee Documentation Committee (IKDC) and Lysholm knee scores. Additionally, radiographic evaluation was made by a musculoskeletal radiologist who was unaware of the patients' clinical and surgical data. A single orthopaedic surgeon performed all the operations, and clinical follow-up assessments were made in a blinded manner by an independent examiner. Preoperatively, there were no differences between the groups. Eleven patients (7 in the SBB group, 3 in the SBM group, and 1 in the DB group) had a graft failure during the follow-up and went on to ACL revision surgery (P &lt; .043). Of the remaining 79 patients, a 5-year follow-up was performed for 65 patients (20 in the DB group, 21 in the SBB group, and 24 in the SBM group) who had their grafts intact. At 5 years, there was no statistically significant difference in the pivot-shift or KT-1000 arthrometer tests. In the DB group, 20% of the patients had OA in the medial femorotibial compartment and 10% in the lateral compartment, while the corresponding figures were 33% and 18% in the single-bundle groups, again an insignificant finding. Further, no significant group differences were found in the knee scores. The double-bundle surgery resulted in significantly fewer graft failures and subsequent revision ACL surgery than the single-bundle surgeries during the 5-year follow-up. Knee stability and OA rates were similar at 5 years. In view of the size of the groups, some caution should be exercised when interpreting the lack of difference in the secondary outcomes.</t>
  </si>
  <si>
    <t>L366005418</t>
  </si>
  <si>
    <t>https://www.embase.com/search/results?subaction=viewrecord&amp;id=L366005418&amp;from=export</t>
  </si>
  <si>
    <t>https://catalyst.library.jhu.edu/openurl/01JHU_INST/01JHU_INST:JHU?sid=EMBASE&amp;sid=EMBASE&amp;issn=15523365&amp;id=doi:&amp;atitle=Double-bundle+versus+single-bundle+anterior+cruciate+ligament+reconstruction%3A+a+prospective+randomized+study+with+5-year+results.&amp;stitle=Am+J+Sports+Med&amp;title=The+American+journal+of+sports+medicine&amp;volume=40&amp;issue=7&amp;spage=1511&amp;epage=1518&amp;aulast=Suomalainen&amp;aufirst=Piia&amp;auinit=P.&amp;aufull=Suomalainen+P.&amp;coden=&amp;isbn=&amp;pages=1511-1518&amp;date=2012&amp;auinit1=P&amp;auinitm=</t>
  </si>
  <si>
    <t>A Prospective and Consecutive Clinical Evaluation of Soft Tissue Regeneration's L-C LigamentÂ® in Primary ACL Reconstruction</t>
  </si>
  <si>
    <t>clinicaltrials.gov (2012). Date of Publication: 22 Jun 2012</t>
  </si>
  <si>
    <t>Brief SummaryThe purpose of this study is to evaluate the safety of a resorbable polymer implant (Soft Tissue Regeneration's L-C Ligament) for replacement and regeneration of the anterior cruciate ligament (ACL). Approximately 15 patients at 2-3 different hospitals in Europe will participate in this study. The hypothesis of this study is that the L-C Ligament will successfully regenerate the ACL with clinical outcomes similar to or better than surgical intervention with auto graft tissue.Detailed DescriptionReconstruction of the ACL is currently recommended as the standard of care following an ACL tear or rupture. The ACL has poor healing potential and repair of the damaged tissue is rarely successful. The gold standard for reconstruction of the ACL is autograft tissue, with the patellar and hamstring tendons the most common. The limitations of autograft are donor site morbidity and pain, and potential damage of the remaining tissue at the harvest site. Other problems include a limited amount of tendon available for harvesting, unpredictable resorption characteristics, and increased recovery time. Allografts are tissues such as patellar, hamstring, and Achilles tendons obtained from cadavers. The advantages of surgery with allograft are less pain and scarring, decreased surgical time, and faster rehabilitation. However, allografts can transmit disease, may elicit an unfavorable immunogenic response, and incorporate slower than autograft. Also, allografts cannot be sterilized without damaging the tissue, leading to a choice between a risk of bacterial infection and decreased tensile strength and healing potential. The proposed study is a prospective, consecutive, non-randomized, multicentre clinical trial conducted at up to five European sites, wherein 15 study subjects will undergo primary ACL reconstruction with the L-C Ligament. After screening procedures are completed, eligible study subjects who provide written informed consent will be enrolled in the study. Subjects will undergo preoperative clinical, MRI, and radiographic evaluations and undergo primary ACL reconstruction. Follow-up clinical evaluations will be performed post-op (range 1-8 weeks), 3 months (Â± 3 weeks), 6 months (Â± 3 weeks), 12 months (Â± 1 month), and 24 months (Â± 2 months) after surgery. Assessment of safety (i.e., assessment of adverse events and complications), pain, and clinical function as well as imaging will occur. In accordance with a separate radiographic protocol, analysis and scoring of MRI images (pre-op, 1 and 2 years), radiographs (pre- and post- op), and a CT scan post-op and at 1-year will be undertaken by an independent radiologist who will be masked to the identities of the subjects and clinical investigators. Outcome measures for imaging include position of the bone tunnels and interference screws, indirect evidence of ligament tissue remodeling, and evidence of tunnel-widening. Evidence of OA will also be monitored. The Principal Investigator and Co-Investigators will ensure that complications observed on radiographs, MRI, and CT images are reported to their ethics committee and the sponsor. The primary objective of this study is to evaluate the safety of the L-C Ligament in primary ACL reconstruction. Safety will be evaluated by the occurrence, frequency, and severity of intra- and post- operative complications; the primary end point is one year and follow-up wil be performed for a minimum of two years. Clinical function will be assessed with the IKDC-2000 Scale and functionality of the device at two years follow-up. The secondary objectives of this study are to determine efficacy by objectively and subjectively measuring pain, function, and the results of image analyses of the L-C Ligament in primary ACL reconstruction. Objective measures include the Lachman test, the anterior drawer test, the KT-1000 Arthrometer, the pivot-shift test, and the single-leg hop test. Pre- and post- operative objective and subjective measures include the Tegner and Lysholm scales. Pre- and post- op radiographs, MRI images pre-op, and at 1 and 2 years, and post-op and 1-year CT scans will be analyzed for position of the bone tunnels and screws, indirect evidence of ligament tissue remodeling, and evidence of widening of the bone tunnels.</t>
  </si>
  <si>
    <t>LNCT01634711</t>
  </si>
  <si>
    <t>https://clinicaltrials.gov/study/NCT01634711</t>
  </si>
  <si>
    <t>https://www.embase.com/search/results?subaction=viewrecord&amp;id=LNCT01634711&amp;from=export</t>
  </si>
  <si>
    <t>Comparison of anterior and rotatory laxity using navigation between single-and double-bundle ACL reconstruction: Prospective randomized trial</t>
  </si>
  <si>
    <t>Lee S., Kim H., Jang J., Seong S.C., Lee M.C.</t>
  </si>
  <si>
    <t>(Lee S., shlee3219@gmail.com; Kim H., hmkim21@gmail.com; Jang J., supercc@naver.com; Seong S.C., sangchul@plaza.snu.ac.kr; Lee M.C., leemc@snu.ac.kr) Department of Orthopaedic Surgery, Seoul National University College of Medicine, 101 Daehak-ro, Jongno-gu, Seoul 110744, South Korea.</t>
  </si>
  <si>
    <t>M. C. Lee, Department of Orthopaedic Surgery, Seoul National University College of Medicine, 101 Daehak-ro, Jongno-gu, Seoul 110744, South Korea. Email: leemc@snu.ac.kr</t>
  </si>
  <si>
    <t>Knee Surgery, Sports Traumatology, Arthroscopy (2012) 20:4 (752-761). Date of Publication: April 2012</t>
  </si>
  <si>
    <t>Purpose: To prospectively assess the anterior tibial translation and rotational kinematics of the knee joint as well as the clinical outcome after single-bundle (SB) and double-bundle (DB) anterior cruciate ligament (ACL) reconstruction. Methods: Forty-two patients randomly underwent single-bundle (Group SB, n = 21) or double-bundle (Group DB, n = 21) ACL reconstruction using hamstring tendon autografts. Anterior tibial translation and rotatory laxity were measured prior to and after fixation of the graft during reconstruction under the guidance of a navigation system. Clinical outcome measurements included the evaluation of the joint stability and functional status. Results: Anterior tibial translation and rotatory laxity were improved significantly at all degrees of knee flexion in both groups. The postoperative total rotation (sum of internal and external rotation) at 30Â° and 60Â° (26.6Â° vs. 24.0Â°; 28.7Â° vs. 25.1Â°) as well as postoperative change in external rotation at 60Â° (-1.4Â° vs. -4.6Â°), and a change in total rotation at 30Â° and 60Â° (-7.0Â° vs. -11.5Â°; -6.1Â° vs. -8.9Â°) differed between the two groups, with better stability in the DB group. At 2 years follow-up, IKDC subjective satisfaction score was significantly different between two groups (70.9 vs. 79.6), while manual and instrumented laxity, pivot shift tests, modified Lysholm score, Tegner activity score, thigh muscle strengths were not different. Correlation analysis showed little correlations between anterior laxity tests at follow-up, and the kinematic variables measured by navigation during surgery while pivot shift test, IKDC subjective satisfaction score, modified Lysholm score, and Tegner activity score were mainly correlated with navigation-measured rotations in both groups. Conclusions: The kinematic tests in this study found evidence suggesting that the DB ACL reconstruction improved rotatory laxity better than the SB ACL reconstruction at 30Â° and 60Â° of flexion, but there was no difference in functional outcome at 2 years follow-up between SB and DB groups. Level of evidence: Prospective comparative study, Level II. Â© 2012 Springer-Verlag.</t>
  </si>
  <si>
    <t>L51829401</t>
  </si>
  <si>
    <t>http://dx.doi.org/10.1007/s00167-012-1880-2</t>
  </si>
  <si>
    <t>https://www.embase.com/search/results?subaction=viewrecord&amp;id=L51829401&amp;from=export</t>
  </si>
  <si>
    <t>https://catalyst.library.jhu.edu/openurl/01JHU_INST/01JHU_INST:JHU?sid=EMBASE&amp;sid=EMBASE&amp;issn=09422056&amp;id=doi:10.1007%2Fs00167-012-1880-2&amp;atitle=Comparison+of+anterior+and+rotatory+laxity+using+navigation+between+single-and+double-bundle+ACL+reconstruction%3A+Prospective+randomized+trial&amp;stitle=Knee+Surg.+Sports+Traumatol.+Arthroscopy&amp;title=Knee+Surgery%2C+Sports+Traumatology%2C+Arthroscopy&amp;volume=20&amp;issue=4&amp;spage=752&amp;epage=761&amp;aulast=Lee&amp;aufirst=Sahnghoon&amp;auinit=S.&amp;aufull=Lee+S.&amp;coden=&amp;isbn=&amp;pages=752-761&amp;date=2012&amp;auinit1=S&amp;auinitm=</t>
  </si>
  <si>
    <t>Prospective randomized clinical evaluation of conventional single-bundle, anatomic single-bundle, and anatomic double-bundle anterior cruciate ligament reconstruction: 281 cases with 3- to 5-year follow-up.</t>
  </si>
  <si>
    <t>Hussein M., van Eck C.F., Cretnik A., Dinevski D., Fu F.H.</t>
  </si>
  <si>
    <t>(Hussein M.) Artros Center for Orthopaedic Surgery and Sports Medicine, Tehnoloski Park 21, 1000 Ljubljana, Slovenia., (van Eck C.F.; Cretnik A.; Dinevski D.; Fu F.H.)</t>
  </si>
  <si>
    <t>M. Hussein, Artros Center for Orthopaedic Surgery and Sports Medicine, Tehnoloski Park 21, 1000 Ljubljana, Slovenia. Email: mhussein@artros.si</t>
  </si>
  <si>
    <t>The American journal of sports medicine (2012) 40:3 (512-520). Date of Publication: Mar 2012</t>
  </si>
  <si>
    <t>Three different techniques of anterior cruciate ligament (ACL) reconstruction--conventional (transtibial) single bundle (CSB), anatomic single bundle (ASB), and anatomic double bundle (ADB)--have been described. To determine if double-bundle reconstruction is needed to restore rotational stability or if anatomic placement of a single bundle can yield similar results. Randomized controlled trial; Level of evidence, 1.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</si>
  <si>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L365234555</t>
  </si>
  <si>
    <t>https://www.embase.com/search/results?subaction=viewrecord&amp;id=L365234555&amp;from=export</t>
  </si>
  <si>
    <t>https://catalyst.library.jhu.edu/openurl/01JHU_INST/01JHU_INST:JHU?sid=EMBASE&amp;sid=EMBASE&amp;issn=15523365&amp;id=doi:&amp;atitle=Prospective+randomized+clinical+evaluation+of+conventional+single-bundle%2C+anatomic+single-bundle%2C+and+anatomic+double-bundle+anterior+cruciate+ligament+reconstruction%3A+281+cases+with+3-+to+5-year+follow-up.&amp;stitle=Am+J+Sports+Med&amp;title=The+American+journal+of+sports+medicine&amp;volume=40&amp;issue=3&amp;spage=512&amp;epage=520&amp;aulast=Hussein&amp;aufirst=Mohsen&amp;auinit=M.&amp;aufull=Hussein+M.&amp;coden=&amp;isbn=&amp;pages=512-520&amp;date=2012&amp;auinit1=M&amp;auinitm=</t>
  </si>
  <si>
    <t>Transplantation of single-bundle four-strand hamstring tendon via anteromedial approach for anterior cruciate ligament reconstruction</t>
  </si>
  <si>
    <t>Xu C.-M., Yang L., Hu Y.-H., Huangfu X.-Q.</t>
  </si>
  <si>
    <t>(Xu C.-M., sea009@126.com; Yang L.; Hu Y.-H.) Department of Orthopedics, Jiangsu Armed Police General Hospital, Yangzhou 225003, Jiangsu Province, China. , (Huangfu X.-Q.) Department of Orthopedics, The 6th People's Hospital of Shanghai Jiao Tong University, Shanghai 200233, China.</t>
  </si>
  <si>
    <t>Chinese Journal of Tissue Engineering Research (2012) 16:53 (9975-9979). Date of Publication: 2012</t>
  </si>
  <si>
    <t>BACKGROUND: There are rare clinical reports addressing the establishment of the anterior cruciate ligament femoral tunnel through the anteromedial approach. OBJECTIVE: To explore the feasibility of arthroscopic single-bundle four-strand hamstring tendon for anterior cruciate ligament reconstruction through the anteromedial approach. METHODS: Sixty-five patients who underwent anterior cruciate ligament reconstruction were randomly divided into two groups. Thirty-five patients accepted single-bundle four strands hamstring tendon anterior cruciate ligament reconstruction via anteromedial approach and 30 patients accepted single-bundle four strands hamstring tendon anterior cruciate ligament reconstruction through transtibial drilling technique. The average follow-up was 16 months. Anteroposterior stability, rotational stability and overall function of the knee were assessed. RESULTS AND CONCLUSION: At the final follow-up, there was no significant difference in the anteroposterior stability and Lysholm score between transtibial drilling group and anteromedial approach group (P &gt; 0.05). The positive rate of the pivot-shift test was 23% in transtibial drilling group and 6% in anteromedial approach group, and there was a significant difference between two groups (P &lt; 0.05). Both anteroposterior stability and rotational stability of the knee were reconstructed by single-bundle anterior cruciate ligament reconstruction via the anteromedial approach.</t>
  </si>
  <si>
    <t>L373888112</t>
  </si>
  <si>
    <t>10.3969/j.issn.2095-4344.2012.53.019</t>
  </si>
  <si>
    <t>http://dx.doi.org/10.3969/j.issn.2095-4344.2012.53.019</t>
  </si>
  <si>
    <t>https://www.embase.com/search/results?subaction=viewrecord&amp;id=L373888112&amp;from=export</t>
  </si>
  <si>
    <t>https://catalyst.library.jhu.edu/openurl/01JHU_INST/01JHU_INST:JHU?sid=EMBASE&amp;sid=EMBASE&amp;issn=16738225&amp;id=doi:10.3969%2Fj.issn.2095-4344.2012.53.019&amp;atitle=Transplantation+of+single-bundle+four-strand+hamstring+tendon+via+anteromedial+approach+for+anterior+cruciate+ligament+reconstruction&amp;stitle=Chin.+J.+Tissue+Eng.+Res.&amp;title=Chinese+Journal+of+Tissue+Engineering+Research&amp;volume=16&amp;issue=53&amp;spage=9975&amp;epage=9979&amp;aulast=Xu&amp;aufirst=Chang-ming&amp;auinit=C.-M.&amp;aufull=Xu+C.-M.&amp;coden=&amp;isbn=&amp;pages=9975-9979&amp;date=2012&amp;auinit1=C&amp;auinitm=-M</t>
  </si>
  <si>
    <t>DemiraÄŸ B., Ermutlu C., Aydemir F., Durak K.</t>
  </si>
  <si>
    <t>(DemiraÄŸ B.; Ermutlu C.; Aydemir F.; Durak K.) Department of Orthopedics and Traumatology, Medical Faculty of UludaÄŸ University, 16059 GÃ¶rÃ¼kle, Bursa, Turkey. burakdemirag@hotmail.com</t>
  </si>
  <si>
    <t>Eklem hastalÄ±klarÄ± ve cerrahisi = Joint diseases &amp; related surgery (2012) 23:3 (140-144). Date of Publication: 2012</t>
  </si>
  <si>
    <t>Eklem hastalÄ±klarÄ± ve cerrahisi = Joint diseases &amp; related surgery</t>
  </si>
  <si>
    <t>1309-0313 (electronic)</t>
  </si>
  <si>
    <t>OBJECTIVES: This study aims to compare the clinical outcome and possible complications of augmentation technique and standard reconstruction for the treatment of partial anterior cruciate ligament (ACL) tears.PATIENTS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side.CONCLUSION: In the repair of partial ACL tears, augmentation technique is as effective as the standard technique, leading to, less tunnel widening evidently in the tibial tunnel, particularly.</t>
  </si>
  <si>
    <t>L605722717</t>
  </si>
  <si>
    <t>https://www.embase.com/search/results?subaction=viewrecord&amp;id=L605722717&amp;from=export</t>
  </si>
  <si>
    <t>https://catalyst.library.jhu.edu/openurl/01JHU_INST/01JHU_INST:JHU?sid=EMBASE&amp;sid=EMBASE&amp;issn=13090313&amp;id=doi:&amp;atitle=A+comparison+of+clinical+outcome+of+augmentation+and+standard+reconstruction+techniques+for+partial+anterior+cruciate+ligament+tears&amp;stitle=Eklem+Hastalik+Cerrahisi&amp;title=Eklem+hastal%C4%B1klar%C4%B1+ve+cerrahisi+%3D+Joint+diseases+%26+related+surgery&amp;volume=23&amp;issue=3&amp;spage=140&amp;epage=144&amp;aulast=Demira%C4%9F&amp;aufirst=Burak&amp;auinit=B.&amp;aufull=Demira%C4%9F+B.&amp;coden=&amp;isbn=&amp;pages=140-144&amp;date=2012&amp;auinit1=B&amp;auinitm=</t>
  </si>
  <si>
    <t>Tibial fixation in anterior cruciate ligament reconstruction: a prospective randomized study comparing metal interference screw and staples with a centrally placed polyethylene screw and sheath.</t>
  </si>
  <si>
    <t>De Wall M., Scholes C.J., Patel S., Coolican M.R., Parker D.A.</t>
  </si>
  <si>
    <t>(De Wall M.) Sydney Orthopaedic Research Institute, Chatswood NSW, Australia., (Scholes C.J.; Patel S.; Coolican M.R.; Parker D.A.)</t>
  </si>
  <si>
    <t>M. De Wall, Sydney Orthopaedic Research Institute, Chatswood NSW, Australia.</t>
  </si>
  <si>
    <t>The American journal of sports medicine (2011) 39:9 (1858-1864). Date of Publication: Sep 2011</t>
  </si>
  <si>
    <t>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Centrally placed, polyethylene screw and sheath implants will provide clinically equivalent fixation to the standard metal interference screw and supplemental staple fixation. Study Design: Randomized controlled trial; Level of evidence, 1.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The centrally placed polyethylene screw and sheath provided equivalent clinical outcomes at minimum 2-year follow-up to standard tibial fixation with metal interference screw and staples.</t>
  </si>
  <si>
    <t>polyethylene (9002-88-4)</t>
  </si>
  <si>
    <t>L560020602</t>
  </si>
  <si>
    <t>https://www.embase.com/search/results?subaction=viewrecord&amp;id=L560020602&amp;from=export</t>
  </si>
  <si>
    <t>https://catalyst.library.jhu.edu/openurl/01JHU_INST/01JHU_INST:JHU?sid=EMBASE&amp;sid=EMBASE&amp;issn=15523365&amp;id=doi:&amp;atitle=Tibial+fixation+in+anterior+cruciate+ligament+reconstruction%3A+a+prospective+randomized+study+comparing+metal+interference+screw+and+staples+with+a+centrally+placed+polyethylene+screw+and+sheath.&amp;stitle=Am+J+Sports+Med&amp;title=The+American+journal+of+sports+medicine&amp;volume=39&amp;issue=9&amp;spage=1858&amp;epage=1864&amp;aulast=De+Wall&amp;aufirst=Mathew&amp;auinit=M.&amp;aufull=De+Wall+M.&amp;coden=&amp;isbn=&amp;pages=1858-1864&amp;date=2011&amp;auinit1=M&amp;auinitm=</t>
  </si>
  <si>
    <t>Double-bundle versus single-bundle anterior cruciate ligament reconstruction: randomized clinical and magnetic resonance imaging study with 2-year follow-up.</t>
  </si>
  <si>
    <t>Suomalainen P., Moisala A.S., Paakkala A., Kannus P., JÃ¤rvelÃ¤ T.</t>
  </si>
  <si>
    <t>(Suomalainen P.) Tampere University Hospital, Tampere, Finland., (Moisala A.S.; Paakkala A.; Kannus P.; JÃ¤rvelÃ¤ T.)</t>
  </si>
  <si>
    <t>P. Suomalainen, Tampere University Hospital, Tampere, Finland. Email: piia.suomalainen@uta.fi</t>
  </si>
  <si>
    <t>The American journal of sports medicine (2011) 39:8 (1615-1622). Date of Publication: Aug 2011</t>
  </si>
  <si>
    <t>One aspect of the debate over the reconstruction of the anterior cruciate ligament is whether it should be carried out with the single-bundle or double-bundle technique. The double-bundle technique results in fewer graft failures than the single-bundle technique in anterior cruciate ligament reconstruction. Randomized controlled trial; Level of evidence, 1. A total of 153 patients were prospectively randomized into 2 groups of anterior cruciate ligament reconstruction with hamstring autografts using aperture interference screw fixation: single-bundle technique (SB group, n = 78) and double-bundle technique (DB group, n = 75). The evaluation methods were clinical examination, KT-1000 arthrometric measurement, the International Knee Documentation Committee (IKDC) and the Lysholm knee scores, and magnetic resonance imaging (MRI) evaluation. All of the operations were performed by 1 experienced orthopaedic surgeon, and all clinical assessments were made by 2 blinded and independent examiners. A musculoskeletal radiologist blinded to the clinical data made the MRI interpretation. There were no differences between the study groups preoperatively. Ninety percent of patients (n = 138) were available at a minimum 2-year follow-up (range, 24-37 months). Eight patients (7 in the SB group and 1 in the DB group) had graft failure during the follow-up and had anterior cruciate ligament revision surgery (P = .04). In addition, 7 patients (5 in the SB group and 2 in the DB group) had an invisible graft on the MRI assessment at the 2-year follow-up. Also, the anteromedial bundle was partially invisible in 2 patients and the posterolateral bundle in 9 patients. Together, the total number of failures and invisible grafts were significantly higher in the SB group (12 patients, 15%) than the DB group (3 patients, 4%) (P = .024). No significant group differences were found in the knee scores or stability evaluations at the follow-up. This 2-year randomized trial showed that the revision rate of the anterior cruciate ligament reconstruction was significantly lower with the double-bundle technique than that with the single-bundle technique. However, additional years of follow-up are needed to reveal the long-term results.</t>
  </si>
  <si>
    <t>L560029995</t>
  </si>
  <si>
    <t>https://www.embase.com/search/results?subaction=viewrecord&amp;id=L560029995&amp;from=export</t>
  </si>
  <si>
    <t>https://catalyst.library.jhu.edu/openurl/01JHU_INST/01JHU_INST:JHU?sid=EMBASE&amp;sid=EMBASE&amp;issn=15523365&amp;id=doi:&amp;atitle=Double-bundle+versus+single-bundle+anterior+cruciate+ligament+reconstruction%3A+randomized+clinical+and+magnetic+resonance+imaging+study+with+2-year+follow-up.&amp;stitle=Am+J+Sports+Med&amp;title=The+American+journal+of+sports+medicine&amp;volume=39&amp;issue=8&amp;spage=1615&amp;epage=1622&amp;aulast=Suomalainen&amp;aufirst=Piia&amp;auinit=P.&amp;aufull=Suomalainen+P.&amp;coden=&amp;isbn=&amp;pages=1615-1622&amp;date=2011&amp;auinit1=P&amp;auinitm=</t>
  </si>
  <si>
    <t>Comparison of the clinical outcome of double-bundle, anteromedial single-bundle, and posterolateral single-bundle anterior cruciate ligament reconstruction using hamstring tendon graft with minimum 2-year follow-up</t>
  </si>
  <si>
    <t>Fujita N., Kuroda R., Matsumoto T., Yamaguchi M., Yagi M., Matsumoto A., Kubo S., Matsushita T., Hoshino Y., Nishimoto K., Araki D., Kurosaka M.</t>
  </si>
  <si>
    <t>(Fujita N.; Kuroda R., kurodar@med.kobe-u.ac.jp; Matsumoto T.; Kubo S.; Matsushita T.; Hoshino Y.; Nishimoto K.; Araki D.; Kurosaka M.) Department of Orthopaedic Surgery, Kobe University, Graduate School of Medicine, Chyuo-ku Kusunokichou 7-5-2, 6500017 Kobe, Japan. , (Yamaguchi M.) Department of Orthopaedic Surgery, Meiwa Hospital, Hyogo, Japan. , (Yagi M.) Department of Orthopaedic Surgery, Hyogo College of Medicine, Nishinomiya, Japan. , (Matsumoto A.) Department of Orthopaedic Surgery, Kaisei Hospital, Hyogo, Japan.</t>
  </si>
  <si>
    <t>R. Kuroda, Department of Orthopaedic Surgery, Kobe University, Graduate School of Medicine, Chyuo-ku Kusunokichou 7-5-2, 6500017 Kobe, Japan. Email: kurodar@med.kobe-u.ac.jp</t>
  </si>
  <si>
    <t>Arthroscopy - Journal of Arthroscopic and Related Surgery (2011) 27:7 (906-913). Date of Publication: July 2011</t>
  </si>
  <si>
    <t>Purpose: The purpose of this study was to obtain more than 2 years' follow-up after surgery to investigate the effect of the difference in rotatory stability based on our previous data on the clinical outcome among 3 groups: double-bundle (DB) reconstruction group, anteromedial (AM) single-bundle reconstruction group, and posterolateral (PL) single-bundle reconstruction group. Methods: We randomly separated 55 patients with anterior cruciate ligament rupture into 3 groups: 18 in DB group, 18 in AM group, and 19 in PL group. The mean follow-up period is 33.7 months for the DB group, 31.9 months for the AM group, and 33.2 months for the PL group. We evaluated the Lysholm score, Tegner score, anterior laxity with the KT-1000 arthrometer (MEDmetric, San Diego, CA), rotator instability with the pivot-shift test, and muscle strength with knee extensor and flexor isokinetic peak torques at 60Â°/s. Results: There were no significant differences in postoperative Lysholm score and Tegner score. Anterior stability of the knee, as measured by the KT-1000 arthrometer, was significantly better in the DB group than the PL group (P &lt; .05). The negative rate of the manual pivot-shift test in the DB group was significantly superior to the PL group (P &lt; .05). Muscle strength of the extensor in the DB group was significantly superior to that in the AM group (P &lt; .05), and muscle strength of the flexor in the PL group was significantly inferior to that in both the DB and AM groups (P &lt; .05). Two patients in the PL group had rerupture; however, there was no graft failure in the other groups. Conclusions: At 2 years' follow-up, patients undergoing DB anterior cruciate ligament reconstruction had greater extension strength than patients receiving an AM single-bundle reconstruction. The DB and AM groups had greater flexion strength than the PL group. The DB and AM groups had a similar rate of negative pivot-shift test results, whereas the PL group had fewer negative pivot-shift test results than the DB group. There were no KT-1000 side-to-side differences between the DB and AM groups, whereas the DB group had better results than the PL group. Overall, the clinical outcome as measured by Lysholm and Tegner scores was not different between groups. Level of Evidence: Level II, prospective comparative study. Â© 2011 Arthroscopy Association of North America.</t>
  </si>
  <si>
    <t>L361990870</t>
  </si>
  <si>
    <t>10.1016/j.arthro.2011.02.015</t>
  </si>
  <si>
    <t>http://dx.doi.org/10.1016/j.arthro.2011.02.015</t>
  </si>
  <si>
    <t>https://www.embase.com/search/results?subaction=viewrecord&amp;id=L361990870&amp;from=export</t>
  </si>
  <si>
    <t>https://catalyst.library.jhu.edu/openurl/01JHU_INST/01JHU_INST:JHU?sid=EMBASE&amp;sid=EMBASE&amp;issn=07498063&amp;id=doi:10.1016%2Fj.arthro.2011.02.015&amp;atitle=Comparison+of+the+clinical+outcome+of+double-bundle%2C+anteromedial+single-bundle%2C+and+posterolateral+single-bundle+anterior+cruciate+ligament+reconstruction+using+hamstring+tendon+graft+with+minimum+2-year+follow-up&amp;stitle=Arthroscopy+J.+Arthroscopic++Relat.+Surg.&amp;title=Arthroscopy+-+Journal+of+Arthroscopic+and+Related+Surgery&amp;volume=27&amp;issue=7&amp;spage=906&amp;epage=913&amp;aulast=Fujita&amp;aufirst=Norifumi&amp;auinit=N.&amp;aufull=Fujita+N.&amp;coden=ARTHE&amp;isbn=&amp;pages=906-913&amp;date=2011&amp;auinit1=N&amp;auinitm=</t>
  </si>
  <si>
    <t>Proprioceptive Function, Postural Stability &amp; Clinical Outcome After Stump Preserving Anterior Cruciate Ligament Reconstruction Surgery - A Comparative Study</t>
  </si>
  <si>
    <t>clinicaltrials.gov (2011). Date of Publication: 4 May 2011</t>
  </si>
  <si>
    <t>Brief SummaryAnterior cruciate ligament (ACL) is known to serve a number of functions in the knee joint. Besides providing mechanical stability, it also contributes to proprioceptive function. Numerous studies reported ACL is rich in mechanoreceptors contribute in proprioceptive function. ACL augmentation, or selective ACL bundle (AM, anteromedial or PL, posterolateral) reconstruction, a relatively new technique for partial torn ACL, preserves and augments the ACL remnant aiming at maintaining or facilitating proprioception, is now gaining its popularity. Preserving ACL stump is also reported to have merits in providing better mechanical protection and promoting revascularization to the newly reconstructed graft. In local setting, stump preserving ACL surgery is the usual practice in handling partial ACL tear. With the background of the surgery's potential benefits in restoration of knee function, a single-blinded, comparative study on the difference in proprioception, postural stability and clinical outcome between stump preserving ACL surgery and reconstruction is conducted.Detailed DescriptionAnterior cruciate ligament (ACL) is well known to be the knee's primary stabilizer which would be compromised by ligamentous injury, causing various functional deficits. Currently, ACL reconstruction is the common management focus on restoration of stability. Beside joint stabilization, proprioception, defined as the system of joint position sense and movement, is another function of the ACL which has also been widely studied. The proprioceptive function of human ACL has been recognized since the 1980's. The first study by described the presence of mechanoreceptors in human ACL fibres. Study further proved that ACL is extensively innervated with neural elements. Numerous studies reported ACL is rich in mechanoreceptors which contribute in proprioceptive function. One study on 29 ACL remnant reported that there are mechanoreceptors including Ruffini, Pacini receptors, Golgi tendon organ-like receptors and free nerves endings in the remnant and showed the numbers of mechanoreceptors is significantly related to joint sense accuracy. Another study performed by same group of researchers reported that a somatosensory evoked potential could be recorded in ACL remnants after electrical stimulation, confirmed original sensory neurons are preserved to certain extent, which may help graft neuralization and restoration of knee function. This further echos with various studies that, in ACL-deficit knee, loss of proprioceptive function is reported with corelation to the number of mechanoreceptors. At a result, it comes up with an idea that preserving the ACL remnant should help maintaining or facilitating proprioceptive function, by the operation technique of ACL augmentation. ACL augmentation is a relatively new technique which preserves and augments the ACL remnant using extra graft. Under arthroscopic examination, if any of the ACL bundles, anteromedial (AM) and posterolateral (PL), shows a partial tear remnant of reasonable size, thickness and tension, augmentation may be performed instead of reconstruct the whole ligament. Instead of removing the remaining stump, it would be preserved as much as possible, and a formal ACL reconstruction would be performed. A commonly used graft is single-bundle autogenous semitendinosus gracilis tendon. As the retaining ACL fiber contains mechanoreceptor responsible for proprioception, it is believed that better knee proprioception and postural sense could be achieved by preserving the ACL remnant. Also, better vascularization and stronger mechanical protection is expected as native ACL fiber is retained. The current management of partial tear ACL injury are mainly conservative treatment and surgical treatment, including reconstruction and augmentation. For augmentation, the common practise is to perform a "Selective Bundle Reconstruction", that is to reconstruct the torn bundle, either AM or PL reconstruction, and preserve the remaining intact one. The clinical benefits of ACL augmentation had been reported by several studies. A study had demonstrated good clinical results in International Knee Documentation Commitee (IKDC) knee evaluation score, Cincinnati Knee Score and KT1000 in augmentation using autologous doubled and tripled semitendinosus (selective AM or PL) reconstruction at 1 year post-operatively. An other comparison study between ACL augmentation (selective AM or PL reconstruction) and reconstruction showed superior result in knee anterior stability in clinical tests, KT2000 and knee joint position sense in augmentation group at a 2-year follow-up period. This study has demonstrated the post-operation comparison only and allogenic fascia lata graft was also used in the control reconstruction group, which is not a common graft to be used in ACL surgery in local setting. Moreover, as the assessment is performed at 2 years post-operatively, the more immediate and early post-operative effect of this surgical technique is still questionable. As mentioned above, ACL augmentation may has potential clinical advantages including better knee stability, mechanical strength and proprioceptive function, yet evidence of the earlier effect of this technique is still lacking, with joint position sense was demonstrated by one study only. With the relatively new technique's popularity and potential benefit on proprioception, it deserves more research on studying the difference in both the clinical and proprioception outcome from reconstruction. Therefore, a comparative study on the difference in knee proprioception and postural stability between ACL augmentation and reconstruction, including early post-operative assessment is performed. In local setting, if the ACL injury is noted to be partially torn from pre-operative Magnetic Resonance Imaging (MRI), surgeons would try to preserve the remaining stump as much as possible with a single bundle ACL reconstruction performed intra-operatively. In order to make the current study result meaningful and could be generalized in local setting, ACL augmentation is renamed as ACL stump-preserving surgery, which is the common practice in local setting.</t>
  </si>
  <si>
    <t>LNCT01348945</t>
  </si>
  <si>
    <t>https://clinicaltrials.gov/study/NCT01348945</t>
  </si>
  <si>
    <t>https://www.embase.com/search/results?subaction=viewrecord&amp;id=LNCT01348945&amp;from=export</t>
  </si>
  <si>
    <t>Tunnel widening after anterior cruciate ligament reconstruction: A prospective randomized computed tomography-based study comparing 2 different femoral fixation methods for hamstring graft</t>
  </si>
  <si>
    <t>Sabat D., Kundu K., Arora S., Kumar V.</t>
  </si>
  <si>
    <t>(Sabat D., drdsabat@rediffmail.com) Department of Orthopedics, Lady Hardinge Medical College, New Delhi-110001, India. , (Kundu K.; Arora S.; Kumar V.) Maulana Azad Medical College, Lok Nayak Hospital, New Delhi, India.</t>
  </si>
  <si>
    <t>D. Sabat, Department of Orthopedics, Lady Hardinge Medical College, New Delhi-110001, India. Email: drdsabat@rediffmail.com</t>
  </si>
  <si>
    <t>Arthroscopy - Journal of Arthroscopic and Related Surgery (2011) 27:6 (776-783). Date of Publication: June 2011</t>
  </si>
  <si>
    <t>Purpose: We prospectively sought to compare the incidence and properties of tunnel widening in patients undergoing anterior cruciate ligament reconstruction with quadrupled hamstring graft by use of either EndoButton CL (Smith &amp; Nephew Endoscopy, Andover, MA) or Transfix (Arthrex, Naples, FL) on the femoral side with a bioabsorbable interference screw in the tibial tunnel by computed tomography scan. Methods: We included 34 patients in the study and randomized them into 2 groups--EndoButton and Transfix groups. An anteromedial portal technique was used to create the femoral tunnels in the EndoButton group, whereas a transtibial technique was used in the Transfix group. A bioabsorbable screw was used on the tibial side in both groups. Thirty patients completed the study protocol, and assessment was done at regular intervals until 12 months of follow-up was reached. The patients underwent computed tomography scans at 2 weeks, 3 months, and 6 months postoperatively. The diameters of the tunnels were measured perpendicular to the long axis of the tunnels on oblique coronal and oblique sagittal planes at 3 levels: aperture, midway, and suspension point. We performed functional scoring with the International Knee Documentation Committee 2000 Subjective Knee Evaluation score and Lysholm score. Results: Femoral tunnel widening at the aperture and at midway was significantly greater in the EndoButton group compared with the Transfix group. A decrease in the loop length in the EndoButton group was associated with lesser tunnel widening, although this was not found to be statistically significant with the numbers available. A trend toward decreased tunnel widening at the aperture on the tibial side was observed when the tip of the screw was 10 to 15 mm away from the aperture. Conclusions: Femoral tunnel widening was significantly less in the Transfix group compared with the EndoButton group. Level of Evidence: Level II, prospective comparative study. Â© 2011 Arthroscopy Association of North America.</t>
  </si>
  <si>
    <t>L361866199</t>
  </si>
  <si>
    <t>http://dx.doi.org/10.1016/j.arthro.2011.02.009</t>
  </si>
  <si>
    <t>https://www.embase.com/search/results?subaction=viewrecord&amp;id=L361866199&amp;from=export</t>
  </si>
  <si>
    <t>https://catalyst.library.jhu.edu/openurl/01JHU_INST/01JHU_INST:JHU?sid=EMBASE&amp;sid=EMBASE&amp;issn=15263231&amp;id=doi:10.1016%2Fj.arthro.2011.02.009&amp;atitle=Tunnel+widening+after+anterior+cruciate+ligament+reconstruction%3A+A+prospective+randomized+computed+tomography-based+study+comparing+2+different+femoral+fixation+methods+for+hamstring+graft&amp;stitle=Arthroscopy+J.+Arthroscopic++Relat.+Surg.&amp;title=Arthroscopy+-+Journal+of+Arthroscopic+and+Related+Surgery&amp;volume=27&amp;issue=6&amp;spage=776&amp;epage=783&amp;aulast=Sabat&amp;aufirst=Dhananjaya&amp;auinit=D.&amp;aufull=Sabat+D.&amp;coden=ARTHE&amp;isbn=&amp;pages=776-783&amp;date=2011&amp;auinit1=D&amp;auinitm=</t>
  </si>
  <si>
    <t>A long-term, prospective, randomized study comparing biodegradable and metal interference screws in anterior cruciate ligament reconstruction surgery: radiographic results and clinical outcome.</t>
  </si>
  <si>
    <t>Stener S., Ejerhed L., Sernert N., Laxdal G., RostgÃ¥rd-Christensen L., Kartus J.</t>
  </si>
  <si>
    <t>(Stener S.) Department of Orthopedics, NU Hospital Organisation, TrollhÃ¤ttan/Uddevalla, Sweden., (Ejerhed L.; Sernert N.; Laxdal G.; RostgÃ¥rd-Christensen L.; Kartus J.)</t>
  </si>
  <si>
    <t>S. Stener, Department of Orthopedics, NU Hospital Organisation, TrollhÃ¤ttan/Uddevalla, Sweden. Email: sven.stener@vgregion.se</t>
  </si>
  <si>
    <t>The American journal of sports medicine (2010) 38:8 (1598-1605). Date of Publication: Aug 2010</t>
  </si>
  <si>
    <t>During the past decade, the use of biodegradable implants in anterior cruciate ligament surgery has increased. Poly-L-lactide acid (PLLA) interference screws would render the same clinical results but greater tunnel enlargement than metal screws 8 years after anterior cruciate ligament reconstruction using hamstring tendon (semitendinosus/gracilis) autografts. Randomized controlled trial; Level of evidence, 1.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postoperatively-23 mg/L (range, &lt;6-55) vs 9 mg/L (range, &lt;6-55) (P &lt; .001).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</si>
  <si>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L360300164</t>
  </si>
  <si>
    <t>https://www.embase.com/search/results?subaction=viewrecord&amp;id=L360300164&amp;from=export</t>
  </si>
  <si>
    <t>https://catalyst.library.jhu.edu/openurl/01JHU_INST/01JHU_INST:JHU?sid=EMBASE&amp;sid=EMBASE&amp;issn=15523365&amp;id=doi:&amp;atitle=A+long-term%2C+prospective%2C+randomized+study+comparing+biodegradable+and+metal+interference+screws+in+anterior+cruciate+ligament+reconstruction+surgery%3A+radiographic+results+and+clinical+outcome.&amp;stitle=Am+J+Sports+Med&amp;title=The+American+journal+of+sports+medicine&amp;volume=38&amp;issue=8&amp;spage=1598&amp;epage=1605&amp;aulast=Stener&amp;aufirst=Sven&amp;auinit=S.&amp;aufull=Stener+S.&amp;coden=&amp;isbn=&amp;pages=1598-1605&amp;date=2010&amp;auinit1=S&amp;auinitm=</t>
  </si>
  <si>
    <t>Effects of Hamstring Training in Different Modes on Stabilizing Knee Joints With Anterior Drawer Laxity</t>
  </si>
  <si>
    <t>clinicaltrials.gov (2010). Date of Publication: 23 Jul 2010</t>
  </si>
  <si>
    <t>Brief SummaryQuestion: To investigate how different modes of thigh muscles strengthening exercises emphasizing the knee internal rotators can be as effective as possible in improving the static stability and agility of the knees with anterior drawer laxity. Design: Randomized controlled clinical trial. Participants and Interventions: Young men with anterior drawer laxity of the knee were randomly assigned to three experimental groups in different strengthening modes: plate-loaded squat press (SP), plate-loaded kneeling leg curl with internal rotation (KLCIR), and kneeling leg curl (KLC). The control group with stable knees received no training. Outcome measures: static and dynamic knee stability, isokinetic strength. The purpose of this paper was to find out an optimal solution to the enhancement of the static and dynamic knee stability to a great extent. Key words: anterior cruciate ligament; agility; knee stability; hamstring; knee internal rotatorDetailed DescriptionINTRODUCTION Anterior cruciate ligament (ACL) injuries are commonly seen among athletes, which eventually makes more or less devastating impacts on their performances. Although ACL injuries may result from the knee collision, 70% of them are due to noncontact movements, including abrupt brakes, changing directions at high speed (i.e. sidestep cuttings and crossover cuttings). In doing so, one must at first have his or her axial foot fixed on the ground to absorb the momentum oriented from the original direction. Insufficient eccentric muscles or ligament strength are likely to trigger muscle and ligament injuries. It is generally agreed that the risk of ligament injuries can be reduced by strengthening a specific muscle group by which the dynamic stability of the joint is able to be enhanced and the static stability provided by the ligament can also be compensated. Traditionally, the strengthening exercise of ACL rehabilitation has been putting an emphasis on the hamstring and quadriceps with an attempt to decrease the anterior drawer instability as well as the shearing force of ACL. Nonetheless, from the aforementioned pathomechanism of ACL injuries, the knee rotators should be valued as they are supposed to . The internal rotators of the knee joint (semitendinosus, semimembranosus and gracilis) are highly related to ACL injuries5. However, the knee rotator strength is often neglected and even sacrificed as an autograft for the ACL reconstruction . Modifications can be made in progressive resistance exercise for strengthening knee internal rotators. In this current study, 20 subjects with anterior drawer laxity were randomly assigned to three groups adopting different training modes: plate-loaded squat press (SP), plate-loaded kneeling leg curl with internal rotation (KLCIR), and plate-loaded kneeling leg curl (KLC). Static stability, dynamic stability, and isokinetic strength were measured. The purpose of this paper was to find out an optimal solution to the enhancement of the static and dynamic knee stability to a great extent. MATERIALS AND METHODS Subjects The research program was approved by the Human Subject Committee in Taipei Physical Education College. Knee joint laxity was surveyed by a KT-2000 test (MED Metric Co., San Diego, USA) in the Department of Physical Education and Health at Taipei Physical Education College. The anterior drawer laxity of the knee joint in this study was defined as anterior displacement over 3 mm discrepancy between bilateral knee joints by a KT-2000 test under 20-pound force. According to this criterion, Dale M. et al. demonstrated that 85% (33/39) of this population have complete ACL tears and 15% (6/39) have partial tear. One hundred and seventy-three students were tested and 30 met the criterion, including 22 males and 8 females, although no obvious trauma history was available in some of them. Two males were excluded due to other causes that might affect muscle strength or knee stability such as lower limbs fracture and arthritis. Besides, eight female students were eliminated to avoid possible gender difference. Twenty male students were included in the experimental group. Another 8 male students with stable knees without any medical history of knee injuries were included in the control group. The participants in both experimental and control groups lived a sedentary lifestyle. Stable knees were defined as a discrepancy less than 1.5mm between bilateral knees by a KT-2000 test under 20-pound force. Flow Path Twenty subjects in the experimental group were randomly assigned into three groups: SP (n=7), KLCIR (n=7) and KLC (n=6). Eight control subjects neither received any training nor was engaged in body-building on their own during the training period. Every subject was asked to fill in basic information, including age, body height, and body weight. Before the experiments, the flow path was explained to each subject who had already signed an informed-consent form. The experimental procedure was divided into three phases. The first and the third phases were the tests before and after training respectively, including KT-2000, agility, and isokinetic strength assessment. The second phase was the training phase. Static Stability (Laxity) The KT-2000 knee ligament arthrometer (MED Metric Co., San Diego, USA) is designed to assess the anterior drawer laxity of the knee joint. The discrepancy of anterior displacement between the sound side and the lesion side had been reported and applied in evaluating the static stability of the knee, and it was also used as one of the references for the ACL reconstruction surgery. In this current study, a discrepancy less than 1.5mm was normally accepted when 20-pound anterior traction force was exerted on the tibia with the knee joint in 20Â° flexion. In contrast, ACL laxity was defined as a discrepancy over 3mm, which was highly related to ACL injury. Dynamic Stability (Agility) Dynamic knee stability was assessed by agility, which was measured by a 6-meter left-and-right shuttle run. A good dynamic knee stability is necessary for changing the movement direction. Each subject started running from the midline to the left terminal and then stepped on the square with his left foot. Then, the subject used the left leg as the axis and turned around to the right side. The subject then ran to the right terminal. Once the front foot was crossing the midline, this was the first round for testing the agility of left knee. The subject kept running to the right terminal without stopping on the midline, stepping on the square with his right foot, turning around to the left side, and running toward the left terminal. This was the first round of right knee test as the subject's front foot crossed the midline. Whenever the front foot crossed the midline, a timer was clocked. The time interval in seconds between the 1st and the 2nd time clocked was the 1st measure of the left knee agility, and the time interval between the 2nd and the 3rd was the 1st measure of the right knee agility, and so forth. There were five-round tests for the agility of right and left knees respectively. Three raters were assigned respectively at the midline, right and left terminals. Single-blind method was adopted. That is, all the three raters did not know which group the subject was assigned to. The square at the right or left terminal ends was 10 inches wide and 3 meters away from the midline. It would be recognized as a qualified round if the plantar surface of the foot ever contacted any part of the square; otherwise, the subject would be asked to repeat the whole set consisting of five rounds. Three sets were collected and averaged. The rest interval between each set should be long enough for the examinee to feel relaxed before the next set. The subject was asked to run as fast as possible. The average time difference of 3 sets between the affected and the sound side was regarded as the dynamic stability of the affected side. The greater the difference was, the poorer the dynamic stability or the agility would be. A practice session was given prior to the actual beginning of the study to avoid learning effect. Prior to the study, intrarater test-retest reliability was established. Nine subjects, including four in the experimental groups and five in the control group, took the agility exam twice in separated days. The intraclass correlation coefficient was 0.78. Isokinetic Strength Cybex NORM (Cybex International, Inc, Ronkonkoma, New York, U.S.A.) was employed to evaluate isokinetic muscle strength before and after training. Tests were conducted in two different motion modes which included the flexor/extensor and the internal /external rotator. In the former, the range of motion was set in the range of 0-90Â°. Maximal concentric force had been performed for five times at the angular velocity of 60Â°, 120Â° and 180Â° per second, respectively. Peak torque was taken to represent muscle strength. Only smooth and similar curves with a peak torque which was no less than 90% of the maximum would be taken. The assessment of isokinetic strength of internal/external rotator was generally similar to flexor/extensor. The ankle joint was fixed into 30Â° dorsiflexion with an air-stirrup ankle brace (Aircast, Summit, NJ) to limit unnecessary inversion/eversion movement, which might affect measurement of knee joint rotation. In addition, the knee and hip joints were kept in 90Â°, and the range of motion of knee rotation was set in the range between 25Â° internally and 35Â° externally. Training Modes Three training modes were chosen. (â… ) SP (or called angled leg presses); (â…¡) KLCIR; (â…¢) KLC. The training phase had been lasting for 6 weeks in which none dropped out. Each subject had to accomplish three training workouts weekly under supervision by licensed athletic trainers. A workout contained five sets for each lower limb, which were composed of 20 (repetitions)Ã—60% (1RM), 15Ã—65% , 12Ã—70% , 8Ã—75% and 20Ã—60% with a two-minute resting interval between each set. During the six-week rehabilitation course, they were not allowed to involve in any other regular fitness activities or sports. Data Analysis Data are expressed as meanÂ±SEM. SPSS version 12.0 Windows was used for statistic analysis. Nonparametric analysis, including Kruskal-Wallis Test, Wilcoxon Test and Mann-Whitney test, was applied. Significance was defined as P\&lt;0.05. Intrarater reliability was assessed with intraclass correlation coefficient.</t>
  </si>
  <si>
    <t>LNCT01170546</t>
  </si>
  <si>
    <t>https://clinicaltrials.gov/study/NCT01170546</t>
  </si>
  <si>
    <t>https://www.embase.com/search/results?subaction=viewrecord&amp;id=LNCT01170546&amp;from=export</t>
  </si>
  <si>
    <t>The effect of platelet-derived growth factors on knee stability after anterior cruciate ligament reconstruction: A prospective randomized clinical study</t>
  </si>
  <si>
    <t>Vogrin M., Rupreht M., Crnjac A., Dinevski D., Krajnc Z., ReÄ_x008d_nik G.</t>
  </si>
  <si>
    <t>(Vogrin M., matjazvogrin@hotmail.com; Rupreht M.; Crnjac A.; Krajnc Z.; ReÄ_x008d_nik G.) Department of Orthopedic Surgery, University Hospital Maribor, Maribor, Slovenia. , (Vogrin M., matjazvogrin@hotmail.com; Crnjac A.; Dinevski D.) Faculty of Medicine, Department of Sports Medicine, University of Maribor, Maribor, Slovenia.</t>
  </si>
  <si>
    <t>M. Vogrin, Orthopedic Department, University Hospital Maribor, Ljubljanska 5, 2000 Maribor, Slovenia. Email: matjazvogrin@hotmail.com</t>
  </si>
  <si>
    <t>Wiener Klinische Wochenschrift (2010) 122:SUPPL. 2 (91-95). Date of Publication: May 2010</t>
  </si>
  <si>
    <t>Wiener Klinische Wochenschrift</t>
  </si>
  <si>
    <t>SUPPL. 2</t>
  </si>
  <si>
    <t>0043-5325</t>
  </si>
  <si>
    <t>Springer Wien, Sachsenplatz 4-6, P.O. Box 89, Vienna, Austria.</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</si>
  <si>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 cant diff erences between the two types of graft in relation to function scores, but there is a diff erence in anteroposterior stability when measured on the KT- 2000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aftersurgery. Main fi ndings: Patients treated with the gel demonstrated signifi cantly better anteroposterior knee stability than patients in the control group. The calculated improvements in knee stability at 6 months were 1.3Â± 1.8 mm in the control group and 3.1Â± 2.5 mm in the platelet gel group (P = 0.011). Principal conclusion: Platelet-leukocyte gel, applied locally, can improve knee stability in surgery for reconstruction of the anterior cruciate ligament. Â© Springer-Verlag 2010.</t>
  </si>
  <si>
    <t>basic fibroblast growth factor (106096-93-9), epidermal growth factor (62229-50-9), thrombin (869858-13-9, 9002-04-4), vasculotropin (127464-60-2)</t>
  </si>
  <si>
    <t>L359340573</t>
  </si>
  <si>
    <t>http://dx.doi.org/10.1007/s00508-010-1340-2</t>
  </si>
  <si>
    <t>https://www.embase.com/search/results?subaction=viewrecord&amp;id=L359340573&amp;from=export</t>
  </si>
  <si>
    <t>https://catalyst.library.jhu.edu/openurl/01JHU_INST/01JHU_INST:JHU?sid=EMBASE&amp;sid=EMBASE&amp;issn=00435325&amp;id=doi:10.1007%2Fs00508-010-1340-2&amp;atitle=The+effect+of+platelet-derived+growth+factors+on+knee+stability+after+anterior+cruciate+ligament+reconstruction%3A+A+prospective+randomized+clinical+study&amp;stitle=Wien.+Klin.+Wochenschr.&amp;title=Wiener+Klinische+Wochenschrift&amp;volume=122&amp;issue=SUPPL.+2&amp;spage=91&amp;epage=95&amp;aulast=Vogrin&amp;aufirst=Matja%C5%BE&amp;auinit=M.&amp;aufull=Vogrin+M.&amp;coden=WKWOA&amp;isbn=&amp;pages=91-95&amp;date=2010&amp;auinit1=M&amp;auinitm=</t>
  </si>
  <si>
    <t>Raviraj A., Anand A., Kodikal G., Chandrashekar M., Pai S.</t>
  </si>
  <si>
    <t>(Raviraj A., orthoraviraj@yahoo.com; Anand A.; Kodikal G.; Chandrashekar M.; Pai S.) Orthopaedic Services Arthroscopy and Sports Medicine Services, Department of Orthopaedic Surgery, 154/9 Wockhardt Hospitals, Opposite IIMB, Bannerghatta Road, Bangalore-560076, India.</t>
  </si>
  <si>
    <t>A. Raviraj, Orthopaedic Services Arthroscopy and Sports Medicine Services, Department of Orthopaedic Surgery, 154/9 Wockhardt Hospitals, Opposite IIMB, Bannerghatta Road, Bangalore-560076, India. Email: orthoraviraj@yahoo.com</t>
  </si>
  <si>
    <t>Journal of Bone and Joint Surgery - Series B (2010) 92:4 (521-526). Date of Publication: April 2010</t>
  </si>
  <si>
    <t>Delayed rather than early reconstruction of the anterior cruciate ligament is the current recommended treatment for injury to this ligament since it is thought to give a better functional outcome. We randomised 105 consecutive patients with injury associated with chondral lesions no more severe than grades 1 and 2 and/or meniscal tears which only required trimming, to early (&lt; two weeks) or delayed (&gt; four to six weeks) reconstruction of the anterior cruciate ligament using a quadrupled hamstring graft. All operations were performed by a single surgeon and a standard rehabilitation regime was followed in both groups. The outcomes were assessed using the Lysholm score, the Tegner score and measurement of the range of movement. Stability was assessed by clinical tests and measurements taken with the KT-1000 arthrometer, with all testing performed by a blinded uninvolved experienced observer. A total of six patients were lost to follow-up, with 48 patients assigned to the delayed group and 51 to the early group. None was a competitive athlete. The mean interval between injury and the surgery was seven days (2 to 14) in the early group and 32 days (29 to 42) in the delayed group. The mean follow-up was 32 months (26 to 36). The results did not show a statistically significant difference for the Lysholm score (p=0.86), Tegner activity score (p=0.913) or the range of movement (p=1). Similarly, no distinction could be made for stability testing by clinical examination (p=0.56) and measurements with the KT-1000 arthrometer (p=0.93). Reconstruction of the anterior cruciate ligament gave a similar clinical and functional outcome whether performed early (&lt; two weeks) or late at four to six weeks after injury. Â© 2010 British Editorial Society of Bone and Joint Surgery.</t>
  </si>
  <si>
    <t>L358597287</t>
  </si>
  <si>
    <t>http://dx.doi.org/10.1302/0301-620X.92B4.22973</t>
  </si>
  <si>
    <t>https://www.embase.com/search/results?subaction=viewrecord&amp;id=L358597287&amp;from=export</t>
  </si>
  <si>
    <t>https://catalyst.library.jhu.edu/openurl/01JHU_INST/01JHU_INST:JHU?sid=EMBASE&amp;sid=EMBASE&amp;issn=0301620X&amp;id=doi:10.1302%2F0301-620X.92B4.22973&amp;atitle=A+comparison+of+early+and+delayed+arthroscopically-assisted+reconstruction+of+the+anterior+cruciate+ligament+using+hamstring+autograft&amp;stitle=J.+Bone+Jt.+Surg.+Ser.+B&amp;title=Journal+of+Bone+and+Joint+Surgery+-+Series+B&amp;volume=92&amp;issue=4&amp;spage=521&amp;epage=526&amp;aulast=Raviraj&amp;aufirst=A.&amp;auinit=A.&amp;aufull=Raviraj+A.&amp;coden=JBSUA&amp;isbn=&amp;pages=521-526&amp;date=2010&amp;auinit1=A&amp;auinitm=</t>
  </si>
  <si>
    <t>Price R., Stoney J., Brown G.</t>
  </si>
  <si>
    <t>(Stoney J.) St Vincent's Hospital, Melbourne, Australia. , (Brown G.) Geelong Hospital, Geelong, VIC, Australia. , (Price R., rohanprice@hotmail.com)</t>
  </si>
  <si>
    <t>R. Price, C/O Barwon Orthopaedic Research Unit, Geelong Hospital, Ryrie St, Geelong, VIC, Australia. Email: rohanprice@hotmail.com</t>
  </si>
  <si>
    <t>ANZ Journal of Surgery (2010) 80:3 (162-165). Date of Publication: March 2010</t>
  </si>
  <si>
    <t>ANZ Journal of Surgery</t>
  </si>
  <si>
    <t>1445-1433,1445-2197 (electronic)</t>
  </si>
  <si>
    <t>Blackwell Publishing, 550 Swanston Street, Carlton South, Australia.</t>
  </si>
  <si>
    <t>Background: To determine if there is a different clinical outcome after TransFix versus endobutton femoral fixation in hamstring anterior cruciate ligament (ACL) reconstruction. Methods: Twenty-nine patients were randomized into either Endobutton (Smith &amp; Nephew, Andover, MA, USA) (n = 13) or TransFix (Arthrex, Naples, FL, USA) (n = 16) femoral fixation in hamstring ACL reconstruction. The distal fixation was with a bioabsorbable interference screw. The evaluation methods were clinical history and examination, KT1000 arthrometry for laxity as well as the International Knee Documentation Committee (IKDC) scores over a 2-year time frame. Results: There were no significant differences between the study groups preoperatively. For the 2-year follow-up, 11 patients in the Endobutton group and 13 patients in the TransFix group were available (greater than 80%). No statistical differences between the two groups were found at the 1- or 2-year follow-up examinations. At the 2-year follow-up, 72.7% of the Endobutton and 84.6% of the TransFix group patients were in the IKDC A or B categories. Additional procedures postoperatively occurred more frequently in the TransFix group. Conclusions: There were no significant differences in the results for either technique of femoral fixation. Level of Evidence: Level I. Â© 2009 Royal Australasian College of Surgeons.</t>
  </si>
  <si>
    <t>L358421504</t>
  </si>
  <si>
    <t>http://dx.doi.org/10.1111/j.1445-2197.2009.05128.x</t>
  </si>
  <si>
    <t>https://www.embase.com/search/results?subaction=viewrecord&amp;id=L358421504&amp;from=export</t>
  </si>
  <si>
    <t>https://catalyst.library.jhu.edu/openurl/01JHU_INST/01JHU_INST:JHU?sid=EMBASE&amp;sid=EMBASE&amp;issn=14451433&amp;id=doi:10.1111%2Fj.1445-2197.2009.05128.x&amp;atitle=Prospective+randomized+comparison+of+endobutton+versus+cross-pin+femoral+fixation+in+hamstring+anterior+cruciate+ligament+reconstruction+with+2-year+follow-up&amp;stitle=ANZ+J.+Surg.&amp;title=ANZ+Journal+of+Surgery&amp;volume=80&amp;issue=3&amp;spage=162&amp;epage=165&amp;aulast=Stoney&amp;aufirst=James&amp;auinit=J.&amp;aufull=Stoney+J.&amp;coden=AJSNB&amp;isbn=&amp;pages=162-165&amp;date=2010&amp;auinit1=J&amp;auinitm=</t>
  </si>
  <si>
    <t>Biodegradable screw versus a press-fit bone plug fixation for hamstring anterior cruciate ligament reconstruction: a prospective randomized study.</t>
  </si>
  <si>
    <t>Jagodzinski M., Geiges B., von Falck C., Knobloch K., Haasper C., Brand J., Hankemeier S., Krettek C., Meller R.</t>
  </si>
  <si>
    <t>(Jagodzinski M.) Department of Orthopaedic Trauma, Hanover Medical School, Carl-Neuberg-Str. 1, 30625 Hanover, Germany., (Geiges B.; von Falck C.; Knobloch K.; Haasper C.; Brand J.; Hankemeier S.; Krettek C.; Meller R.)</t>
  </si>
  <si>
    <t>M. Jagodzinski, Department of Orthopaedic Trauma, Hanover Medical School, Carl-Neuberg-Str. 1, 30625 Hanover, Germany. Email: Jagodzinski.Michael@mh-hannover.de</t>
  </si>
  <si>
    <t>The American journal of sports medicine (2010) 38:3 (501-508). Date of Publication: Mar 2010</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</si>
  <si>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(I)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or - 10.9% for group P and 121.9% + or - 9.0% for group I (P &lt; .02) in the anteroposterior (AP) plane and 102.8% + or - 15.2% versus 121.5% + or - 10.1% in the coronal plane (P &lt;.01). The IKDC, Tegner, and Lysholm scores improved in both groups from preoperatively to postoperatively without significant differences between the 2 groups. There was a trend to higher knee stability in group P after 3 months (0.6 + or - 1.4 mm vs 1.8 + or - 1.5 mm; P = .08). CONCLUSION: Both interference screw and a press-fit fixation lead to a high number of good or very good outcomes after ACL reconstruction. Tibial press-fit fixation decreases the amount of proximal bone tunnel enlargement.</t>
  </si>
  <si>
    <t>L358986090</t>
  </si>
  <si>
    <t>https://www.embase.com/search/results?subaction=viewrecord&amp;id=L358986090&amp;from=export</t>
  </si>
  <si>
    <t>https://catalyst.library.jhu.edu/openurl/01JHU_INST/01JHU_INST:JHU?sid=EMBASE&amp;sid=EMBASE&amp;issn=15523365&amp;id=doi:&amp;atitle=Biodegradable+screw+versus+a+press-fit+bone+plug+fixation+for+hamstring+anterior+cruciate+ligament+reconstruction%3A+a+prospective+randomized+study.&amp;stitle=Am+J+Sports+Med&amp;title=The+American+journal+of+sports+medicine&amp;volume=38&amp;issue=3&amp;spage=501&amp;epage=508&amp;aulast=Jagodzinski&amp;aufirst=Michael&amp;auinit=M.&amp;aufull=Jagodzinski+M.&amp;coden=&amp;isbn=&amp;pages=501-508&amp;date=2010&amp;auinit1=M&amp;auinitm=</t>
  </si>
  <si>
    <t>(Price R., rohanprice@hotmail.com; Stoney J.; Brown G.) St Vincent's Hospital, Melbourne, Victoria, Australia</t>
  </si>
  <si>
    <t>ANZ journal of surgery (2010) 80:3 (162-165). Date of Publication: 1 Mar 2010</t>
  </si>
  <si>
    <t>ANZ journal of surgery</t>
  </si>
  <si>
    <t>1445-2197 (electronic)</t>
  </si>
  <si>
    <t>BACKGROUND: To determine if there is a different clinical outcome after TransFix versus endobutton femoral fixation in hamstring anterior cruciate ligament (ACL) reconstruction.METHODS: Twenty-nine patients were randomized into either Endobutton (Smith &amp; Nephew, Andover, MA, USA) (n= 13) or TransFix (Arthrex, Naples, FL, USA) (n= 16) femoral fixation in hamstring ACL reconstruction. The distal fixation was with a bioabsorbable interference screw. The evaluation methods were clinical history and examination, KT1000 arthrometry for laxity as well as the International Knee Documentation Committee (IKDC) scores over a 2-year time frame.RESULTS: There were no significant differences between the study groups preoperatively. For the 2-year follow-up, 11 patients in the Endobutton group and 13 patients in the TransFix group were available (greater than 80%). No statistical differences between the two groups were found at the 1- or 2-year follow-up examinations. At the 2-year follow-up, 72.7% of the Endobutton and 84.6% of the TransFix group patients were in the IKDC A or B categories. Additional procedures postoperatively occurred more frequently in the TransFix group.CONCLUSIONS: There were no significant differences in the results for either technique of femoral fixation.</t>
  </si>
  <si>
    <t>L603340705</t>
  </si>
  <si>
    <t>https://www.embase.com/search/results?subaction=viewrecord&amp;id=L603340705&amp;from=export</t>
  </si>
  <si>
    <t>https://catalyst.library.jhu.edu/openurl/01JHU_INST/01JHU_INST:JHU?sid=EMBASE&amp;sid=EMBASE&amp;issn=14452197&amp;id=doi:10.1111%2Fj.1445-2197.2009.05128.x&amp;atitle=Prospective+randomized+comparison+of+endobutton+versus+cross-pin+femoral+fixation+in+hamstring+anterior+cruciate+ligament+reconstruction+with+2-year+follow-up&amp;stitle=ANZ+J+Surg&amp;title=ANZ+journal+of+surgery&amp;volume=80&amp;issue=3&amp;spage=162&amp;epage=165&amp;aulast=Price&amp;aufirst=Rohan&amp;auinit=R.&amp;aufull=Price+R.&amp;coden=&amp;isbn=&amp;pages=162-165&amp;date=2010&amp;auinit1=R&amp;auinitm=</t>
  </si>
  <si>
    <t>Tagesson S., Ã–berg B., Kvist J.</t>
  </si>
  <si>
    <t>(Tagesson S., sofi.tagesson@liu.se; Ã–berg B.; Kvist J.) Department of Medical and Health Sciences, Division of Physiotherapy, LinkÃ¶pings Universitet, SE-581 83 LinkÃ¶ping, Sweden.</t>
  </si>
  <si>
    <t>S. Tagesson, Department of Medical and Health Sciences, Division of Physiotherapy, LinkÃ¶pings Universitet, SE-581 83 LinkÃ¶ping, Sweden. Email: sofi.tagesson@liu.se</t>
  </si>
  <si>
    <t>Scandinavian Journal of Medicine and Science in Sports (2010) 20:1 (154-164). Date of Publication: February 2010</t>
  </si>
  <si>
    <t>Blackwell Munksgaard, 1 Rosenorns Alle, P.O. Box 227, Copenhagen V, Denmark.</t>
  </si>
  <si>
    <t>The aim of this study was to compare different rehabilitation exercises with respect to dynamic anterior tibial translation and muscle activation 5 weeks after an anterior cruciate ligament (ACL) reconstruction. Another aim was to compare the ACL-reconstructed knee with the ACL-injured and the uninjured knees for differences in anterior tibial translation and muscle activation during the exercises. Sagittal tibial translation and muscle activation were measured during the Lachman test (static translation) and during seven rehabilitation exercises (dynamic translation) in 19 patients. Results obtained 5 weeks after ACL reconstruction were compared with those obtained before the ACL reconstruction (ACL-deficient and uninjured knee). After ACL reconstruction the seated knee extension produced more anterior tibial translation than the straight leg raise and standing on one leg. The ACL reconstruction reduced the static and the dynamic tibial translation and the tibial translations measured in ACL-reconstructed knees were similar to those measured in uninjured knees. After ACL reconstruction, the patients used a joint stiffening strategy that used more hamstring activation and reduced the dynamic tibial translation. Although all exercises tested are suitable for rehabilitation after ACL reconstruction, to protect the graft from excessive strain, the straight leg raise and squat on one leg are preferable for quadriceps training in the early phase of rehabilitation. Â© 2009 John Wiley &amp; Sons A/S.</t>
  </si>
  <si>
    <t>L358207314</t>
  </si>
  <si>
    <t>http://dx.doi.org/10.1111/j.1600-0838.2009.00903.x</t>
  </si>
  <si>
    <t>https://www.embase.com/search/results?subaction=viewrecord&amp;id=L358207314&amp;from=export</t>
  </si>
  <si>
    <t>https://catalyst.library.jhu.edu/openurl/01JHU_INST/01JHU_INST:JHU?sid=EMBASE&amp;sid=EMBASE&amp;issn=09057188&amp;id=doi:10.1111%2Fj.1600-0838.2009.00903.x&amp;atitle=Tibial+translation+and+muscle+activation+during+rehabilitation+exercises+5+weeks+after+anterior+cruciate+ligament+reconstruction&amp;stitle=Scand.+J.+Med.+Sci.+Sports&amp;title=Scandinavian+Journal+of+Medicine+and+Science+in+Sports&amp;volume=20&amp;issue=1&amp;spage=154&amp;epage=164&amp;aulast=Tagesson&amp;aufirst=S.&amp;auinit=S.&amp;aufull=Tagesson+S.&amp;coden=SMSSE&amp;isbn=&amp;pages=154-164&amp;date=2010&amp;auinit1=S&amp;auinitm=</t>
  </si>
  <si>
    <t>Comparison between single-and double-bundle anterior cruciate ligament reconstruction: a prospective, randomized, single-blinded clinical trial.</t>
  </si>
  <si>
    <t>Aglietti P., Giron F., Losco M., Cuomo P., Ciardullo A., Mondanelli N.</t>
  </si>
  <si>
    <t>(Aglietti P.) University of Florence, First Orthopaedic Clinic, Largo Pietro Palagi 1, 50139 Florence, Italy., (Giron F.; Losco M.; Cuomo P.; Ciardullo A.; Mondanelli N.)</t>
  </si>
  <si>
    <t>P. Aglietti, University of Florence, First Orthopaedic Clinic, Largo Pietro Palagi 1, 50139 Florence, Italy.</t>
  </si>
  <si>
    <t>The American journal of sports medicine (2010) 38:1 (25-34). Date of Publication: Jan 2010</t>
  </si>
  <si>
    <t>Double-bundle ACL reconstruction popularity is increasing with the aim to reproduce native ACL anatomy and improve ACL reconstruction outcome. However, to date, only a few randomized clinical studies have been published. The aim of this study was to prospectively compare the clinical results of single- and double-bundle ACL reconstruction. Randomized controlled clinical trial; Level of evidence, 1.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In the 2-year minimum follow-up, DB ACL reconstructions showed better VAS, anterior knee laxity, and final objective IKDC scores than SB. However, longer follow-up and accurate instrumented in vivo rotational stability assessment are needed.</t>
  </si>
  <si>
    <t>L360248818</t>
  </si>
  <si>
    <t>https://www.embase.com/search/results?subaction=viewrecord&amp;id=L360248818&amp;from=export</t>
  </si>
  <si>
    <t>https://catalyst.library.jhu.edu/openurl/01JHU_INST/01JHU_INST:JHU?sid=EMBASE&amp;sid=EMBASE&amp;issn=15523365&amp;id=doi:&amp;atitle=Comparison+between+single-and+double-bundle+anterior+cruciate+ligament+reconstruction%3A+a+prospective%2C+randomized%2C+single-blinded+clinical+trial.&amp;stitle=Am+J+Sports+Med&amp;title=The+American+journal+of+sports+medicine&amp;volume=38&amp;issue=1&amp;spage=25&amp;epage=34&amp;aulast=Aglietti&amp;aufirst=Paolo&amp;auinit=P.&amp;aufull=Aglietti+P.&amp;coden=&amp;isbn=&amp;pages=25-34&amp;date=2010&amp;auinit1=P&amp;auinitm=</t>
  </si>
  <si>
    <t>Bioresorbable pins and interference screws for fixation of hamstring tendon grafts in anterior cruciate ligament reconstruction surgery a randomized controlled trial</t>
  </si>
  <si>
    <t>Stengel D., Casper D., Bauwens K., Ekkernkamp A., Wich M.</t>
  </si>
  <si>
    <t>(Stengel D., stengeldirk@aol.com; Casper D.; Bauwens K.; Ekkernkamp A.; Wich M.) Center for Clinical Research, Department of Trauma and Orthopedic Surgery, Unfallkrankenhaus Berlin, Berlin, Germany. , (Stengel D., stengeldirk@aol.com; Ekkernkamp A.) Department of Trauma and Orthopedic Surgery, University Hospital of Greifswald, Greifswald, Germany.</t>
  </si>
  <si>
    <t>D. Stengel, Center for Clinical Research, Unfallkrankenhaus Berlin, Warener Str. 7, 12683 Berlin, Germany. Email: stengeldirk@aol.com</t>
  </si>
  <si>
    <t>American Journal of Sports Medicine (2009) 37:9 (1692-1698). Date of Publication: 2009</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</si>
  <si>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Â±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CI, -0.60 to 0.82; P =.7537); 2 years, 0.33 (95% CI, -0.43 to 1.08 mm; P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 Â© 2009 The Author(s).</t>
  </si>
  <si>
    <t>ISRCTN (ISRCTN17384369)</t>
  </si>
  <si>
    <t>L355714737</t>
  </si>
  <si>
    <t>http://dx.doi.org/10.1177/0363546509333008</t>
  </si>
  <si>
    <t>https://www.embase.com/search/results?subaction=viewrecord&amp;id=L355714737&amp;from=export</t>
  </si>
  <si>
    <t>https://catalyst.library.jhu.edu/openurl/01JHU_INST/01JHU_INST:JHU?sid=EMBASE&amp;sid=EMBASE&amp;issn=03635465&amp;id=doi:10.1177%2F0363546509333008&amp;atitle=Bioresorbable+pins+and+interference+screws+for+fixation+of+hamstring+tendon+grafts+in+anterior+cruciate+ligament+reconstruction+surgery+a+randomized+controlled+trial&amp;stitle=Am.+J.+Sports+Med.&amp;title=American+Journal+of+Sports+Medicine&amp;volume=37&amp;issue=9&amp;spage=1692&amp;epage=1698&amp;aulast=Stengel&amp;aufirst=Dirk&amp;auinit=D.&amp;aufull=Stengel+D.&amp;coden=AJSMD&amp;isbn=&amp;pages=1692-1698&amp;date=2009&amp;auinit1=D&amp;auinitm=</t>
  </si>
  <si>
    <t>Clinical evaluation of double-bundle anterior cruciate ligament reconstruction procedure using hamstring tendon grafts: A prospective, randomized and controlled study</t>
  </si>
  <si>
    <t>Wang J.-Q., Ao Y.-F., Yu C.-L., Liu P., Xu Y., Chen L.-X.</t>
  </si>
  <si>
    <t>(Wang J.-Q.; Ao Y.-F., yingfang.ao@vip.sina.com; Yu C.-L.; Liu P.; Xu Y.; Chen L.-X.) Institute of Sports Medicine, Peking University Third Hospital, Beijing 100083, China.</t>
  </si>
  <si>
    <t>Y.-F. Ao, Institute of Sports Medicine, Peking University Third Hospital, Beijing 100083, China. Email: yingfang.ao@vip.sina.com</t>
  </si>
  <si>
    <t>Chinese Medical Journal (2009) 122:6 (706-711). Date of Publication: 20 Mar 2009</t>
  </si>
  <si>
    <t>Chinese Medical Journal</t>
  </si>
  <si>
    <t>0366-6999</t>
  </si>
  <si>
    <t>Chinese Medical Association, 42 Dongsi Xidajie, Beijing, China.</t>
  </si>
  <si>
    <t>Background: In clinical studies there is still a lot of controversy about the increased anterior and rotational stability between double-bundle (DB) and single-bundle (SB) anterior cruciate ligament (ACL) reconstruction. The aim of this study was to evaluate the clinical results of four-tunnel DB ACL reconstruction. Methods: Sixty-four consecutive patients with ACL ruptures from May 2005 to May 2006 were randomly assigned into two groups: 32 cases for SB ACL reconstruction and 32 cases for DB ACL reconstruction. Clinical data, including KT 2000, Biodex test, Lysholm score, Tegner score and IKDC score, were prospectively collected until at least 10 months post-operative. Results: The average values of KT 2000 were (1.47Â±1.17) mm and (1.68Â±1.14) mm for the SB and DB ACL reconstruction groups at 30Â° of knee flexion (P &gt;0.05), and were (1.04Â±0.98) mm and (1.13Â±0.98) mm at 90Â° of knee flexion (P &gt;0.05). There were also no significant differences in Lysholm score, Tegner score, IKDC score and Biodex test scores between the two groups (P &gt;0.05). The operation time of DB ACL reconstruction was 20 minutes longer than the SB ACL reconstruction (P &lt;0.05) Conclusion: Double bundle ACL reconstructions have no obvious clinical advantages over single bundle ACL reconstructions.</t>
  </si>
  <si>
    <t>L355058292</t>
  </si>
  <si>
    <t>10.3760/cma.j.issn.0366-6999.2009.06.022</t>
  </si>
  <si>
    <t>http://dx.doi.org/10.3760/cma.j.issn.0366-6999.2009.06.022</t>
  </si>
  <si>
    <t>https://www.embase.com/search/results?subaction=viewrecord&amp;id=L355058292&amp;from=export</t>
  </si>
  <si>
    <t>https://catalyst.library.jhu.edu/openurl/01JHU_INST/01JHU_INST:JHU?sid=EMBASE&amp;sid=EMBASE&amp;issn=03666999&amp;id=doi:10.3760%2Fcma.j.issn.0366-6999.2009.06.022&amp;atitle=Clinical+evaluation+of+double-bundle+anterior+cruciate+ligament+reconstruction+procedure+using+hamstring+tendon+grafts%3A+A+prospective%2C+randomized+and+controlled+study&amp;stitle=Chin.+Med.+J.&amp;title=Chinese+Medical+Journal&amp;volume=122&amp;issue=6&amp;spage=706&amp;epage=711&amp;aulast=Wang&amp;aufirst=Jian-Quan&amp;auinit=J.-Q.&amp;aufull=Wang+J.-Q.&amp;coden=CMDJA&amp;isbn=&amp;pages=706-711&amp;date=2009&amp;auinit1=J&amp;auinitm=-Q</t>
  </si>
  <si>
    <t>Double-bundle versus single-bundle ACL reconstruction using the horizontal femoral position: A prospective, randomized study</t>
  </si>
  <si>
    <t>Sastre S., Popescu D., NÃºÃ±ez M., Pomes J., Tomas X., Peidro L.</t>
  </si>
  <si>
    <t>(Sastre S., ssastre@clinic.ub.es; Popescu D.; NÃºÃ±ez M.) Knee Surgery Unit, Orthopaedic Surgery Service, Hospital Clinic, University of Barcelona, C/Villarroel 170, 08036 Barcelona, Spain. , (Pomes J.; Tomas X.) Department of Radiology, Hospital Clinic, Barcelona, Spain. , (Peidro L.) Department of Orthopaedics, Hospital Clinic, Barcelona, Spain.</t>
  </si>
  <si>
    <t>S. Sastre, Knee Surgery Unit, Orthopaedic Surgery Service, Hospital Clinic, University of Barcelona, C/Villarroel 170, 08036 Barcelona, Spain. Email: ssastre@clinic.ub.es</t>
  </si>
  <si>
    <t>Knee Surgery, Sports Traumatology, Arthroscopy (2009) 18:1 (32-36). Date of Publication: January 2009</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</si>
  <si>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 Â© Springer-Verlag 2009.</t>
  </si>
  <si>
    <t>L50562012</t>
  </si>
  <si>
    <t>http://dx.doi.org/10.1007/s00167-009-0844-7</t>
  </si>
  <si>
    <t>https://www.embase.com/search/results?subaction=viewrecord&amp;id=L50562012&amp;from=export</t>
  </si>
  <si>
    <t>https://catalyst.library.jhu.edu/openurl/01JHU_INST/01JHU_INST:JHU?sid=EMBASE&amp;sid=EMBASE&amp;issn=09422056&amp;id=doi:10.1007%2Fs00167-009-0844-7&amp;atitle=Double-bundle+versus+single-bundle+ACL+reconstruction+using+the+horizontal+femoral+position%3A+A+prospective%2C+randomized+study&amp;stitle=Knee+Surg.+Sports+Traumatol.+Arthroscopy&amp;title=Knee+Surgery%2C+Sports+Traumatology%2C+Arthroscopy&amp;volume=18&amp;issue=1&amp;spage=32&amp;epage=36&amp;aulast=Sastre&amp;aufirst=Sergi&amp;auinit=S.&amp;aufull=Sastre+S.&amp;coden=&amp;isbn=&amp;pages=32-36&amp;date=2009&amp;auinit1=S&amp;auinitm=</t>
  </si>
  <si>
    <t>Comparison of the bioabsorbable and metal screw fixation after ACL reconstruction with a hamstring autograft in MRI and clinical outcome: A prospective randomized study</t>
  </si>
  <si>
    <t>Moisala A.-S., JÃ¤rvelÃ¤ T., Paakkala A., Paakkala T., Kannus P., JÃ¤rvinen M.</t>
  </si>
  <si>
    <t>(Moisala A.-S., anna-stina.moisala@fimnet.fi; JÃ¤rvinen M.) Department of Trauma, Musculoskeletal Surgery and Rehabilitation, University of Tampere, Tampere University Hospital, Teiskontie 35, 33014 Tampere, Finland. , (JÃ¤rvelÃ¤ T.) Orthopaedic Department, Arthroscopic Center, HatanpÃ¤Ã¤ Hospital, Tampere, Finland. , (JÃ¤rvelÃ¤ T.) Sports Clinic, Hospital MehilÃ¤inen, Tampere, Finland. , (Paakkala A.; Paakkala T.) Department of Radiology, Tampere University Hospital, Tampere University, Tampere, Finland. , (Kannus P.) Injury and Osteoporosis Research Center, UKK Institute, Tampere, Finland.</t>
  </si>
  <si>
    <t>A.-S. Moisala, Department of Trauma, Musculoskeletal Surgery and Rehabilitation, University of Tampere, Tampere University Hospital, Teiskontie 35, 33014 Tampere, Finland. Email: anna-stina.moisala@fimnet.fi</t>
  </si>
  <si>
    <t>Knee Surgery, Sports Traumatology, Arthroscopy (2008) 16:12 (1080-1086). Date of Publication: December 2008</t>
  </si>
  <si>
    <t>There has never been an MRI study of tunnel widening comparing bioabsorbable to metal screw fixation in autologous hamstring anterior cruciate ligament (ACL) reconstruction. We randomized 62 patients to hamstring ACL reconstruction with either a bioabsorbable (n = 31) or metal screw (n = 31) fixation. The evaluation methods were clinical examination, KT-1000 arthrometric measurement, the International Knee Documentation Committee and Lysholm scores, and MRI. There were no differences between the groups preoperatively. Fifty-five patients (89%) were available at a minimum of 2-year follow-up (range 24-36 months). There was tunnel widening in both groups, but the increase was significantly greater in the AP dimension of the femoral tunnel in the bioabsorbable screw group compared to metal group (P = 0.01). The tibial tunnels showed no intergroup difference. Ninety-four percent of the knees were normal or nearly normal according to the IKDC scores and the average Lysholm score was 91 with no intergroup difference. The follow-up AP tibial tunnel diameter was smaller with normal knee laxity compared to abnormal knee laxity. The graft failure rate in the bioabsorbable screw group was 23% (7/31 patients) and 6% (2/31 patients) in the metal screw group. The use of bioabsorbable screws resulted in more femoral tunnel widening, and more graft failures compared to metal screws. The tunnel widening in the tibia was associated with the knee laxity (P = 0.02). Â© 2008 Springer-Verlag.</t>
  </si>
  <si>
    <t>L50258010</t>
  </si>
  <si>
    <t>http://dx.doi.org/10.1007/s00167-008-0593-z</t>
  </si>
  <si>
    <t>https://www.embase.com/search/results?subaction=viewrecord&amp;id=L50258010&amp;from=export</t>
  </si>
  <si>
    <t>https://catalyst.library.jhu.edu/openurl/01JHU_INST/01JHU_INST:JHU?sid=EMBASE&amp;sid=EMBASE&amp;issn=09422056&amp;id=doi:10.1007%2Fs00167-008-0593-z&amp;atitle=Comparison+of+the+bioabsorbable+and+metal+screw+fixation+after+ACL+reconstruction+with+a+hamstring+autograft+in+MRI+and+clinical+outcome%3A+A+prospective+randomized+study&amp;stitle=Knee+Surg.+Sports+Traumatol.+Arthroscopy&amp;title=Knee+Surgery%2C+Sports+Traumatology%2C+Arthroscopy&amp;volume=16&amp;issue=12&amp;spage=1080&amp;epage=1086&amp;aulast=Moisala&amp;aufirst=Anna-Stina&amp;auinit=A.-S.&amp;aufull=Moisala+A.-S.&amp;coden=&amp;isbn=&amp;pages=1080-1086&amp;date=2008&amp;auinit1=A&amp;auinitm=-S</t>
  </si>
  <si>
    <t>ST/G ACL reconstruction: Double strand plus extra-articular sling vs double bundle, randomized study at 3-year follow-up</t>
  </si>
  <si>
    <t>Zaffagnini S., Bruni D., Russo A., Takazawa Y., Lo Presti M., Giordano G., Marcacci M.</t>
  </si>
  <si>
    <t>(Zaffagnini S., s.zaffagnini@biomec.ior.it; Bruni D.; Russo A.; Lo Presti M.; Giordano G.; Marcacci M.) Rizzoli Orthopaedic Institute, Biomechanics Laboratory, Bologna, Italy. , (Takazawa Y.) Department of Orthopaedic Surgery, Juntendo University, Bologna, Italy. , (Zaffagnini S., s.zaffagnini@biomec.ior.it) Rizzoli Orthopaedic Institute, Biomechanics Laboratory, Via Di Barbiano 1/10, 40136 Bologna, Italy.</t>
  </si>
  <si>
    <t>S. Zaffagnini, Rizzoli Orthopaedic Institute, Biomechanics Laboratory, Via Di Barbiano 1/10, 40136 Bologna, Italy. Email: s.zaffagnini@biomec.ior.it</t>
  </si>
  <si>
    <t>Scandinavian Journal of Medicine and Science in Sports (2008) 18:5 (573-581). Date of Publication: October 2008</t>
  </si>
  <si>
    <t>Several investigators have reported the presence of biomechanical, kinematic, anatomic, fiber orientation patterns and biological differences between the anteromedial bundle and the posterolateral bundle of ACL. The purpose of this prospective randomized study was to compare the clinical, instrumental and X-ray outcome of two ACL reconstruction techniques with hamstring tendons: one with a single intra-articular bundle associated to an extra-articular sling, the second with a more anatomic double-bundle technique that reproduces better the native ACL function. From an initial group of 100 patients who underwent ACL reconstruction, 72 patients (35 single bundle plus lateral plasty and 37 double bundle) were evaluated with IKDC, Tegner score, KT2000 arthrometer, Activity Rating Scale, Psychovitality Questionnaire and Ahlback radiographic score at a mean 3 years follow-up. Double-bundle group showed significantly better results regarding IKDC, ROM, Activity Rating Scale and time to return to sport. Also KT 2000 showed significant differences in objective stability. The double-bundle technique for ACL reconstruction described in this paper has demonstrated significantly better subjective, objective and functional results compared with a double-stranded hamstrings plus extra-articular sling at a minimum 3-year follow-up. Â© 2007 Blackwell Munksgaard.</t>
  </si>
  <si>
    <t>L352396185</t>
  </si>
  <si>
    <t>http://dx.doi.org/10.1111/j.1600-0838.2007.00697.x</t>
  </si>
  <si>
    <t>https://www.embase.com/search/results?subaction=viewrecord&amp;id=L352396185&amp;from=export</t>
  </si>
  <si>
    <t>https://catalyst.library.jhu.edu/openurl/01JHU_INST/01JHU_INST:JHU?sid=EMBASE&amp;sid=EMBASE&amp;issn=09057188&amp;id=doi:10.1111%2Fj.1600-0838.2007.00697.x&amp;atitle=ST%2FG+ACL+reconstruction%3A+Double+strand+plus+extra-articular+sling+vs+double+bundle%2C+randomized+study+at+3-year+follow-up&amp;stitle=Scand.+J.+Med.+Sci.+Sports&amp;title=Scandinavian+Journal+of+Medicine+and+Science+in+Sports&amp;volume=18&amp;issue=5&amp;spage=573&amp;epage=581&amp;aulast=Zaffagnini&amp;aufirst=S.&amp;auinit=S.&amp;aufull=Zaffagnini+S.&amp;coden=SMSSE&amp;isbn=&amp;pages=573-581&amp;date=2008&amp;auinit1=S&amp;auinitm=</t>
  </si>
  <si>
    <t>Kondo E., Yasuda K., Azuma H., Tanabe Y., Yagi T.</t>
  </si>
  <si>
    <t>(Kondo E.; Yasuda K., yasukaz@med.hokudai.ac.jp; Tanabe Y.) Department of Sports Medicine and Joint Reconstruction Surgery, Hokkaido University, School of Medicine, Sapporo, Japan. , (Azuma H.) Department of Orthopaedic Surgery, Sapporo City General Hospital, Sapporo, Japan. , (Yagi T.) Department of Orthopaedic Surgery, Yamanote-dori Yagi Hospital, Sapporo, Japan. , (Yasuda K., yasukaz@med.hokudai.ac.jp) Department of Sports Medicine and Joint Reconstruction Surgery, Hokkaido University, School of Medicine, Kita-15 Nishi-7, Kita-ku, Sapporo 060-8638, Japan.</t>
  </si>
  <si>
    <t>K. Yasuda, Department of Sports Medicine and Joint Reconstruction Surgery, Hokkaido University, School of Medicine, Kita-15 Nishi-7, Kita-ku, Sapporo 060-8638, Japan. Email: yasukaz@med.hokudai.ac.jp</t>
  </si>
  <si>
    <t>American Journal of Sports Medicine (2008) 36:9 (1675-1687). Date of Publication: September 2008</t>
  </si>
  <si>
    <t>Background: Several trials have been conducted to compare the clinical results between anatomic double-bundle and single-bundle anterior cruciate ligament (ACL) reconstruction procedures. In these studies, however, the number of patients was insufficient to compare the clinical results of the 2 procedures. Hypothesis: The anatomic double-bundle procedure may be significantly better concerning the anterior laxity and the pivot-shift test than the single-bundle procedure, while there may be no significant differences in the other clinical evaluations and the intraoperative and postoperative complications between the 2 procedures. Study Design: Cohort study; Level of evidence, 2. Methods: Three hundred and twenty-eight patients with unilateral ACL reconstruction using hamstring autografts were divided into 2 groups. The first 157 consecutive patients underwent single-bundle reconstruction and the remaining 171 patients underwent anatomic double-bundle reconstruction. Concerning all background factors, there were no statistical differences between the 2 groups. Each patient was examined 2 years after surgery. Results: No serious complications were experienced in either group. The anterior laxity was significantly less in the double-bundle reconstruction (mean, 1.2 mm) than in the single-bundle reconstruction (mean, 2.5 mm). In the pivot-shift test, the double bundle (+ indication, 16%; ++, 3%) was significantly better than the single bundle (+ result, 37%; ++, 12%). The mean Lysholm score averaged 96.5 points and 97.3 points in single-bundle and double-bundle reconstructions, respectively, while the International Knee Documentation Committee evaluation showed that 90 and 110 patients, respectively, were evaluated as rank A (no significant difference between groups). There were no significant differences in the other clinical evaluations and the complications between the 2 procedures. Conclusions: The postoperative anterior and rotational stability after the anatomic double-bundle ACL reconstruction was significantly better than that after the single-bundle reconstruction, although there were no significant differences between the 2 procedures concerning the complications and the clinical evaluations. Â© 2008 American Orthopaedic Society for Sports Medicine.</t>
  </si>
  <si>
    <t>L352210057</t>
  </si>
  <si>
    <t>http://dx.doi.org/10.1177/0363546508317123</t>
  </si>
  <si>
    <t>https://www.embase.com/search/results?subaction=viewrecord&amp;id=L352210057&amp;from=export</t>
  </si>
  <si>
    <t>https://catalyst.library.jhu.edu/openurl/01JHU_INST/01JHU_INST:JHU?sid=EMBASE&amp;sid=EMBASE&amp;issn=03635465&amp;id=doi:10.1177%2F0363546508317123&amp;atitle=Prospective+clinical+comparisons+of+anatomic+double-bundle+versus+single-bundle+anterior+cruciate+ligament+reconstruction+procedures+in+328+consecutive+patients&amp;stitle=Am.+J.+Sports+Med.&amp;title=American+Journal+of+Sports+Medicine&amp;volume=36&amp;issue=9&amp;spage=1675&amp;epage=1687&amp;aulast=Kondo&amp;aufirst=Eiji&amp;auinit=E.&amp;aufull=Kondo+E.&amp;coden=AJSMD&amp;isbn=&amp;pages=1675-1687&amp;date=2008&amp;auinit1=E&amp;auinitm=</t>
  </si>
  <si>
    <t>Bioabsorbable Versus Titanium Interference Screws With Hamstring Autograft in Anterior Cruciate Ligament Reconstruction: A Prospective Randomized Trial With 2-Year Follow-up</t>
  </si>
  <si>
    <t>Myers P., Logan M., Stokes A., Boyd K., Watts M.</t>
  </si>
  <si>
    <t>(Myers P.; Logan M., martinlogan@doctors.net.uk; Stokes A.; Boyd K.; Watts M.) Brisbane Orthopaedic and Sports Medicine Centre, Brisbane Private Hospital, Brisbane, Australia. , (Watts M.) Institute of Health and Biomedical Innovation, Queensland University of Technology, Brisbane, Australia.</t>
  </si>
  <si>
    <t>M. Logan, Brisbane Orthopaedic and Sports Medicine Centre, Brisbane Private Hospital, Brisbane, Australia. Email: martinlogan@doctors.net.uk</t>
  </si>
  <si>
    <t>Arthroscopy - Journal of Arthroscopic and Related Surgery (2008) 24:7 (817-823). Date of Publication: July 2008</t>
  </si>
  <si>
    <t>Purpose: The purpose of this study was to prospectively assess the outcome of hamstring autograft anterior cruciate ligament (ACL) reconstruction by use of identically shaped bioabsorbable and titanium interference screws in a randomized trial. Methods: One hundred patients were randomized to have either bioabsorbable or titanium interference screws used for graft tunnel fixation in hamstring autograft ACL reconstruction. Patients were objectively and subjectively assessed preoperatively and 3, 6, 12, and 24 months postoperatively. Radiographs at 12 months postoperatively were also assessed for tunnel width. Results: There were no differences in clinical outcome by use of Lysholm and International Knee Documentation Committee scores between the 2 groups at any stage of follow-up to 2 years. Tibial tunnel widths were the same between the 2 groups. There was slightly more tunnel widening in the femur when bioabsorbable interference screws were used. Conclusions: Identically shaped bioabsorbable interference screws and titanium interference screws used for hamstring autograft ACL reconstruction are equally successful up to 2 years postoperatively. Level of Evidence: Level I, prospective randomized trial with more than 80% follow-up. Â© 2008 Arthroscopy Association of North America.</t>
  </si>
  <si>
    <t>hydroxyapatite (1306-06-5, 51198-94-8), polylactic acid (26100-51-6), titanium (7440-32-6)</t>
  </si>
  <si>
    <t>L50118564</t>
  </si>
  <si>
    <t>http://dx.doi.org/10.1016/j.arthro.2008.02.011</t>
  </si>
  <si>
    <t>https://www.embase.com/search/results?subaction=viewrecord&amp;id=L50118564&amp;from=export</t>
  </si>
  <si>
    <t>https://catalyst.library.jhu.edu/openurl/01JHU_INST/01JHU_INST:JHU?sid=EMBASE&amp;sid=EMBASE&amp;issn=07498063&amp;id=doi:10.1016%2Fj.arthro.2008.02.011&amp;atitle=Bioabsorbable+Versus+Titanium+Interference+Screws+With+Hamstring+Autograft+in+Anterior+Cruciate+Ligament+Reconstruction%3A+A+Prospective+Randomized+Trial+With+2-Year+Follow-up&amp;stitle=Arthroscopy+J.+Arthroscopic++Relat.+Surg.&amp;title=Arthroscopy+-+Journal+of+Arthroscopic+and+Related+Surgery&amp;volume=24&amp;issue=7&amp;spage=817&amp;epage=823&amp;aulast=Myers&amp;aufirst=Peter&amp;auinit=P.&amp;aufull=Myers+P.&amp;coden=ARTHE&amp;isbn=&amp;pages=817-823&amp;date=2008&amp;auinit1=P&amp;auinitm=</t>
  </si>
  <si>
    <t>Minimizing Internal Rotation Strength Deficit After Use of Semitendinosus for Anterior Cruciate Ligament Reconstruction: A Modified Harvesting Technique</t>
  </si>
  <si>
    <t>Ferretti A., VadalÃ  A., De Carli A., Argento G., Conteduca F., Severini G.</t>
  </si>
  <si>
    <t>(Ferretti A.; VadalÃ  A., anto.vada@libero.it; De Carli A.; Conteduca F.) Orthopaedic Unit, Kirk Kilgour Sports Injury Centre, S. Andrea Hospital, Rome, Italy. , (Argento G.) Radiology Unit, S. Andrea Hospital, University of Rome La Sapienza, Rome, Italy. , (Severini G.) University of Milan La Cattolica, Milan, Italy.</t>
  </si>
  <si>
    <t>A. VadalÃ , Orthopaedic Unit, Kirk Kilgour Sports Injury Centre, S. Andrea Hospital, Rome, Italy. Email: anto.vada@libero.it</t>
  </si>
  <si>
    <t>Arthroscopy - Journal of Arthroscopic and Related Surgery (2008) 24:7 (786-795). Date of Publication: July 2008</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</si>
  <si>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60Â°/s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 Â© 2008 Arthroscopy Association of North America.</t>
  </si>
  <si>
    <t>L50124469</t>
  </si>
  <si>
    <t>10.1016/j.arthro.2008.02.010</t>
  </si>
  <si>
    <t>http://dx.doi.org/10.1016/j.arthro.2008.02.010</t>
  </si>
  <si>
    <t>https://www.embase.com/search/results?subaction=viewrecord&amp;id=L50124469&amp;from=export</t>
  </si>
  <si>
    <t>https://catalyst.library.jhu.edu/openurl/01JHU_INST/01JHU_INST:JHU?sid=EMBASE&amp;sid=EMBASE&amp;issn=07498063&amp;id=doi:10.1016%2Fj.arthro.2008.02.010&amp;atitle=Minimizing+Internal+Rotation+Strength+Deficit+After+Use+of+Semitendinosus+for+Anterior+Cruciate+Ligament+Reconstruction%3A+A+Modified+Harvesting+Technique&amp;stitle=Arthroscopy+J.+Arthroscopic++Relat.+Surg.&amp;title=Arthroscopy+-+Journal+of+Arthroscopic+and+Related+Surgery&amp;volume=24&amp;issue=7&amp;spage=786&amp;epage=795&amp;aulast=Ferretti&amp;aufirst=Andrea&amp;auinit=A.&amp;aufull=Ferretti+A.&amp;coden=ARTHE&amp;isbn=&amp;pages=786-795&amp;date=2008&amp;auinit1=A&amp;auinitm=</t>
  </si>
  <si>
    <t>Capuano L., Hardy P., Longo U.G., Denaro V., Maffulli N.</t>
  </si>
  <si>
    <t>(Capuano L.; Hardy P.) Orthopaedic Department, Ambroise ParÃ© Hospital, West Paris University, Boulogne, France. , (Longo U.G.; Denaro V.) Department of Orthopaedic and Trauma Surgery, Campus Biomedico University, Via Longoni, 83, 00155 Rome, Italy. , (Maffulli N., n.maffulli@keele.ac.uk) Department of Trauma and Orthopaedic Surgery, University Hospital of North, Keele University School of Medicine, Staffordshire Stoke on Trent, ST4 7LN, United Kingdom.</t>
  </si>
  <si>
    <t>N. Maffulli, Department of Trauma and Orthopaedic Surgery, University Hospital of North, Keele University School of Medicine, Staffordshire Stoke on Trent, ST4 7LN, United Kingdom. Email: n.maffulli@keele.ac.uk</t>
  </si>
  <si>
    <t>Knee (2008) 15:3 (174-179). Date of Publication: June 2008</t>
  </si>
  <si>
    <t>Hamstring tendon autograft has become a popular graft choice for anterior cruciate ligament (ACL) reconstruction, but there is no consensus on the ideal technique of fixation. We performed a pilot randomized controlled study to compare the clinical and mechanical outcome of two femoral fixation techniques for anterior cruciate ligament (ACL) reconstruction using hamstrings graft. We recruited 30 patients with a chronic unilateral tear of the anterior cruciate ligament. In all patients, quadrupled hamstring graft was used for ACL reconstruction. In 15 patients, femoral graft fixation was performed using Bio-interference Screws fixation (Arthrex, Inc. Naples USA) (Group 1). In the other 15 patients, femoral graft fixation was performed using BioTransFix femur extra cortical transverse fixation (Arthrex, Inc. Naples USA) (Group 2). In both groups, tibial fixation was achieved with a Delta bio-absorbable interference screw (Arthrex). Both groups were comparable with regard to demographic data, pre-operative activity level, mechanism of injury, interval between the injury and the operation, and pre-operative knee laxity measurements. An independent observer, who was blinded with regard to the involved leg and the type of graft, performed the outcome assessment with the use of a RolimeterÂ® arthrometer (Aircast), and the International Knee Documentation Committee. At 13 months follow up, all patients except one had functionally normal or nearly normal IKDC objective scores. The mean IKDC subjective score was 83.38 Â± 9.4 in Group 1 and 79.92 Â± 11.01 in Group 2 (P &gt; .05). The side to side laxity as measured with the RolimeterÂ® arthrometer was 1.5 mm Â± 1 (range 0-3) for Group 1, and 2 mm Â± 1 (range 0-3) for Group 2 (P &gt; .05). Femoral Biotransfix fixation and Bio-interference Screws fixation provide comparable mechanical stability and clinical outcome at 13 months follow up. BiotransFix fixation is an effective alternative to other devices. Our preliminary study shows that there is no evidence to prefer femoral transfixation to the more traditional, technically less demanding, and more economical interference screw fixation. A full study requires 368 participants. Â© 2008 Elsevier B.V. All rights reserved.</t>
  </si>
  <si>
    <t>L50101023</t>
  </si>
  <si>
    <t>http://dx.doi.org/10.1016/j.knee.2008.02.003</t>
  </si>
  <si>
    <t>https://www.embase.com/search/results?subaction=viewrecord&amp;id=L50101023&amp;from=export</t>
  </si>
  <si>
    <t>https://catalyst.library.jhu.edu/openurl/01JHU_INST/01JHU_INST:JHU?sid=EMBASE&amp;sid=EMBASE&amp;issn=09680160&amp;id=doi:10.1016%2Fj.knee.2008.02.003&amp;atitle=No+difference+in+clinical+results+between+femoral+transfixation+and+bio-interference+screw+fixation+in+hamstring+tendon+ACL+reconstruction.+A+preliminary+study&amp;stitle=Knee&amp;title=Knee&amp;volume=15&amp;issue=3&amp;spage=174&amp;epage=179&amp;aulast=Capuano&amp;aufirst=Luca&amp;auinit=L.&amp;aufull=Capuano+L.&amp;coden=KNEEF&amp;isbn=&amp;pages=174-179&amp;date=2008&amp;auinit1=L&amp;auinitm=</t>
  </si>
  <si>
    <t>Effects of biophysical stimulation in patients undergoing arthroscopic reconstruction of anterior cruciate ligament: Prospective, randomized and double blind study</t>
  </si>
  <si>
    <t>Benazzo F., Zanon G., Pederzini L., Modonesi F., Cardile C., Falez F., Ciolli L., Cava F.L., Giannini S., Buda R., Setti S., Caruso G., Massari L.</t>
  </si>
  <si>
    <t>(Benazzo F.; Zanon G.) Orthopaedic and Traumatology Department, S. Matteo Hospital Institute, University of Pavia, Pavia, Italy. , (Pederzini L.; Modonesi F.) Orthopaedic Department of Nuovo Ospedale di Sassuolo, Modena, Italy. , (Cardile C.) Orthopaedic Department, University of Milano - Bicocca, San Gerardo Hospital, Monza, Italy. , (Falez F.; Ciolli L.; Cava F.L.) Orthopaedic Department, S. Spirito Hospital Institute, Roma, Italy. , (Giannini S.; Buda R.) Orthopaedic Department, Rizzoli Orthopaedic Institute, Bologna, Italy. , (Setti S., s.setti@igeamedical.com) IGEA, Clinical Biophysics, Via Parmenide 10/A, 41012 Carpi (Mo), Italy. , (Caruso G.; Massari L.) Department of Biomedical Science and Advanced Therapy, University of Ferrara, Ferrara, Italy.</t>
  </si>
  <si>
    <t>S. Setti, IGEA, Clinical Biophysics, Via Parmenide 10/A, 41012 Carpi (Mo), Italy. Email: s.setti@igeamedical.com</t>
  </si>
  <si>
    <t>Knee Surgery, Sports Traumatology, Arthroscopy (2008) 16:6 (595-601). Date of Publication: June 2008</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</si>
  <si>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Ã—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</si>
  <si>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L50109854</t>
  </si>
  <si>
    <t>http://dx.doi.org/10.1007/s00167-008-0519-9</t>
  </si>
  <si>
    <t>https://www.embase.com/search/results?subaction=viewrecord&amp;id=L50109854&amp;from=export</t>
  </si>
  <si>
    <t>https://catalyst.library.jhu.edu/openurl/01JHU_INST/01JHU_INST:JHU?sid=EMBASE&amp;sid=EMBASE&amp;issn=09422056&amp;id=doi:10.1007%2Fs00167-008-0519-9&amp;atitle=Effects+of+biophysical+stimulation+in+patients+undergoing+arthroscopic+reconstruction+of+anterior+cruciate+ligament%3A+Prospective%2C+randomized+and+double+blind+study&amp;stitle=Knee+Surg.+Sports+Traumatol.+Arthroscopy&amp;title=Knee+Surgery%2C+Sports+Traumatology%2C+Arthroscopy&amp;volume=16&amp;issue=6&amp;spage=595&amp;epage=601&amp;aulast=Benazzo&amp;aufirst=Francesco&amp;auinit=F.&amp;aufull=Benazzo+F.&amp;coden=&amp;isbn=&amp;pages=595-601&amp;date=2008&amp;auinit1=F&amp;auinitm=</t>
  </si>
  <si>
    <t>Birmingham T.B., Bryant D.M., Giffin J.R., Litchfield R.B., Kramer J.F., Donner A., Fowler P.J.</t>
  </si>
  <si>
    <t>(Birmingham T.B., tbirming@uwo.ca; Bryant D.M.; Giffin J.R.; Litchfield R.B.; Fowler P.J.) Fowler Kennedy Sport Medicine Clinic, London, ON, Canada. , (Birmingham T.B., tbirming@uwo.ca; Bryant D.M.; Giffin J.R.; Litchfield R.B.; Kramer J.F.; Donner A.; Fowler P.J.) University of Western Ontario, London, ON, Canada. , (Birmingham T.B., tbirming@uwo.ca) School of Physical Therapy, Faculty of Health Sciences, University of Western Ontario, London, ON N6G 1H1, Canada.</t>
  </si>
  <si>
    <t>T. B. Birmingham, School of Physical Therapy, Faculty of Health Sciences, University of Western Ontario, London, ON N6G 1H1, Canada. Email: tbirming@uwo.ca</t>
  </si>
  <si>
    <t>American Journal of Sports Medicine (2008) 36:4 (648-655). Date of Publication: April 2008</t>
  </si>
  <si>
    <t>Background: Despite a lack of evidence for their effectiveness, functional knee braces are commonly prescribed to patients after anterior cruciate ligament (ACL) reconstruction. Purpose: This trial was conducted to compare postoperative outcomes in patients using an ACL functional knee brace and patients using a neoprene knee sleeve. Hypothesis: Patients using a brace will have superior outcomes than those using a sleeve. Study Design: Randomized controlled clinical trial; Level of evidence, 1. Methods: One hundred fifty patients were randomized to receive a brace (n = 76) or neoprene sleeve (n = 74) at their 6-week postoperative visit after primary ACL reconstruction with hamstring autograft. Patients were assessed preoperatively, then 6 weeks and 6, 12, and 24 months postoperatively. Outcome measures included disease-specific quality of life (Anterior Cruciate Ligament-Quality of Life [ACL-QOL] Questionnaire), anterior tibial translation (KT-1000 arthrometer side-to-side difference), the single-limb forward hop test (limb symmetry index), and Tegner Activity Scale. Outcomes at 1 and 2 years were compared after adjusting for baseline scores. Subjective ratings of how patients felt while using the brace/sleeve were also collected for descriptive purposes using a questionnaire. Four a priori directional subgroup hypotheses were evaluated using tests for interactions. Results: There were no significant differences between brace (n = 62) and sleeve (n = 65) groups for any of the outcomes at 1- and 2-year follow-ups. Adjusted mean differences at 2 years were as follows: -0.94 (95% confidence interval [CI], -7.52 to 5.64) for the ACL-QOL Questionnaire, -0.10 mm (95% CI, -0.99 to 0.81) for KT-1000 arthrometer side-to-side difference, -0.87% (95% CI, -8.89 to 7.12) for hop limb symmetry index, and -0.05 (95% CI, -0.72 to 0.62) for the Tegner Activity Scale. Subjective ratings of confidence in the knee provided by the brace/sleeve were higher for the brace group than the sleeve group. Subgroup findings were minimal. Adverse events were few and similar between groups. Conclusions: A functional knee brace does not result in superior outcomes compared with a neoprene sleeve after ACL reconstruction. Current evidence does not support the recommendation of using an ACL functional knee brace after ACL reconstruction. Â© 2008 American Orthopaedic Society for Sports Medicine.</t>
  </si>
  <si>
    <t>neoprene (69028-37-1, 9010-98-4)</t>
  </si>
  <si>
    <t>L351433298</t>
  </si>
  <si>
    <t>http://dx.doi.org/10.1177/0363546507311601</t>
  </si>
  <si>
    <t>https://www.embase.com/search/results?subaction=viewrecord&amp;id=L351433298&amp;from=export</t>
  </si>
  <si>
    <t>https://catalyst.library.jhu.edu/openurl/01JHU_INST/01JHU_INST:JHU?sid=EMBASE&amp;sid=EMBASE&amp;issn=03635465&amp;id=doi:10.1177%2F0363546507311601&amp;atitle=A+randomized+controlled+trial+comparing+the+effectiveness+of+functional+knee+brace+and+neoprene+sleeve+use+after+anterior+cruciate+ligament+reconstruction&amp;stitle=Am.+J.+Sports+Med.&amp;title=American+Journal+of+Sports+Medicine&amp;volume=36&amp;issue=4&amp;spage=648&amp;epage=655&amp;aulast=Birmingham&amp;aufirst=Trevor+B.&amp;auinit=T.B.&amp;aufull=Birmingham+T.B.&amp;coden=AJSMD&amp;isbn=&amp;pages=648-655&amp;date=2008&amp;auinit1=T&amp;auinitm=B</t>
  </si>
  <si>
    <t>Postoperative range of motion following anterior cruciate ligament reconstruction using autograft hamstrings: A prospective, randomized clinical trial of early versus delayed reconstructions</t>
  </si>
  <si>
    <t>Bottoni C.R., Liddell T.R., Trainor T.J., Freccero D.M., Lindell K.K.</t>
  </si>
  <si>
    <t>(Bottoni C.R., craig.bottoni@aspetar.com) Aspetar Orthopaedic and Sports Medicine Hospital, Doha, Qatar. , (Liddell T.R.; Trainor T.J.; Freccero D.M.; Lindell K.K.) Tripler Army Medical Center, Honolulu, HI, United States. , (Bottoni C.R., craig.bottoni@aspetar.com) Qatar Orthopaedic and Sports Medicine Center, PO Box 29222, Doha, Qatar.</t>
  </si>
  <si>
    <t>C. R. Bottoni, Qatar Orthopaedic and Sports Medicine Center, PO Box 29222, Doha, Qatar. Email: craig.bottoni@aspetar.com</t>
  </si>
  <si>
    <t>American Journal of Sports Medicine (2008) 36:4 (656-662). Date of Publication: April 2008</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</si>
  <si>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 Â© 2008 American Orthopaedic Society for Sports Medicine.</t>
  </si>
  <si>
    <t>L351433302</t>
  </si>
  <si>
    <t>http://dx.doi.org/10.1177/0363546507312164</t>
  </si>
  <si>
    <t>https://www.embase.com/search/results?subaction=viewrecord&amp;id=L351433302&amp;from=export</t>
  </si>
  <si>
    <t>https://catalyst.library.jhu.edu/openurl/01JHU_INST/01JHU_INST:JHU?sid=EMBASE&amp;sid=EMBASE&amp;issn=03635465&amp;id=doi:10.1177%2F0363546507312164&amp;atitle=Postoperative+range+of+motion+following+anterior+cruciate+ligament+reconstruction+using+autograft+hamstrings%3A+A+prospective%2C+randomized+clinical+trial+of+early+versus+delayed+reconstructions&amp;stitle=Am.+J.+Sports+Med.&amp;title=American+Journal+of+Sports+Medicine&amp;volume=36&amp;issue=4&amp;spage=656&amp;epage=662&amp;aulast=Bottoni&amp;aufirst=Craig+R.&amp;auinit=C.R.&amp;aufull=Bottoni+C.R.&amp;coden=AJSMD&amp;isbn=&amp;pages=656-662&amp;date=2008&amp;auinit1=C&amp;auinitm=R</t>
  </si>
  <si>
    <t>Arthroscopic ACL reconstruction with Î” plasty: An innovative approach with hamstrings' transfer and double tibial tunnel</t>
  </si>
  <si>
    <t>Papachristou G., Sourlas J., Plessas S., Papachristou K.</t>
  </si>
  <si>
    <t>(Papachristou G., gcpapachristou@yahoo.gr; Sourlas J.; Plessas S.; Papachristou K.) 2nd Department of Orthopaedics, University of Athens, Constantopoulion Hospital, N. Ionia, Greece. , (Papachristou G., gcpapachristou@yahoo.gr) 4 Moschopoleos Street, Papagou, Athens 156 69, Greece.</t>
  </si>
  <si>
    <t>G. Papachristou, 4 Moschopoleos Street, Papagou, Athens 156 69, Greece. Email: gcpapachristou@yahoo.gr</t>
  </si>
  <si>
    <t>Knee Surgery, Sports Traumatology, Arthroscopy (2008) 16:4 (420-426). Date of Publication: April 2008</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</si>
  <si>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 Â© 2007 Springer-Verlag.</t>
  </si>
  <si>
    <t>L351434108</t>
  </si>
  <si>
    <t>http://dx.doi.org/10.1007/s00167-007-0426-5</t>
  </si>
  <si>
    <t>https://www.embase.com/search/results?subaction=viewrecord&amp;id=L351434108&amp;from=export</t>
  </si>
  <si>
    <t>https://catalyst.library.jhu.edu/openurl/01JHU_INST/01JHU_INST:JHU?sid=EMBASE&amp;sid=EMBASE&amp;issn=09422056&amp;id=doi:10.1007%2Fs00167-007-0426-5&amp;atitle=Arthroscopic+ACL+reconstruction+with+%CE%94+plasty%3A+An+innovative+approach+with+hamstrings%27+transfer+and+double+tibial+tunnel&amp;stitle=Knee+Surg.+Sports+Traumatol.+Arthroscopy&amp;title=Knee+Surgery%2C+Sports+Traumatology%2C+Arthroscopy&amp;volume=16&amp;issue=4&amp;spage=420&amp;epage=426&amp;aulast=Papachristou&amp;aufirst=George&amp;auinit=G.&amp;aufull=Papachristou+G.&amp;coden=&amp;isbn=&amp;pages=420-426&amp;date=2008&amp;auinit1=G&amp;auinitm=</t>
  </si>
  <si>
    <t>Comparative study on reconstruction of anterior cruciate ligaments with allografts and hamstring tendon under arthroscopy</t>
  </si>
  <si>
    <t>Liu H.G., Chen S.X., Zhao C.D., Ding L.J., Situ J.</t>
  </si>
  <si>
    <t>(Liu H.G.; Chen S.X.; Zhao C.D.; Ding L.J.; Situ J.) Department of Orthopaedics, Wuyi TCM Hospital of Jiangmen (the Sixth Affiliated Hospital of Medicine College of Jinan University), Jiangmen 529031, Guangdong, China.</t>
  </si>
  <si>
    <t>H.G. Liu, Department of Orthopaedics, Wuyi TCM Hospital of Jiangmen (the Sixth Affiliated Hospital of Medicine College of Jinan University), Jiangmen 529031, Guangdong, China. Email: liuhgfz@tom.com</t>
  </si>
  <si>
    <t>Zhongguo gu shang = China journal of orthopaedics and traumatology (2008) 21:4 (267-269). Date of Publication: Apr 2008</t>
  </si>
  <si>
    <t>Zhongguo gu shang = China journal of orthopaedics and traumatology</t>
  </si>
  <si>
    <t>1003-0034</t>
  </si>
  <si>
    <t>OBJECTIVE: To evaluate the effect of reconstruction of anterior cruciate ligaments (ACL) with allogeneic tendon or autologous hamstring tendon under arthroscopy. METHODS: Thirty-two cases of ACL injury (3 cases compound with PCL injury) were reviewed. All the patients were divided into two groups randomly. Fifteen cases were reconstructed with hamstring tendon, including 12 male and 3 female with the age ranging from 23 to 61 years. Seventeen cases were reconstructed with allograft, including 11 male and 6 female with the age ranging from 17 to 57 years. The tendons were fixed with absorbable or Ti screws. All patients were recorded symptoms,physical signs and Lysholm Scores two weeks after operation,and functional rehabilitation of knee six months after operation. RESULTS: All cases were followed up from 6 to 8 months. Pain and clinical symptoms disappeared and the function of knee joint was improved in all patients. Five patients of allograft with positive Lachman test result,one with severe graft rejection was found complete absorption of allograft under arthroscopy. No significant differences were seen in Lysholm Score between the two groups,average (88.5 +/- 7.2), (93.2 +/- 8.5) after operation (P &gt; 0.05). CONCLUSION: The effects of reconstruction of cruciate ligaments with allogeneic tendon or autologous hamstring tendon under arthroscopy are more satisfying. But there are more symptoms and obvious individual differences in the earlier stage of rehabilitation. So reconstruction of cruciate ligaments under arthroscopy using autologous hamstring tendon should be performed as far as possible.</t>
  </si>
  <si>
    <t>L550078794</t>
  </si>
  <si>
    <t>https://www.embase.com/search/results?subaction=viewrecord&amp;id=L550078794&amp;from=export</t>
  </si>
  <si>
    <t>https://catalyst.library.jhu.edu/openurl/01JHU_INST/01JHU_INST:JHU?sid=EMBASE&amp;sid=EMBASE&amp;issn=10030034&amp;id=doi:&amp;atitle=Comparative+study+on+reconstruction+of+anterior+cruciate+ligaments+with+allografts+and+hamstring+tendon+under+arthroscopy&amp;stitle=Zhongguo+Gu+Shang&amp;title=Zhongguo+gu+shang+%3D+China+journal+of+orthopaedics+and+traumatology&amp;volume=21&amp;issue=4&amp;spage=267&amp;epage=269&amp;aulast=Liu&amp;aufirst=Hong-guang&amp;auinit=H.G.&amp;aufull=Liu+H.G.&amp;coden=&amp;isbn=&amp;pages=267-269&amp;date=2008&amp;auinit1=H&amp;auinitm=G</t>
  </si>
  <si>
    <t>Reconstruction of the ACL with a semitendinosus tendon graft: A prospective randomized single blinded comparison of double-bundle versus single-bundle technique in male athletes</t>
  </si>
  <si>
    <t>Streich N.A., Friedrich K., Gotterbarm T., Schmitt H.</t>
  </si>
  <si>
    <t>(Streich N.A., nikolaus.streich@ok.uni-heidelberg.de; Friedrich K.; Gotterbarm T.; Schmitt H.) Department of Orthopaedic Sports Medicine, University of Heidelberg, Schlierbacher Landstrasse 200a, 69118 Heidelberg, Germany.</t>
  </si>
  <si>
    <t>N.A. Streich, Department of Orthopaedic Sports Medicine, University of Heidelberg, Schlierbacher Landstrasse 200a, 69118 Heidelberg, Germany. Email: nikolaus.streich@ok.uni-heidelberg.de</t>
  </si>
  <si>
    <t>Knee Surgery, Sports Traumatology, Arthroscopy (2008) 16:3 (232-238). Date of Publication: March 2008</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</si>
  <si>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 Â© 2008 Springer-Verlag.</t>
  </si>
  <si>
    <t>L50036237</t>
  </si>
  <si>
    <t>http://dx.doi.org/10.1007/s00167-007-0480-z</t>
  </si>
  <si>
    <t>https://www.embase.com/search/results?subaction=viewrecord&amp;id=L50036237&amp;from=export</t>
  </si>
  <si>
    <t>https://catalyst.library.jhu.edu/openurl/01JHU_INST/01JHU_INST:JHU?sid=EMBASE&amp;sid=EMBASE&amp;issn=09422056&amp;id=doi:10.1007%2Fs00167-007-0480-z&amp;atitle=Reconstruction+of+the+ACL+with+a+semitendinosus+tendon+graft%3A+A+prospective+randomized+single+blinded+comparison+of+double-bundle+versus+single-bundle+technique+in+male+athletes&amp;stitle=Knee+Surg.+Sports+Traumatol.+Arthroscopy&amp;title=Knee+Surgery%2C+Sports+Traumatology%2C+Arthroscopy&amp;volume=16&amp;issue=3&amp;spage=232&amp;epage=238&amp;aulast=Streich&amp;aufirst=Nikolaus+A.&amp;auinit=N.A.&amp;aufull=Streich+N.A.&amp;coden=&amp;isbn=&amp;pages=232-238&amp;date=2008&amp;auinit1=N&amp;auinitm=A</t>
  </si>
  <si>
    <t>A comprehensive rehabilitation program with quadriceps strengthening in closed versus open kinetic chain exercise in patients with anterior cruciate ligament deficiency: A randomized clinical trial evaluating dynamic tibial translation and muscle function</t>
  </si>
  <si>
    <t>Tagesson S., Ã–berg B., Good L., Kvist J.</t>
  </si>
  <si>
    <t>(Tagesson S., sofi.tagesson@ihs.liu.se; Ã–berg B.; Kvist J.) Division of Physiotherapy, Department of Medicine and Health Sciences, LinkÃ¶pings Universitet, LinkÃ¶ping, Sweden. , (Good L.) Division of Orthopaedics and Sports Medicine, Department of Clinical and Experimental Medicine, LinkÃ¶pings Universitet, LinkÃ¶ping, Sweden. , (Tagesson S., sofi.tagesson@ihs.liu.se) Department of Medicine and Health Sciences, Division of Physiotherapy, LinkÃ¶pings Universitet, SE-581 83 LinkÃ¶ping, Sweden.</t>
  </si>
  <si>
    <t>S. Tagesson, Department of Medicine and Health Sciences, Division of Physiotherapy, LinkÃ¶pings Universitet, SE-581 83 LinkÃ¶ping, Sweden. Email: sofi.tagesson@ihs.liu.se</t>
  </si>
  <si>
    <t>American Journal of Sports Medicine (2008) 36:2 (298-307). Date of Publication: February 2008</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</si>
  <si>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 Â© 2008 American Orthopaedic Society for Sports Medicine.</t>
  </si>
  <si>
    <t>L351132377</t>
  </si>
  <si>
    <t>http://dx.doi.org/10.1177/0363546507307867</t>
  </si>
  <si>
    <t>https://www.embase.com/search/results?subaction=viewrecord&amp;id=L351132377&amp;from=export</t>
  </si>
  <si>
    <t>https://catalyst.library.jhu.edu/openurl/01JHU_INST/01JHU_INST:JHU?sid=EMBASE&amp;sid=EMBASE&amp;issn=03635465&amp;id=doi:10.1177%2F0363546507307867&amp;atitle=A+comprehensive+rehabilitation+program+with+quadriceps+strengthening+in+closed+versus+open+kinetic+chain+exercise+in+patients+with+anterior+cruciate+ligament+deficiency%3A+A+randomized+clinical+trial+evaluating+dynamic+tibial+translation+and+muscle+function&amp;stitle=Am.+J.+Sports+Med.&amp;title=American+Journal+of+Sports+Medicine&amp;volume=36&amp;issue=2&amp;spage=298&amp;epage=307&amp;aulast=Tagesson&amp;aufirst=Sofi&amp;auinit=S.&amp;aufull=Tagesson+S.&amp;coden=AJSMD&amp;isbn=&amp;pages=298-307&amp;date=2008&amp;auinit1=S&amp;auinitm=</t>
  </si>
  <si>
    <t>Double-bundle anterior cruciate ligament reconstruction using hamstring autografts and bioabsorbable interference screw fixation: Prospective, randomized, clinical study with 2-year results</t>
  </si>
  <si>
    <t>JÃ¤rvelÃ¤ T., Moisala A.-S., Sihvonen R., JÃ¤rvelÃ¤ S., Kannus P., JÃ¤rvinen M.</t>
  </si>
  <si>
    <t>(JÃ¤rvelÃ¤ T., timo.jarvela@sci.fi; Sihvonen R.; JÃ¤rvelÃ¤ S.) Orthopaedic Department, Arthroscopic Center, HatanpÃ¤Ã¤ Hospital, Tampere, Finland. , (JÃ¤rvelÃ¤ T., timo.jarvela@sci.fi) Sports Clinic and Hospital MehilÃ¤inen, Tampere, Finland. , (Moisala A.-S.; Kannus P.; JÃ¤rvinen M.) Department of Trauma, Musculoskeletal Surgery and Rehabilitation, Tampere University Hospital, Tampere University, Tampere, Finland. , (Kannus P.) Injury and Osteoporosis Research Center, UKK Institute, Tampere, Finland. , (JÃ¤rvelÃ¤ T., timo.jarvela@sci.fi) Department of Orthopaedics, HatanpÃ¤Ã¤ Hospital, PO Box 437, FIN-33101 Tampere, Finland.</t>
  </si>
  <si>
    <t>T. JÃ¤rvelÃ¤, Department of Orthopaedics, HatanpÃ¤Ã¤ Hospital, PO Box 437, FIN-33101 Tampere, Finland. Email: timo.jarvela@sci.fi</t>
  </si>
  <si>
    <t>American Journal of Sports Medicine (2008) 36:2 (290-297). Date of Publication: February 2008</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</si>
  <si>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 Â© 2008 American Orthopaedic Society for Sports Medicine.</t>
  </si>
  <si>
    <t>L351132383</t>
  </si>
  <si>
    <t>http://dx.doi.org/10.1177/0363546507308360</t>
  </si>
  <si>
    <t>https://www.embase.com/search/results?subaction=viewrecord&amp;id=L351132383&amp;from=export</t>
  </si>
  <si>
    <t>https://catalyst.library.jhu.edu/openurl/01JHU_INST/01JHU_INST:JHU?sid=EMBASE&amp;sid=EMBASE&amp;issn=03635465&amp;id=doi:10.1177%2F0363546507308360&amp;atitle=Double-bundle+anterior+cruciate+ligament+reconstruction+using+hamstring+autografts+and+bioabsorbable+interference+screw+fixation%3A+Prospective%2C+randomized%2C+clinical+study+with+2-year+results&amp;stitle=Am.+J.+Sports+Med.&amp;title=American+Journal+of+Sports+Medicine&amp;volume=36&amp;issue=2&amp;spage=290&amp;epage=297&amp;aulast=J%C3%A4rvel%C3%A4&amp;aufirst=Timo&amp;auinit=T.&amp;aufull=J%C3%A4rvel%C3%A4+T.&amp;coden=AJSMD&amp;isbn=&amp;pages=290-297&amp;date=2008&amp;auinit1=T&amp;auinitm=</t>
  </si>
  <si>
    <t>Prospective Randomized Comparison of Double-Bundle Versus Single-Bundle Anterior Cruciate Ligament Reconstruction</t>
  </si>
  <si>
    <t>Siebold R., Dehler C., Ellert T.</t>
  </si>
  <si>
    <t>(Siebold R., rainersiebold@hotmail.com; Dehler C.; Ellert T.) Orthopaedic Department, ARCUS Sportsclinic, Pforzheim, Germany.</t>
  </si>
  <si>
    <t>R. Siebold, Orthopaedic Department, ARCUS Sportsclinic, Pforzheim, Germany. Email: rainersiebold@hotmail.com</t>
  </si>
  <si>
    <t>Arthroscopy - Journal of Arthroscopic and Related Surgery (2008) 24:2 (137-145). Date of Publication: February 2008</t>
  </si>
  <si>
    <t>Purpose: Biomechanical studies show increased anterior and rotational stability with double-bundle (DB) compared to single-bundle (SB) anterior cruciate ligament (ACL) reconstruction. The aim of this study was to evaluate the clinical results of four-tunnel DB ACL reconstruction. Methods: Seventy patients undergoing arthroscopic hamstring ACL reconstruction were prospectively randomized to DB (n = 35) or SB (n = 35) groups. Each bundle fixation was by means of a femoral EndoButton CL and a tibial biodegradable interference screw. Demographic data were comparable between groups, and the average age of all patients was 29 years. The average follow-up was 19 months for both groups and included a history, clinical evaluation with knee scores, and radiographs. Results: The subjective results were similar in groups. The subjective International Knee Documentation Committee (IKDC) 2000 score was 88 P for DB versus 90 P for SB; the Lysholm score was 90 P for DB versus 93 P for SB; and the Cincinnati knee score was 91 P for DB versus 92 P for SB. The objective IKDC was significantly higher for DB: 78% "A" (P &lt; .000) and 19% "B" compared to 24% "A" and 68% "B" for SB. The average KT-1000 side-to-side difference was 1.0 mm for DB and 1.6 mm for SB (P = .054) and the pivot shift test was negative in 97% for DB (P = .01) and 71% for SB. The range of motion was comparable for both groups. Conclusions: Our study shows a significant advantage in anterior and rotational stability as well as objective IKDC for four-tunnel DB ACL reconstruction compared to SB ACL reconstruction. The subjective Cincinnati knee score, the Lysholm score, and the subjective IKDC 2000 did not show any statistical difference for one or the other technique. Level of Evidence: Level I, randomized controlled trial. Â© 2008 Arthroscopy Association of North America.</t>
  </si>
  <si>
    <t>L351163033</t>
  </si>
  <si>
    <t>http://dx.doi.org/10.1016/j.arthro.2007.11.013</t>
  </si>
  <si>
    <t>https://www.embase.com/search/results?subaction=viewrecord&amp;id=L351163033&amp;from=export</t>
  </si>
  <si>
    <t>https://catalyst.library.jhu.edu/openurl/01JHU_INST/01JHU_INST:JHU?sid=EMBASE&amp;sid=EMBASE&amp;issn=07498063&amp;id=doi:10.1016%2Fj.arthro.2007.11.013&amp;atitle=Prospective+Randomized+Comparison+of+Double-Bundle+Versus+Single-Bundle+Anterior+Cruciate+Ligament+Reconstruction&amp;stitle=Arthroscopy+J.+Arthroscopic++Relat.+Surg.&amp;title=Arthroscopy+-+Journal+of+Arthroscopic+and+Related+Surgery&amp;volume=24&amp;issue=2&amp;spage=137&amp;epage=145&amp;aulast=Siebold&amp;aufirst=Rainer&amp;auinit=R.&amp;aufull=Siebold+R.&amp;coden=ARTHE&amp;isbn=&amp;pages=137-145&amp;date=2008&amp;auinit1=R&amp;auinitm=</t>
  </si>
  <si>
    <t>Does the Position of the Femoral Tunnel Affect the Laxity or Clinical Outcome of the Anterior Cruciate Ligament-Reconstructed Knee? A Clinical, Prospective, Randomized, Double-Blind Study</t>
  </si>
  <si>
    <t>Jepsen C.F., Lundberg-Jensen A.K., Faunoe P.</t>
  </si>
  <si>
    <t>(Jepsen C.F., fink@dadlnet.dk; Faunoe P.) Randers Central Hospital, Randers, Denmark. , (Lundberg-Jensen A.K.) Ringsted Central Hospital, Randers, Denmark.</t>
  </si>
  <si>
    <t>C.F. Jepsen, Randers Central Hospital, Randers, Denmark. Email: fink@dadlnet.dk</t>
  </si>
  <si>
    <t>Arthroscopy - Journal of Arthroscopic and Related Surgery (2007) 23:12 (1326-1333). Date of Publication: December 2007</t>
  </si>
  <si>
    <t>Purpose: The aim of this study was to evaluate whether a change in the femoral graft insertion site between the 1-o'clock (high) and 2-o'clock (low) positions could change the laxity, the score on the 2000 International Knee Documentation Committee (IKDC) Knee Examination Form, or the score on the 2000 subjective IKDC Knee Evaluation Form in the anterior cruciate ligament (ACL)-reconstructed knee. Methods: The study was designed as a prospective, randomized, double-blind investigation. We randomized 30 patients to the low tunnel position group and 30 to the high tunnel position group. Four-stranded semitendinosus and gracilis single-bundle grafts were used. At follow-up, the patients were examined according to the IKDC evaluation form and the IKDC examination form. The exact measurements of laxity at 25Â° and 70Â° were performed by use of the Rolimeter (Aircast, Boca Raton, FL). Standardized radiographs were evaluated. Results: In total, 26 patients in the low tunnel position group and 25 in the high tunnel position group completed the study. At follow-up, we found no significant difference in the laxity at 25Â° and 70Â° or scores on the IKDC examination form. We found a significant difference in the scores on the IKDC evaluation form, favoring the low position, with a subjective score of 82.8 versus 70.4. Conclusions: A change in the femoral tunnel placement from 1 o'clock to 2 o'clock did not result in a detectable change in the sagittal laxity at 25Â° and 70Â°, on the pivot-shift test, or on the IKDC examination form scores. However, we found a significant difference between the two groups in the scores on the IKDC evaluation form, most evident in the subgroups dealing with the patient's subjective knee stability. We conclude that it is possible to improve the clinical result in 1-bundle ACL reconstruction by lowering the tibial tunnel angle and thereby lowering the femoral tunnel toward the 2-o'clock position. Level of Evidence: Level I, therapeutic prospective randomized trial. Â© 2007 Arthroscopy Association of North America.</t>
  </si>
  <si>
    <t>L350192140</t>
  </si>
  <si>
    <t>http://dx.doi.org/10.1016/j.arthro.2007.09.010</t>
  </si>
  <si>
    <t>https://www.embase.com/search/results?subaction=viewrecord&amp;id=L350192140&amp;from=export</t>
  </si>
  <si>
    <t>https://catalyst.library.jhu.edu/openurl/01JHU_INST/01JHU_INST:JHU?sid=EMBASE&amp;sid=EMBASE&amp;issn=07498063&amp;id=doi:10.1016%2Fj.arthro.2007.09.010&amp;atitle=Does+the+Position+of+the+Femoral+Tunnel+Affect+the+Laxity+or+Clinical+Outcome+of+the+Anterior+Cruciate+Ligament-Reconstructed+Knee%3F+A+Clinical%2C+Prospective%2C+Randomized%2C+Double-Blind+Study&amp;stitle=Arthroscopy+J.+Arthroscopic++Relat.+Surg.&amp;title=Arthroscopy+-+Journal+of+Arthroscopic+and+Related+Surgery&amp;volume=23&amp;issue=12&amp;spage=1326&amp;epage=1333&amp;aulast=Jepsen&amp;aufirst=Claus+Fink&amp;auinit=C.F.&amp;aufull=Jepsen+C.F.&amp;coden=ARTHE&amp;isbn=&amp;pages=1326-1333&amp;date=2007&amp;auinit1=C&amp;auinitm=F</t>
  </si>
  <si>
    <t>Anterior cruciate ligament reconstruction using autologous double hamstrings: A comparison of standard versus minimal debridement techniques using MRI to assess revascularisation - A randomised prospective study with a one-year follow-up</t>
  </si>
  <si>
    <t>Gohil S., Annear P.O., Breidahl W.</t>
  </si>
  <si>
    <t>(Gohil S., satgohil@hotmail.com; Breidahl W.) Perth Orthopaedics and Sports Medicine Centre, Perth, WA, Australia. , (Gohil S., satgohil@hotmail.com; Annear P.O.) Perth Orthopaedic and Sports Medicine Centre, 31 Outram Street, West Perth, WA 6005, Australia. , (Breidahl W.) Perth Radiological Clinic, 127 Hamersley Road, Perth, WA, Australia.</t>
  </si>
  <si>
    <t>S. Gohil, Perth Orthopaedic and Sports Medicine Centre, 31 Outram Street, West Perth, WA 6005, Australia. Email: satgohil@hotmail.com</t>
  </si>
  <si>
    <t>Journal of Bone and Joint Surgery - Series B (2007) 89:9 (1165-1171). Date of Publication: September 2007</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</si>
  <si>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 Â©2007 British Editorial Society of Bone and Joint Surgery.</t>
  </si>
  <si>
    <t>L350057953</t>
  </si>
  <si>
    <t>http://dx.doi.org/10.1302/0301-620X.89B9.19339</t>
  </si>
  <si>
    <t>https://www.embase.com/search/results?subaction=viewrecord&amp;id=L350057953&amp;from=export</t>
  </si>
  <si>
    <t>https://catalyst.library.jhu.edu/openurl/01JHU_INST/01JHU_INST:JHU?sid=EMBASE&amp;sid=EMBASE&amp;issn=0301620X&amp;id=doi:10.1302%2F0301-620X.89B9.19339&amp;atitle=Anterior+cruciate+ligament+reconstruction+using+autologous+double+hamstrings%3A+A+comparison+of+standard+versus+minimal+debridement+techniques+using+MRI+to+assess+revascularisation+-+A+randomised+prospective+study+with+a+one-year+follow-up&amp;stitle=J.+Bone+Jt.+Surg.+Ser.+B&amp;title=Journal+of+Bone+and+Joint+Surgery+-+Series+B&amp;volume=89&amp;issue=9&amp;spage=1165&amp;epage=1171&amp;aulast=Gohil&amp;aufirst=S.&amp;auinit=S.&amp;aufull=Gohil+S.&amp;coden=JBSUA&amp;isbn=&amp;pages=1165-1171&amp;date=2007&amp;auinit1=S&amp;auinitm=</t>
  </si>
  <si>
    <t>Double-Bundle Anterior Cruciate Ligament Reconstruction: Four Versus Eight Strands of Hamstring Tendon Graft</t>
  </si>
  <si>
    <t>Zhao J., He Y., Wang J.</t>
  </si>
  <si>
    <t>(Zhao J., zhaojinzhong@vip.163.com; He Y.; Wang J.) Department of Arthroscopic Surgery, Shanghai Sixth People's Hospital, Shanghai Jiaotong University, Shanghai, China.</t>
  </si>
  <si>
    <t>J. Zhao, Department of Arthroscopic Surgery, Shanghai Sixth People's Hospital, Shanghai Jiaotong University, Shanghai, China. Email: zhaojinzhong@vip.163.com</t>
  </si>
  <si>
    <t>Arthroscopy - Journal of Arthroscopic and Related Surgery (2007) 23:7 (766-770). Date of Publication: July 2007</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</si>
  <si>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Â± 0.5 mm; the pivot-shift test was negative in 29 patients (89.9%) and positive in 4 (12.1%). In the 8SHG group the side-to-side difference was less than 3 mm in 32 patients (91.4%), 3 to 5 mm in 2 patients (5.7%), and 6 mm in 1 patient (2.9%) (P = .004), with a mean value of 1.3 Â±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Â± 4.2 and 96.3 Â± 2.8 (P = .0007), respectively, and the mean Lysholm scores were 89.6 Â± 3.7 and 96.5 Â±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Â± 0.4 mm versus 2.8 Â± 0.5 mm (P = .0003), IKDC subjective result of 96.3 Â± 2.8 versus 86.4 Â± 4.2 (P = .0007), and Lysholm score of 96.5 Â± 2.9 versus 89.6 Â± 3.7 (P = .0006). Level of Evidence: Level II, lesser-quality randomized controlled trial. Â© 2007 Arthroscopy Association of North America.</t>
  </si>
  <si>
    <t>L47048620</t>
  </si>
  <si>
    <t>http://dx.doi.org/10.1016/j.arthro.2007.01.022</t>
  </si>
  <si>
    <t>https://www.embase.com/search/results?subaction=viewrecord&amp;id=L47048620&amp;from=export</t>
  </si>
  <si>
    <t>https://catalyst.library.jhu.edu/openurl/01JHU_INST/01JHU_INST:JHU?sid=EMBASE&amp;sid=EMBASE&amp;issn=07498063&amp;id=doi:10.1016%2Fj.arthro.2007.01.022&amp;atitle=Double-Bundle+Anterior+Cruciate+Ligament+Reconstruction%3A+Four+Versus+Eight+Strands+of+Hamstring+Tendon+Graft&amp;stitle=Arthroscopy+J.+Arthroscopic++Relat.+Surg.&amp;title=Arthroscopy+-+Journal+of+Arthroscopic+and+Related+Surgery&amp;volume=23&amp;issue=7&amp;spage=766&amp;epage=770&amp;aulast=Zhao&amp;aufirst=Jinzhong&amp;auinit=J.&amp;aufull=Zhao+J.&amp;coden=ARTHE&amp;isbn=&amp;pages=766-770&amp;date=2007&amp;auinit1=J&amp;auinitm=</t>
  </si>
  <si>
    <t>A Prospective Randomized Study of 4-Strand Semitendinosus Tendon Anterior Cruciate Ligament Reconstruction Comparing Single-Bundle and Double-Bundle Techniques</t>
  </si>
  <si>
    <t>Muneta T., Koga H., Mochizuki T., Ju Y.-J., Hara K., Nimura A., Yagishita K., Sekiya I.</t>
  </si>
  <si>
    <t>(Muneta T., muneta.orj@tmd.ac.jp; Koga H.; Ju Y.-J.; Nimura A.) Orthopedic Surgery, Graduate School, Tokyo Medical and Dental University, Tokyo, Japan. , (Mochizuki T.; Sekiya I.) Cartilage Regeneration, Graduate School, Tokyo Medical and Dental University, Tokyo, Japan. , (Muneta T., muneta.orj@tmd.ac.jp; Mochizuki T.; Ju Y.-J.; Hara K.; Yagishita K.; Sekiya I.) Department of Orthopaedic Surgery, Tokyo Medical and Dental University Hospital, Tokyo, Japan.</t>
  </si>
  <si>
    <t>T. Muneta, Orthopedic Surgery, Graduate School, Tokyo Medical and Dental University, Tokyo, Japan. Email: muneta.orj@tmd.ac.jp</t>
  </si>
  <si>
    <t>Arthroscopy - Journal of Arthroscopic and Related Surgery (2007) 23:6 (618-628). Date of Publication: June 2007</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</si>
  <si>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 Â© 2007 Arthroscopy Association of North America.</t>
  </si>
  <si>
    <t>L46873910</t>
  </si>
  <si>
    <t>http://dx.doi.org/10.1016/j.arthro.2007.04.010</t>
  </si>
  <si>
    <t>https://www.embase.com/search/results?subaction=viewrecord&amp;id=L46873910&amp;from=export</t>
  </si>
  <si>
    <t>https://catalyst.library.jhu.edu/openurl/01JHU_INST/01JHU_INST:JHU?sid=EMBASE&amp;sid=EMBASE&amp;issn=07498063&amp;id=doi:10.1016%2Fj.arthro.2007.04.010&amp;atitle=A+Prospective+Randomized+Study+of+4-Strand+Semitendinosus+Tendon+Anterior+Cruciate+Ligament+Reconstruction+Comparing+Single-Bundle+and+Double-Bundle+Techniques&amp;stitle=Arthroscopy+J.+Arthroscopic++Relat.+Surg.&amp;title=Arthroscopy+-+Journal+of+Arthroscopic+and+Related+Surgery&amp;volume=23&amp;issue=6&amp;spage=618&amp;epage=628&amp;aulast=Muneta&amp;aufirst=Takeshi&amp;auinit=T.&amp;aufull=Muneta+T.&amp;coden=ARTHE&amp;isbn=&amp;pages=618-628&amp;date=2007&amp;auinit1=T&amp;auinitm=</t>
  </si>
  <si>
    <t>Double-bundle versus single-bundle anterior cruciate ligament reconstruction: A prospective, randomize clinical study</t>
  </si>
  <si>
    <t>(JÃ¤rvelÃ¤ T., timo.jarvela@sci.fi) Department of Orthopaedics and Traumatology, HatanpÃ¤Ã¤ Hospital, PO Box 437, 33101 Tampere, Finland. , (JÃ¤rvelÃ¤ T., timo.jarvela@sci.fi) Sports Clinic, Hospital MehilÃ¤inen, Tampere, Finland.</t>
  </si>
  <si>
    <t>T. JÃ¤rvelÃ¤, Department of Orthopaedics and Traumatology, HatanpÃ¤Ã¤ Hospital, PO Box 437, 33101 Tampere, Finland. Email: timo.jarvela@sci.fi</t>
  </si>
  <si>
    <t>Knee Surgery, Sports Traumatology, Arthroscopy (2007) 15:5 (500-507). Date of Publication: May 2007</t>
  </si>
  <si>
    <t>Anatomical observation and biomechanical studies have shown that the anterior cruciate ligament (ACL) mainly consists of two distinct bundles, the anteromedial (AM) bundle and posterolateral (PL) bundle. Conventional single-bundle ACL reconstruction techniques have focused on the restoration of the AM bundle while giving limited attention to the PL bundle. The purpose of this prospective, randomized clinical study is to compare the outcomes of ACL reconstruction when using either double-bundle or single-bundle technique and bioabsorbable interference screw fixation, and similar rehabilitation with both techniques. Sixty-five patients were randomized into either double-bundle (n = 35) or single-bundle (n = 30) ACL reconstruction with hamstring tendons and bioabsorbable screw (Hexalon, Inion Company, Tampere, Finland) fixation in both groups. The evaluation methods were clinical examination, KT-1000 arthrometer measurements, radiographic evaluation, as well as International Knee Documentation Committee and Lysholm knee scores. There were no differences between the study groups preoperatively. For an average of 14 months of follow-up (range 12-20 months), 30 patients of the double-bundle group and 29 patients of the single-bundle group were available (91%). At the follow-up, the rotational stability, as evaluated by pivot shift test, was significantly better in the double-bundle group than in the single-bundle group. However, in anterior stability of the knee, there was no significant difference between the groups. None of the patients in the double-bundle group had graft failure, while four patients in the single-bundle group had. In addition, knee scores were equal at the follow-up, and all the results were significantly better at the follow-up than preoperatively, in both groups. Â© Springer-Verlag 2007.</t>
  </si>
  <si>
    <t>L46677744</t>
  </si>
  <si>
    <t>http://dx.doi.org/10.1007/s00167-006-0254-z</t>
  </si>
  <si>
    <t>https://www.embase.com/search/results?subaction=viewrecord&amp;id=L46677744&amp;from=export</t>
  </si>
  <si>
    <t>https://catalyst.library.jhu.edu/openurl/01JHU_INST/01JHU_INST:JHU?sid=EMBASE&amp;sid=EMBASE&amp;issn=09422056&amp;id=doi:10.1007%2Fs00167-006-0254-z&amp;atitle=Double-bundle+versus+single-bundle+anterior+cruciate+ligament+reconstruction%3A+A+prospective%2C+randomize+clinical+study&amp;stitle=Knee+Surg.+Sports+Traumatol.+Arthroscopy&amp;title=Knee+Surgery%2C+Sports+Traumatology%2C+Arthroscopy&amp;volume=15&amp;issue=5&amp;spage=500&amp;epage=507&amp;aulast=J%C3%A4rvel%C3%A4&amp;aufirst=Timo&amp;auinit=T.&amp;aufull=J%C3%A4rvel%C3%A4+T.&amp;coden=&amp;isbn=&amp;pages=500-507&amp;date=2007&amp;auinit1=T&amp;auinitm=</t>
  </si>
  <si>
    <t>Biodegradable and metallic interference screws in anterior cruciate ligament reconstruction surgery using hamstring tendon grafts: Prospective randomized study of radiographic results and clinical outcome</t>
  </si>
  <si>
    <t>Laxdal G., Kartus J., Eriksson B.I., FaxÃ©n E., Sernert N., Karlsson J.</t>
  </si>
  <si>
    <t>(Laxdal G., gauti.laxdal@vgregion.se; Kartus J.; Eriksson B.I.; FaxÃ©n E.; Karlsson J.) Department of Orthopaedics, Sahlgrenska University Hospital, GÃ¶teborg, Sweden. , (Kartus J.) NU-SjukvÃ¥rden, TrollhÃ¤ttan, Sweden. , (Kartus J.; Sernert N.) Fyrbodal Research Institute, Uddevalla, Sweden. , (Laxdal G., gauti.laxdal@vgregion.se) Department of Orthopaedics, Sahlgrenska University Hospital/Ã–stra, SE-416 85 GÃ¶teborg, Sweden.</t>
  </si>
  <si>
    <t>G. Laxdal, Department of Orthopaedics, Sahlgrenska University Hospital/Ã–stra, SE-416 85 GÃ¶teborg, Sweden. Email: gauti.laxdal@vgregion.se</t>
  </si>
  <si>
    <t>American Journal of Sports Medicine (2006) 34:10 (1574-1580). Date of Publication: October 2006</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</si>
  <si>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 Â© 2006 American Orthopaedic Society for Sports Medicine.</t>
  </si>
  <si>
    <t>L44385849</t>
  </si>
  <si>
    <t>http://dx.doi.org/10.1177/0363546506288014</t>
  </si>
  <si>
    <t>https://www.embase.com/search/results?subaction=viewrecord&amp;id=L44385849&amp;from=export</t>
  </si>
  <si>
    <t>https://catalyst.library.jhu.edu/openurl/01JHU_INST/01JHU_INST:JHU?sid=EMBASE&amp;sid=EMBASE&amp;issn=03635465&amp;id=doi:10.1177%2F0363546506288014&amp;atitle=Biodegradable+and+metallic+interference+screws+in+anterior+cruciate+ligament+reconstruction+surgery+using+hamstring+tendon+grafts%3A+Prospective+randomized+study+of+radiographic+results+and+clinical+outcome&amp;stitle=Am.+J.+Sports+Med.&amp;title=American+Journal+of+Sports+Medicine&amp;volume=34&amp;issue=10&amp;spage=1574&amp;epage=1580&amp;aulast=Laxdal&amp;aufirst=Gauti&amp;auinit=G.&amp;aufull=Laxdal+G.&amp;coden=AJSMD&amp;isbn=&amp;pages=1574-1580&amp;date=2006&amp;auinit1=G&amp;auinitm=</t>
  </si>
  <si>
    <t>Prospective randomized clinical comparison of femoral transfixation versus bioscrew fixation in hamstring tendon ACL reconstruction - A preliminary report</t>
  </si>
  <si>
    <t>Rose T., Hepp P., Venus J., Stockmar C., Josten C., Lill H.</t>
  </si>
  <si>
    <t>(Rose T., tim.rose@lrz.tu-muenchen.de; Hepp P.; Venus J.; Stockmar C.; Josten C.; Lill H.) Department of Trauma and Reconstructive Surgery, University of Leipzig, Leipzig, Germany. , (Rose T., tim.rose@lrz.tu-muenchen.de) Abteilung und Poliklinik fÃ¼r SportorthopÃ¤die, Technische UniversitÃ¤t MÃ¼nchen, Connollystrasse 32, MÃ¼nchen 80809, Germany.</t>
  </si>
  <si>
    <t>T. Rose, Department of Trauma and Reconstructive Surgery, University of Leipzig, Leipzig, Germany. Email: tim.rose@lrz.tu-muenchen.de</t>
  </si>
  <si>
    <t>Knee Surgery, Sports Traumatology, Arthroscopy (2006) 14:8 (730-738). Date of Publication: August 2006</t>
  </si>
  <si>
    <t>The purpose of this study is to clinically evaluate hamstring tendon anterior cruciate ligament (ACL)-reconstruction using femoral fixation with bioresorbable interference screws and with a bioresorbable transfixation device. The ACL-reconstruction using the transfixation device at the femoral side leads to less knee laxity and therefore to a better clinical outcome for the patient. Prospective randomized clinical outcome study.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RolimeterÂ® device.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 Â© 2006 Springer-Verlag.</t>
  </si>
  <si>
    <t>L44598205</t>
  </si>
  <si>
    <t>http://dx.doi.org/10.1007/s00167-006-0034-9</t>
  </si>
  <si>
    <t>https://www.embase.com/search/results?subaction=viewrecord&amp;id=L44598205&amp;from=export</t>
  </si>
  <si>
    <t>https://catalyst.library.jhu.edu/openurl/01JHU_INST/01JHU_INST:JHU?sid=EMBASE&amp;sid=EMBASE&amp;issn=09422056&amp;id=doi:10.1007%2Fs00167-006-0034-9&amp;atitle=Prospective+randomized+clinical+comparison+of+femoral+transfixation+versus+bioscrew+fixation+in+hamstring+tendon+ACL+reconstruction+-+A+preliminary+report&amp;stitle=Knee+Surg.+Sports+Traumatol.+Arthroscopy&amp;title=Knee+Surgery%2C+Sports+Traumatology%2C+Arthroscopy&amp;volume=14&amp;issue=8&amp;spage=730&amp;epage=738&amp;aulast=Rose&amp;aufirst=Tim&amp;auinit=T.&amp;aufull=Rose+T.&amp;coden=&amp;isbn=&amp;pages=730-738&amp;date=2006&amp;auinit1=T&amp;auinitm=</t>
  </si>
  <si>
    <t>Clinical evaluation of anatomic double-bundle anterior cruciate ligament reconstruction procedure using hamstring tendon grafts: Comparisons among 3 different procedures</t>
  </si>
  <si>
    <t>Yasuda K., Kondo E., Ichiyama H., Tanabe Y., Tohyama H.</t>
  </si>
  <si>
    <t>(Yasuda K., yasukaz@med.hokudai.ac.jp; Kondo E.; Ichiyama H.; Tanabe Y.; Tohyama H.) Department of Sports Medicine and Joint Reconstruction Surgery, Hokkaido University, School of Medicine, Sapporo, Japan. , (Yasuda K., yasukaz@med.hokudai.ac.jp) Department of Sports Medicine and Joint Reconstruction Surgery, Hokkaido University, School of Medicine, Kita-15 Nishi-7, Kita-ku, Sapporo, 060-8638, Japan.</t>
  </si>
  <si>
    <t>K. Yasuda, Department of Sports Medicine and Joint Reconstruction Surgery, Hokkaido University, School of Medicine, Kita-15 Nishi-7, Kita-ku, Sapporo, 060-8638, Japan. Email: yasukaz@med.hokudai.ac.jp</t>
  </si>
  <si>
    <t>Arthroscopy - Journal of Arthroscopic and Related Surgery (2006) 22:3 (240-251). Date of Publication: March 2006</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</si>
  <si>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 Â© 2006 by the Arthroscopy Association of North America.</t>
  </si>
  <si>
    <t>L43330890</t>
  </si>
  <si>
    <t>http://dx.doi.org/10.1016/j.arthro.2005.12.017</t>
  </si>
  <si>
    <t>https://www.embase.com/search/results?subaction=viewrecord&amp;id=L43330890&amp;from=export</t>
  </si>
  <si>
    <t>https://catalyst.library.jhu.edu/openurl/01JHU_INST/01JHU_INST:JHU?sid=EMBASE&amp;sid=EMBASE&amp;issn=07498063&amp;id=doi:10.1016%2Fj.arthro.2005.12.017&amp;atitle=Clinical+evaluation+of+anatomic+double-bundle+anterior+cruciate+ligament+reconstruction+procedure+using+hamstring+tendon+grafts%3A+Comparisons+among+3+different+procedures&amp;stitle=Arthroscopy+J.+Arthroscopic++Relat.+Surg.&amp;title=Arthroscopy+-+Journal+of+Arthroscopic+and+Related+Surgery&amp;volume=22&amp;issue=3&amp;spage=240&amp;epage=251&amp;aulast=Yasuda&amp;aufirst=Kazunori&amp;auinit=K.&amp;aufull=Yasuda+K.&amp;coden=ARTHE&amp;isbn=&amp;pages=240-251&amp;date=2006&amp;auinit1=K&amp;auinitm=</t>
  </si>
  <si>
    <t>Tunnel widening after hamstring anterior cruciate ligament reconstruction is influenced by the type of graft fixation used: A prospective randomized study</t>
  </si>
  <si>
    <t>Fauno P., Kaalund S.</t>
  </si>
  <si>
    <t>(Fauno P.; Kaalund S.) Department of Orthopaedic Surgery, Randers Central Hospital, Randers, Denmark. , (Fauno P.) Department of Orthopaedic Surgery, Randers Central Hospital, Skovlyvej 1, Randers 8900, Denmark.</t>
  </si>
  <si>
    <t>P. Fauno, Department of Orthopaedic Surgery, Randers Central Hospital, Skovlyvej 1, Randers 8900, Denmark.</t>
  </si>
  <si>
    <t>Arthroscopy - Journal of Arthroscopic and Related Surgery (2005) 21:11 (1337-1341). Date of Publication: November 2005</t>
  </si>
  <si>
    <t>Purpose: To compare the incidence of tunnel widening (TW) in patients undergoing anterior cruciate ligament (ACL) reconstruction with hamstring graft using either (group A) transfemoral fixation implant (Transfix; Arthrex, Naples, FL) and an interference screw (Arthrex) in the tibial tunnel or (group B) extracortical fixation (EndoButton; Smith &amp; Nephew Endoscopy, Andover, MA) in the femur and bicortical screw and washer distal to the tibial tunnel. Type of Study: Prospective randomized study. Methods: One hundred patients were included and randomized and 87 patients were assessed at a 1-year follow-up. The evaluation included standardized radiographs, KT-1000 data, International Knee Documentation Committee (IKDC) ratings, and Lysholm score. The diameter of the tunnel at the 1 year follow-up was, after correction for magnification, compared with the tunnel diameter of the radiograph from 2 weeks postoperatively. A more than 2-mm enlargement was considered TW. Results: In group A in which transfixation in the femur and interference screw in the tibia was used, 7 of 41 patients had developed femoral TW and 5 of 41 tibial TW. In group B, 20 of 46 patients had TW in the femur and 16 of 46 in the tibia (P &lt; .05, Ï‡-square test). No significant difference was found with respect to Lysholm score, IKDC, or arthrometric evaluation. Conclusions: There was a significant reduction of TW in both the femur and the tibia using fixation points close to the joint, compared with the system where the distance between the fixation points is long. We conclude that the position of the fixation sites and type of fixation device are major factors in the development of TW after ACL surgery. Level of Evidence: Level I, therapeutic study in a prospective randomized clinical trial. Â© 2005 by the Arthroscopy Association of North America.</t>
  </si>
  <si>
    <t>L41735199</t>
  </si>
  <si>
    <t>http://dx.doi.org/10.1016/j.arthro.2005.08.023</t>
  </si>
  <si>
    <t>https://www.embase.com/search/results?subaction=viewrecord&amp;id=L41735199&amp;from=export</t>
  </si>
  <si>
    <t>https://catalyst.library.jhu.edu/openurl/01JHU_INST/01JHU_INST:JHU?sid=EMBASE&amp;sid=EMBASE&amp;issn=07498063&amp;id=doi:10.1016%2Fj.arthro.2005.08.023&amp;atitle=Tunnel+widening+after+hamstring+anterior+cruciate+ligament+reconstruction+is+influenced+by+the+type+of+graft+fixation+used%3A+A+prospective+randomized+study&amp;stitle=Arthroscopy+J.+Arthroscopic++Relat.+Surg.&amp;title=Arthroscopy+-+Journal+of+Arthroscopic+and+Related+Surgery&amp;volume=21&amp;issue=11&amp;spage=1337&amp;epage=1341&amp;aulast=Fauno&amp;aufirst=Peter&amp;auinit=P.&amp;aufull=Fauno+P.&amp;coden=ARTHE&amp;isbn=&amp;pages=1337-1341&amp;date=2005&amp;auinit1=P&amp;auinitm=</t>
  </si>
  <si>
    <t>Subsequent treatment of surgically managed, fresh, anterior cruciate ligament ruptures - A randomized, prospective study</t>
  </si>
  <si>
    <t>Die nachbehandlung operativ versorgter frischer vorderer kreuzbandrupturen - Eine randomisierte prospektive studie</t>
  </si>
  <si>
    <t>PfÃ¶rringer W., Kremer C.</t>
  </si>
  <si>
    <t>(PfÃ¶rringer W., w.pfoerringer@plus.cablesurf.de) Theatinerstr. 1, 80333 MÃ¼nchen, Germany. , (Kremer C.)</t>
  </si>
  <si>
    <t>W. PfÃ¶rringer, Theatinerstr. 1, 80333 MÃ¼nchen, Germany. Email: w.pfoerringer@plus.cablesurf.de</t>
  </si>
  <si>
    <t>Sportverletzung-Sportschaden (2005) 19:3 (134-139). Date of Publication: September 2005</t>
  </si>
  <si>
    <t>Sportverletzung-Sportschaden</t>
  </si>
  <si>
    <t>0932-0555</t>
  </si>
  <si>
    <t>Georg Thieme Verlag</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</si>
  <si>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20Â°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"OrthopÃ¤dische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20Â°, reduces the term of rehabilitation and optimizes the operative results after acl-reconstruction. Â© Georg Thieme Verlag KG Stuttgart.</t>
  </si>
  <si>
    <t>L41411651</t>
  </si>
  <si>
    <t>http://dx.doi.org/10.1055/s-2005-858472</t>
  </si>
  <si>
    <t>https://www.embase.com/search/results?subaction=viewrecord&amp;id=L41411651&amp;from=export</t>
  </si>
  <si>
    <t>https://catalyst.library.jhu.edu/openurl/01JHU_INST/01JHU_INST:JHU?sid=EMBASE&amp;sid=EMBASE&amp;issn=09320555&amp;id=doi:10.1055%2Fs-2005-858472&amp;atitle=Subsequent+treatment+of+surgically+managed%2C+fresh%2C+anterior+cruciate+ligament+ruptures+-+A+randomized%2C+prospective+study&amp;stitle=Sportverletzung-Sportschaden&amp;title=Sportverletzung-Sportschaden&amp;volume=19&amp;issue=3&amp;spage=134&amp;epage=139&amp;aulast=Pf%C3%B6rringer&amp;aufirst=W.&amp;auinit=W.&amp;aufull=Pf%C3%B6rringer+W.&amp;coden=&amp;isbn=&amp;pages=134-139&amp;date=2005&amp;auinit1=W&amp;auinitm=</t>
  </si>
  <si>
    <t>Hamstring anterior cruciate ligament reconstruction: Is it necessary to sacrifice the gracilis?</t>
  </si>
  <si>
    <t>Gobbi A., Domzalski M., Pascual J., Zanazzo M.</t>
  </si>
  <si>
    <t>(Gobbi A., Info@oasiortopedia.it; Domzalski M.; Pascual J.; Zanazzo M.) Orthoped. Arthroscopic Surg. Intl., Milan, Italy. , (Gobbi A., Info@oasiortopedia.it) Orthoped. Arthroscopic Surg. Intl., Via Amadeo 24, 20133 Milano, Italy.</t>
  </si>
  <si>
    <t>A. Gobbi, Orthoped. Arthroscopic Surg. Intl., Via Amadeo 24, 20133 Milano, Italy. Email: Info@oasiortopedia.it</t>
  </si>
  <si>
    <t>Arthroscopy - Journal of Arthroscopic and Related Surgery (2005) 21:3 (275-280). Date of Publication: March 2005</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</si>
  <si>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 Â© 2005 by the Arthroscopy Association of North America.</t>
  </si>
  <si>
    <t>L40341401</t>
  </si>
  <si>
    <t>http://dx.doi.org/10.1016/j.arthro.2004.10.016</t>
  </si>
  <si>
    <t>https://www.embase.com/search/results?subaction=viewrecord&amp;id=L40341401&amp;from=export</t>
  </si>
  <si>
    <t>https://catalyst.library.jhu.edu/openurl/01JHU_INST/01JHU_INST:JHU?sid=EMBASE&amp;sid=EMBASE&amp;issn=07498063&amp;id=doi:10.1016%2Fj.arthro.2004.10.016&amp;atitle=Hamstring+anterior+cruciate+ligament+reconstruction%3A+Is+it+necessary+to+sacrifice+the+gracilis%3F&amp;stitle=Arthroscopy+J.+Arthroscopic++Relat.+Surg.&amp;title=Arthroscopy+-+Journal+of+Arthroscopic+and+Related+Surgery&amp;volume=21&amp;issue=3&amp;spage=275&amp;epage=280&amp;aulast=Gobbi&amp;aufirst=Alberto&amp;auinit=A.&amp;aufull=Gobbi+A.&amp;coden=ARTHE&amp;isbn=&amp;pages=275-280&amp;date=2005&amp;auinit1=A&amp;auinitm=</t>
  </si>
  <si>
    <t>Resorbable screws versus pins for optimal transplant fixation (SPOT) in anterior cruciate ligament replacement with autologous hamstring grafts: Rationale and design of a randomized, controlled, patient and investigator blinded trial [ISRCTN17384369]</t>
  </si>
  <si>
    <t>Stengel D., Matthes G., Seifert J., Tober V., Mutze S., Rademacher G., Ekkernkamp A., Bauwens K., Wich M., Casper D.</t>
  </si>
  <si>
    <t>(Stengel D., stengeldirk@aol.com; Matthes G., gerrit.matthes@ukb.de; Seifert J., julia.seifert@ukb.de; Tober V., volker.tober@ukb.de; Ekkernkamp A., axel.ekkernkamp@ukb.de; Bauwens K., kai.bauwens@ukb.de; Wich M., michael.wich@ukb.de; Casper D., dirk.casper@ukb.de) Dept. of Orthoped. and Trauma Surg., Unfallkrankenh. Berlin Trauma Center, Warener Str 7, 12683 Berlin, Germany. , (Stengel D., stengeldirk@aol.com; Matthes G., gerrit.matthes@ukb.de; Ekkernkamp A., axel.ekkernkamp@ukb.de; Bauwens K., kai.bauwens@ukb.de) Dept. of Orthoped. and Trauma Surg., University Hospital of Greifswald, Sauerbruchstr, 17487 Greifswald, Germany. , (Stengel D., stengeldirk@aol.com) Department of Clinical Epidemiology, Unfallkrankenh. Berlin Trauma Center, Warener Str 7, 12683 Berlin, Germany. , (Mutze S., sven.mutze@ukb.de; Rademacher G., grit.rademacher@ukb.de) Institute of Radiology, Unfallkrankenh. Berlin Trauma Center, Warener Str 7, 12683 Berlin, Germany.</t>
  </si>
  <si>
    <t>D. Stengel, Dept. of Orthoped. and Trauma Surg., Unfallkrankenh. Berlin Trauma Center, Warener Str 7, 12683 Berlin, Germany. Email: stengeldirk@aol.com</t>
  </si>
  <si>
    <t>BMC Surgery (2005) 5 Article Number: 1. Date of Publication: 21 Feb 2005</t>
  </si>
  <si>
    <t>BMC Surgery</t>
  </si>
  <si>
    <t>1471-2482,1471-2482 (electronic)</t>
  </si>
  <si>
    <t>BioMed Central Ltd., 34 - 42 Cleveland Street, London, United Kingdom.</t>
  </si>
  <si>
    <t>Background: Ruptures of the anterior cruciate ligament (ACL) are common injuries to the knee joint. Arthroscopic ACL replacement by autologous tendon grafts has established itself as a standard of care. Data from both experimental and observational studies suggest that surgical reconstruction does not fully restore knee stability. Persisting anterior laxity may lead to recurrent episodes of giving-way and cartilage damage. This might at least in part depend on the method of graft fixation in the bony tunnels. Whereas resorbable screws are easy to handle, pins may better preserve graft tension. The objective of this study is to determine whether pinning of ACL grafts reduces residual anterior laxity six months after surgery as compared to screw fixation. Design/ Methods: SPOT is a randomised, controlled, patient and investigator blinded trial conducted at a single academic institution. Eligible patients are scheduled to arthroscopic ACL repair with triple-stranded hamstring grafts, conducted by a single, experienced surgeon. Intraoperatively, subjects willing to engage in this study will be randomised to transplant tethering with either resorbable screws or resorbable pins. No other changes apply to locally established treatment protocols. Patients and clinical investigators will remain blinded to the assigned fixation method until the six-month follow-up examination. The primary outcome is the side-to-side (repaired to healthy knee) difference in anterior translation as measured by the KT-1000 arthrometer at a defined load (89 N) six months after surgery. A sample size of 54 patients will yield a power of 80% to detect a difference of 1.0 mm Â± standard deviation 1.2 mm at a two-sided alpha of 5% with a t-test for independent samples. Secondary outcomes (generic and disease-specific measures of quality of life, magnetic resonance imaging morphology of transplants and devices) will be handled in an exploratory fashion. Conclusion: SPOT aims at showing a reduction in anterior knee laxity after fixing ACL grafts by pins compared to screws. Â© 2005 Stengel et al; licensee BioMed Central Ltd.</t>
  </si>
  <si>
    <t>L40390009</t>
  </si>
  <si>
    <t>http://dx.doi.org/10.1186/1471-2482-5-1</t>
  </si>
  <si>
    <t>https://www.embase.com/search/results?subaction=viewrecord&amp;id=L40390009&amp;from=export</t>
  </si>
  <si>
    <t>https://catalyst.library.jhu.edu/openurl/01JHU_INST/01JHU_INST:JHU?sid=EMBASE&amp;sid=EMBASE&amp;issn=14712482&amp;id=doi:10.1186%2F1471-2482-5-1&amp;atitle=Resorbable+screws+versus+pins+for+optimal+transplant+fixation+%28SPOT%29+in+anterior+cruciate+ligament+replacement+with+autologous+hamstring+grafts%3A+Rationale+and+design+of+a+randomized%2C+controlled%2C+patient+and+investigator+blinded+trial+%5BISRCTN17384369%5D&amp;stitle=BMC+Surg.&amp;title=BMC+Surgery&amp;volume=5&amp;issue=&amp;spage=&amp;epage=&amp;aulast=Stengel&amp;aufirst=Dirk&amp;auinit=D.&amp;aufull=Stengel+D.&amp;coden=&amp;isbn=&amp;pages=-&amp;date=2005&amp;auinit1=D&amp;auinitm=</t>
  </si>
  <si>
    <t>Cross-pin femoral fixation versus metal interference screw fixation in anterior cruciate ligament reconstruction with hamstring tendons: Results of a controlled prospective randomized study with 2-year follow-up</t>
  </si>
  <si>
    <t>Harilainen A., Sandelin J., Jansson K.A.</t>
  </si>
  <si>
    <t>(Harilainen A., arsi.harilainen@invalidisaatio.fi; Sandelin J.; Jansson K.A.) ORTON Orthopaedic Hospital, Invalid Foundation, Helsinki, Finland, . , (Harilainen A., arsi.harilainen@invalidisaatio.fi) ORTON Orthopaedic Hospital, Invalid Foundation, Tenholantie 10, 00280 Helsinki, F., .</t>
  </si>
  <si>
    <t>ORTON Orthopaedic Hospital, Invalid Foundation, Helsinki, Finland, . Email: arsi.harilainen@invalidisaatio.fi</t>
  </si>
  <si>
    <t>Arthroscopy - Journal of Arthroscopic and Related Surgery (2005) 21:1 (25-33). Date of Publication: January 2005</t>
  </si>
  <si>
    <t>Purpose: To determine if there is a different clinical outcome after cross-pin versus interference screw fixation in anterior cruciate ligament (ACL) reconstruction with hamstring tendons. Type of Study: Prospective randomized clinical follow-up study. Methods: Sixty-two patients were randomized into either TransFix cross-pin (Arthrex, Naples, FL) (TransFix group, n = 31) or metal interference screw femoral fixation (screw group, n = 31) in ACL reconstruction with hamstring tendons. The distal fixations were an AO screw with spiked washer post and metal interference screw. The evaluation methods were clinical examination, CA 4000 laxity (OSI, Hayward, CA), and Lido isokinetic muscle torque measurements (Lido MultiJoint II; Loredon, West Sacramento, CA) as well as International Knee Documentation Committee (IKDC), Tegner activity level, Lysholm knee, and Kujala patellofemoral scores. Results: There were no differences between the study groups preoperatively. For the 2-year follow-up, 26 patients of the TransFix group and 30 patients of the screw group were available (90%). The evaluation methods disclosed no statistical differences between the groups at the 1- or 2-year follow-up examinations. At the 2-year follow-up, 22 (85%) of the TransFix and 22 (73%) of the screw group patients were in the IKDC A or B categories. There were significantly more additional procedures postoperatively in the TransFix group owing to the removal of the tibial fixation post hardware in 15 (48%) cases. Conclusions: There were no statistically or clinically relevant differences in the results 1 or 2 years postoperatively and both techniques seemed to improve patients' performance. Level of Evidence: Level I.</t>
  </si>
  <si>
    <t>L40092294</t>
  </si>
  <si>
    <t>http://dx.doi.org/10.1016/j.arthro.2004.09.013</t>
  </si>
  <si>
    <t>https://www.embase.com/search/results?subaction=viewrecord&amp;id=L40092294&amp;from=export</t>
  </si>
  <si>
    <t>https://catalyst.library.jhu.edu/openurl/01JHU_INST/01JHU_INST:JHU?sid=EMBASE&amp;sid=EMBASE&amp;issn=07498063&amp;id=doi:10.1016%2Fj.arthro.2004.09.013&amp;atitle=Cross-pin+femoral+fixation+versus+metal+interference+screw+fixation+in+anterior+cruciate+ligament+reconstruction+with+hamstring+tendons%3A+Results+of+a+controlled+prospective+randomized+study+with+2-year+follow-up&amp;stitle=Arthroscopy+J.+Arthroscopic++Relat.+Surg.&amp;title=Arthroscopy+-+Journal+of+Arthroscopic+and+Related+Surgery&amp;volume=21&amp;issue=1&amp;spage=25&amp;epage=33&amp;aulast=Harilainen&amp;aufirst=Arsi&amp;auinit=A.&amp;aufull=Harilainen+A.&amp;coden=ARTHE&amp;isbn=&amp;pages=25-33&amp;date=2005&amp;auinit1=A&amp;auinitm=</t>
  </si>
  <si>
    <t>Augmentation of Femoral Fixation in Hamstring Anterior Cruciate Ligament Reconstruction with a Bioabsorbable Bead: A Prospective Single-Blind Randomized Clinical Trial</t>
  </si>
  <si>
    <t>Arneja S., Froese W., MacDonald P.</t>
  </si>
  <si>
    <t>(Arneja S.; Froese W.; MacDonald P.) Section of Orthopaedic Surgery, University of Manitoba, Winnipeg, Man., Canada. , (Arneja S.) 708 South Drive, Winnipeg, Man. R3T 0C3, Canada.</t>
  </si>
  <si>
    <t>S. Arneja, 708 South Drive, Winnipeg, Man. R3T 0C3, Canada.</t>
  </si>
  <si>
    <t>American Journal of Sports Medicine (2004) 32:1 (159-163). Date of Publication: January/February 2004</t>
  </si>
  <si>
    <t>January/February 2004</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</si>
  <si>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</si>
  <si>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L38141437</t>
  </si>
  <si>
    <t>http://dx.doi.org/10.1177/0095399703258675</t>
  </si>
  <si>
    <t>https://www.embase.com/search/results?subaction=viewrecord&amp;id=L38141437&amp;from=export</t>
  </si>
  <si>
    <t>https://catalyst.library.jhu.edu/openurl/01JHU_INST/01JHU_INST:JHU?sid=EMBASE&amp;sid=EMBASE&amp;issn=03635465&amp;id=doi:10.1177%2F0095399703258675&amp;atitle=Augmentation+of+Femoral+Fixation+in+Hamstring+Anterior+Cruciate+Ligament+Reconstruction+with+a+Bioabsorbable+Bead%3A+A+Prospective+Single-Blind+Randomized+Clinical+Trial&amp;stitle=Am.+J.+Sports+Med.&amp;title=American+Journal+of+Sports+Medicine&amp;volume=32&amp;issue=1&amp;spage=159&amp;epage=163&amp;aulast=Arneja&amp;aufirst=Shalinder&amp;auinit=S.&amp;aufull=Arneja+S.&amp;coden=AJSMD&amp;isbn=&amp;pages=159-163&amp;date=2004&amp;auinit1=S&amp;auinitm=</t>
  </si>
  <si>
    <t>Reconstruction of the anterior cruciate ligament</t>
  </si>
  <si>
    <t>Adachi N., Ochi M., Uchio Y., Iwasa J., Kuriwaka M., Ito Y.</t>
  </si>
  <si>
    <t>(Adachi N.; Ochi M.; Kuriwaka M.; Ito Y.) Department of Orthopaedic Surgery, Grad. School of Biomedical Sciences, Hiroshima University, Hiroshima 734-8551, Japan. , (Uchio Y.; Iwasa J.) Department of Orthopaedics, Shimane Medical University, Izumo 693-8501, Japan.</t>
  </si>
  <si>
    <t>N. Adachi, Department of Orthopaedic Surgery, Grad. School of Biomedical Sciences, Hiroshima University, Hiroshima 734-8551, Japan.</t>
  </si>
  <si>
    <t>Journal of Bone and Joint Surgery - Series B (2004) 86:4 (515-520). Date of Publication: May 2004</t>
  </si>
  <si>
    <t>British Editorial Society of Bone and Joint Surgery</t>
  </si>
  <si>
    <t>A total of 108 patients with unilateral instability of the knee, associated with rupture of the anterior cruciate ligament, was prospectively randomised for arthroscopic single- or double-bundle reconstruction of the ligament using hamstring tendons. The same post-operative rehabilitation protocol was used for all. The patients were followed up for a mean of 32 months (24 to 36). We measured the anterior laxity and joint position sense at different angles of flexion of the knee to determine whether both bundles in the double-bundle reconstruction contributed to the stability of the joint and proprioception. No significant difference was found between the two groups with regard to anterior laxity measured by the KT-2000 arthrometer with the knee at 20Â° or 70Â° flexion nor with regard to proprioception. A notchplasty was required less often in the double- compared with the single-bundle reconstruction. We did not find any advantage in a double-bundle as opposed to a single-bundle reconstruction in terms of stability or proprioceptions. Â©2004 British Editorial Society of Bone and Joint Surgery.</t>
  </si>
  <si>
    <t>L38660053</t>
  </si>
  <si>
    <t>10.1302/0301-620x.86b4.14856</t>
  </si>
  <si>
    <t>http://dx.doi.org/10.1302/0301-620x.86b4.14856</t>
  </si>
  <si>
    <t>https://www.embase.com/search/results?subaction=viewrecord&amp;id=L38660053&amp;from=export</t>
  </si>
  <si>
    <t>https://catalyst.library.jhu.edu/openurl/01JHU_INST/01JHU_INST:JHU?sid=EMBASE&amp;sid=EMBASE&amp;issn=0301620X&amp;id=doi:10.1302%2F0301-620x.86b4.14856&amp;atitle=Reconstruction+of+the+anterior+cruciate+ligament&amp;stitle=J.+Bone+Jt.+Surg.+Ser.+B&amp;title=Journal+of+Bone+and+Joint+Surgery+-+Series+B&amp;volume=86&amp;issue=4&amp;spage=515&amp;epage=520&amp;aulast=Adachi&amp;aufirst=N.&amp;auinit=N.&amp;aufull=Adachi+N.&amp;coden=JBSUA&amp;isbn=&amp;pages=515-520&amp;date=2004&amp;auinit1=N&amp;auinitm=</t>
  </si>
  <si>
    <t>The role of periosteal flap in the prevention of femoral widening in anterior cruciate ligament reconstruction using hamstring tendons.</t>
  </si>
  <si>
    <t>Robert H., Es-Sayeh J.</t>
  </si>
  <si>
    <t>(Robert H.; Es-Sayeh J.) Centre Hospitalier du Nord Mayenne, 5 rue Roullois, 53100 Mayenne, France.</t>
  </si>
  <si>
    <t>H. Robert, Centre Hospitalier du Nord Mayenne, 5 rue Roullois, 53100 Mayenne, France. Email: henri.robert@wanadoo.fr</t>
  </si>
  <si>
    <t>Knee surgery, sports traumatology, arthroscopy : official journal of the ESSKA (2004) 12:1 (30-35). Date of Publication: Jan 2004</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</si>
  <si>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t>
  </si>
  <si>
    <t>L39074351</t>
  </si>
  <si>
    <t>https://www.embase.com/search/results?subaction=viewrecord&amp;id=L39074351&amp;from=export</t>
  </si>
  <si>
    <t>https://catalyst.library.jhu.edu/openurl/01JHU_INST/01JHU_INST:JHU?sid=EMBASE&amp;sid=EMBASE&amp;issn=09422056&amp;id=doi:&amp;atitle=The+role+of+periosteal+flap+in+the+prevention+of+femoral+widening+in+anterior+cruciate+ligament+reconstruction+using+hamstring+tendons.&amp;stitle=Knee+Surg+Sports+Traumatol+Arthrosc&amp;title=Knee+surgery%2C+sports+traumatology%2C+arthroscopy+%3A+official+journal+of+the+ESSKA&amp;volume=12&amp;issue=1&amp;spage=30&amp;epage=35&amp;aulast=Robert&amp;aufirst=Henri&amp;auinit=H.&amp;aufull=Robert+H.&amp;coden=&amp;isbn=&amp;pages=30-35&amp;date=2004&amp;auinit1=H&amp;auinitm=</t>
  </si>
  <si>
    <t>Outcome after reconstruction of the anterior cruciate ligament in athletic patients</t>
  </si>
  <si>
    <t>Meighan A.A.S., Keating J.F., Will E.</t>
  </si>
  <si>
    <t>(Meighan A.A.S.; Keating J.F.; Will E.) Department of Orthopaedic Trauma, Royal Infirmary of Edinburgh, Lauriston Place, Edinburgh EH3 9YW, United Kingdom.</t>
  </si>
  <si>
    <t>J.F. Keating, Department of Orthopaedic Trauma, Royal Infirmary of Edinburgh, Lauriston Place, Edinburgh EH3 9YW, United Kingdom.</t>
  </si>
  <si>
    <t>Journal of Bone and Joint Surgery - Series B (2003) 85:4 (521-524). Date of Publication: May 2003</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</si>
  <si>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</si>
  <si>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L36621968</t>
  </si>
  <si>
    <t>10.1302/0301-620X.85B4.13743</t>
  </si>
  <si>
    <t>http://dx.doi.org/10.1302/0301-620X.85B4.13743</t>
  </si>
  <si>
    <t>https://www.embase.com/search/results?subaction=viewrecord&amp;id=L36621968&amp;from=export</t>
  </si>
  <si>
    <t>https://catalyst.library.jhu.edu/openurl/01JHU_INST/01JHU_INST:JHU?sid=EMBASE&amp;sid=EMBASE&amp;issn=0301620X&amp;id=doi:10.1302%2F0301-620X.85B4.13743&amp;atitle=Outcome+after+reconstruction+of+the+anterior+cruciate+ligament+in+athletic+patients&amp;stitle=J.+Bone+Jt.+Surg.+Ser.+B&amp;title=Journal+of+Bone+and+Joint+Surgery+-+Series+B&amp;volume=85&amp;issue=4&amp;spage=521&amp;epage=524&amp;aulast=Meighan&amp;aufirst=A.A.S.&amp;auinit=A.A.S.&amp;aufull=Meighan+A.A.S.&amp;coden=JBSUA&amp;isbn=&amp;pages=521-524&amp;date=2003&amp;auinit1=A&amp;auinitm=A.S.</t>
  </si>
  <si>
    <t>Hamstrings vs. patella tendon for anterior cruciate ligament reconstruction: A randomised controlled trial</t>
  </si>
  <si>
    <t>Beard D.J., Anderson J.L., Davies S., Price A.J., Dodd C.A.F.</t>
  </si>
  <si>
    <t>(Beard D.J.; Anderson J.L.; Davies S.; Price A.J.; Dodd C.A.F.) Department of Orthopaedic Surgery, University of Oxford, Nuffield Orthopaedic Centre, Headington, Oxford OX3 7LD, United Kingdom.</t>
  </si>
  <si>
    <t>D.J. Beard, Department of Orthopaedic Surgery, University of Oxford, Nuffield Orthopaedic Centre, Headington, Oxford OX3 7LD, United Kingdom. Email: david.beard@ndos.ox.ac.uk</t>
  </si>
  <si>
    <t>Knee (2001) 8:1 (45-50). Date of Publication: 2001</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</si>
  <si>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Copyright Â© 2001 Elsevier Science B.V.</t>
  </si>
  <si>
    <t>L32184579</t>
  </si>
  <si>
    <t>10.1016/S0968-0160(01)00062-X</t>
  </si>
  <si>
    <t>http://dx.doi.org/10.1016/S0968-0160(01)00062-X</t>
  </si>
  <si>
    <t>https://www.embase.com/search/results?subaction=viewrecord&amp;id=L32184579&amp;from=export</t>
  </si>
  <si>
    <t>https://catalyst.library.jhu.edu/openurl/01JHU_INST/01JHU_INST:JHU?sid=EMBASE&amp;sid=EMBASE&amp;issn=09680160&amp;id=doi:10.1016%2FS0968-0160%2801%2900062-X&amp;atitle=Hamstrings+vs.+patella+tendon+for+anterior+cruciate+ligament+reconstruction%3A+A+randomised+controlled+trial&amp;stitle=Knee&amp;title=Knee&amp;volume=8&amp;issue=1&amp;spage=45&amp;epage=50&amp;aulast=Beard&amp;aufirst=D.J.&amp;auinit=D.J.&amp;aufull=Beard+D.J.&amp;coden=KNEEF&amp;isbn=&amp;pages=45-50&amp;date=2001&amp;auinit1=D&amp;auinitm=J</t>
  </si>
  <si>
    <t>Closed kinetic chain alone compared to combined open and closed kinetic chain exercises for quadriceps strengthening after anterior cruciate ligament reconstruction with respect to return to sports: a prospective matched follow-up study.</t>
  </si>
  <si>
    <t>Mikkelsen C., Werner S., Eriksson E.</t>
  </si>
  <si>
    <t>(Mikkelsen C.; Werner S.; Eriksson E.) Section for Sports Medicine, Department of Orthopedic Surgery, Karolinska Hospital, 17176 Stockholm, Sweden.</t>
  </si>
  <si>
    <t>C. Mikkelsen, Section for Sports Medicine, Department of Orthopedic Surgery, Karolinska Hospital, 17176 Stockholm, Sweden.</t>
  </si>
  <si>
    <t>Knee surgery, sports traumatology, arthroscopy : official journal of the ESSKA (2000) 8:6 (337-342). Date of Publication: 2000</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</si>
  <si>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 = 12) than in group 1 (n = 5) returned to sports at the same level as before the injury (P &lt; 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</si>
  <si>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L33421621</t>
  </si>
  <si>
    <t>https://www.embase.com/search/results?subaction=viewrecord&amp;id=L33421621&amp;from=export</t>
  </si>
  <si>
    <t>https://catalyst.library.jhu.edu/openurl/01JHU_INST/01JHU_INST:JHU?sid=EMBASE&amp;sid=EMBASE&amp;issn=09422056&amp;id=doi:&amp;atitle=Closed+kinetic+chain+alone+compared+to+combined+open+and+closed+kinetic+chain+exercises+for+quadriceps+strengthening+after+anterior+cruciate+ligament+reconstruction+with+respect+to+return+to+sports%3A+a+prospective+matched+follow-up+study.&amp;stitle=Knee+Surg+Sports+Traumatol+Arthrosc&amp;title=Knee+surgery%2C+sports+traumatology%2C+arthroscopy+%3A+official+journal+of+the+ESSKA&amp;volume=8&amp;issue=6&amp;spage=337&amp;epage=342&amp;aulast=Mikkelsen&amp;aufirst=C.&amp;auinit=C.&amp;aufull=Mikkelsen+C.&amp;coden=&amp;isbn=&amp;pages=337-342&amp;date=2000&amp;auinit1=C&amp;auinitm=</t>
  </si>
  <si>
    <t>The effect of tourniquet use in anterior cruciate ligament reconstruction: A prospective, randomized study</t>
  </si>
  <si>
    <t>Arciero R.A., Scoville C.R., Hayda R.A., Snyder R.J.</t>
  </si>
  <si>
    <t>(Arciero R.A.; Scoville C.R.; Hayda R.A.; Snyder R.J.) Orthopaedic Service, Keller Army Community Hospital, West Point, NY, United States. , (Arciero R.A.) Orthopaedic Service, Keller Army Community Hospital, West Point, NY 10996-1197, United States.</t>
  </si>
  <si>
    <t>R.A. Arciero, Orthopaedic Service, Keller Army Community Hospital, West Point, NY 10996-1197, United States.</t>
  </si>
  <si>
    <t>American Journal of Sports Medicine (1996) 24:6 (758-764). Date of Publication: November/December 1996</t>
  </si>
  <si>
    <t>November/December 1996</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</si>
  <si>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 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</si>
  <si>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L26394161</t>
  </si>
  <si>
    <t>http://dx.doi.org/10.1177/036354659602400610</t>
  </si>
  <si>
    <t>https://www.embase.com/search/results?subaction=viewrecord&amp;id=L26394161&amp;from=export</t>
  </si>
  <si>
    <t>https://catalyst.library.jhu.edu/openurl/01JHU_INST/01JHU_INST:JHU?sid=EMBASE&amp;sid=EMBASE&amp;issn=03635465&amp;id=doi:10.1177%2F036354659602400610&amp;atitle=The+effect+of+tourniquet+use+in+anterior+cruciate+ligament+reconstruction%3A+A+prospective%2C+randomized+study&amp;stitle=AM.+J.+SPORTS+MED.&amp;title=American+Journal+of+Sports+Medicine&amp;volume=24&amp;issue=6&amp;spage=758&amp;epage=764&amp;aulast=Arciero&amp;aufirst=Robert+A.&amp;auinit=R.A.&amp;aufull=Arciero+R.A.&amp;coden=AJSMD&amp;isbn=&amp;pages=758-764&amp;date=1996&amp;auinit1=R&amp;auinitm=A</t>
  </si>
  <si>
    <t>Isolated intraarticular plasty of the semitendinosus or combined intra- and extra-articular plasty in chronic anterior laxity of the knee</t>
  </si>
  <si>
    <t>Plastie isolÃ©e intra-articulaire au semi-tendinosus ou plastie combinÃ©e intra et extra-articulaire, dans les laxitÃ©s antÃ©rieures chroniques du genou.</t>
  </si>
  <si>
    <t>Goertzen M., Schulitz K.P.</t>
  </si>
  <si>
    <t>(Goertzen M.; Schulitz K.P.) DÃ©partment de Chirurgie OrthopÃ©dique, UniversitÃ© Heinrich Heine, DÃ¼sseldorf, Allemagne.</t>
  </si>
  <si>
    <t>M. Goertzen, DÃ©partment de Chirurgie OrthopÃ©dique, UniversitÃ© Heinrich Heine, DÃ¼sseldorf, Allemagne.</t>
  </si>
  <si>
    <t>Revue de chirurgie orthopÃ©dique et rÃ©paratrice de l'appareil moteur (1994) 80:2 (113-117). Date of Publication: 1994</t>
  </si>
  <si>
    <t>Revue de chirurgie orthopÃ©dique et rÃ©paratrice de l'appareil moteur</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</si>
  <si>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</si>
  <si>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L125047149</t>
  </si>
  <si>
    <t>https://www.embase.com/search/results?subaction=viewrecord&amp;id=L125047149&amp;from=export</t>
  </si>
  <si>
    <t>https://catalyst.library.jhu.edu/openurl/01JHU_INST/01JHU_INST:JHU?sid=EMBASE&amp;sid=EMBASE&amp;issn=00351040&amp;id=doi:&amp;atitle=Isolated+intraarticular+plasty+of+the+semitendinosus+or+combined+intra-+and+extra-articular+plasty+in+chronic+anterior+laxity+of+the+knee&amp;stitle=Rev+Chir+Orthop+Reparatrice+Appar+Mot&amp;title=Revue+de+chirurgie+orthop%C3%A9dique+et+r%C3%A9paratrice+de+l%27appareil+moteur&amp;volume=80&amp;issue=2&amp;spage=113&amp;epage=117&amp;aulast=Goertzen&amp;aufirst=M.&amp;auinit=M.&amp;aufull=Goertzen+M.&amp;coden=&amp;isbn=&amp;pages=113-117&amp;date=1994&amp;auinit1=M&amp;auinitm=</t>
  </si>
  <si>
    <t>Five Weeks of Whole-body Vibration in Prehabilitation for Knee Function Following Anterior Cruciate Ligament Reconstruction: A Single-blinded Randomized Controlled Trial</t>
  </si>
  <si>
    <t>Qiu J., Ong M.T.-Y., Choi C.-Y., Cao M., Ko V.M.-C., He X., Fu S.-C., Fong D.T.P., Yung P.S.-H.</t>
  </si>
  <si>
    <t>(Qiu J.) School of Exercise and Health, Shanghai University of Sport, Shanghai, China. , (Ong M.T.-Y.; Choi C.-Y.; Cao M.; Ko V.M.-C.; He X.; Fu S.-C.; Yung P.S.-H., partrickyung@cuhk.edu.hk) Department of Orthopaedics and Traumatology, Faculty of Medicine, The Chinese University of Hong Kong, Shatin, Hong Kong. , (Fong D.T.P.) National Centre for Sport and Exercise Medicine, School of Sport, Exercise and Health Sciences, Loughborough University, Loughborough, United Kingdom. , (Yung P.S.-H., partrickyung@cuhk.edu.hk) Prince of Wales Hospital, Shatin, Hong Kong.</t>
  </si>
  <si>
    <t>P.S.-H. Yung, Department of Orthopaedics and Traumatology, Faculty of Medicine, The Chinese University of Hong Kong, Shatin, Hong Kong. Email: partrickyung@cuhk.edu.hk</t>
  </si>
  <si>
    <t>Sports Medicine - Open (2025) 11:1 Article Number: 98. Date of Publication: 1 Dec 2025</t>
  </si>
  <si>
    <t>Sports Medicine - Open</t>
  </si>
  <si>
    <t>2198-9761 (electronic),2199-1170</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</si>
  <si>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âˆ’ 50)), and the late phase (rate of torque development from 100 to 200ms, RTD(100 âˆ’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âˆ’ 50) (p = 0.024), RTD(100 âˆ’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</si>
  <si>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ClinicalTrials.gov (NCT04988828)</t>
  </si>
  <si>
    <t>L2035801584</t>
  </si>
  <si>
    <t>10.1186/s40798-025-00901-1</t>
  </si>
  <si>
    <t>http://dx.doi.org/10.1186/s40798-025-00901-1</t>
  </si>
  <si>
    <t>https://www.embase.com/search/results?subaction=viewrecord&amp;id=L2035801584&amp;from=export</t>
  </si>
  <si>
    <t>https://catalyst.library.jhu.edu/openurl/01JHU_INST/01JHU_INST:JHU?sid=EMBASE&amp;sid=EMBASE&amp;issn=21989761&amp;id=doi:10.1186%2Fs40798-025-00901-1&amp;atitle=Five+Weeks+of+Whole-body+Vibration+in+Prehabilitation+for+Knee+Function+Following+Anterior+Cruciate+Ligament+Reconstruction%3A+A+Single-blinded+Randomized+Controlled+Trial&amp;stitle=Sports+Med.+-+Open&amp;title=Sports+Medicine+-+Open&amp;volume=11&amp;issue=1&amp;spage=&amp;epage=&amp;aulast=Qiu&amp;aufirst=Jihong&amp;auinit=J.&amp;aufull=Qiu+J.&amp;coden=&amp;isbn=&amp;pages=-&amp;date=2025&amp;auinit1=J&amp;auinitm=</t>
  </si>
  <si>
    <t>Yadav A.K., Sharma A., Paul N., Bhakhar A., Sarkar B., Azam M.Q.</t>
  </si>
  <si>
    <t>(Yadav A.K., akyadavmdb@gmail.com) Venkateshwara Institute of Medical Sciences, Gajraula, India. , (Sharma A., ajsharma722@gmail.com) Department of Orthopaedics, Graphic Era Institute of MedicalÂ Sciences, Dehradun, India. , (Paul N., drnirvinpaul@gmail.com; Bhakhar A., anuragbhakhar@gmail.com; Sarkar B., drbhaskarsarkar@gmail.com; Azam M.Q., qazam47@gmail.com) All India Institute of Medical Sciences Rishikesh, Rishikesh, India.</t>
  </si>
  <si>
    <t>A.K. Yadav, Venkateshwara Institute of Medical Sciences, Gajraula, India. Email: akyadavmdb@gmail.com"M.Q. Azam, All India Institute of Medical Sciences Rishikesh, Rishikesh, India. Email: qazam47@gmail.com</t>
  </si>
  <si>
    <t>European Journal of Orthopaedic Surgery and Traumatology (2025) 35:1 Article Number: 395. Date of Publication: 1 Dec 2025</t>
  </si>
  <si>
    <t>Purpose: 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 Methods: 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 Results: 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Â± 2.01 vs. 2.73 Â±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 Conclusion: Quadriceps tendon autograft in ACL reconstruction offers superior translational stability and reduced donor site morbidity, with comparable PROMs and a trend toward improved rotational stability. CTRI registration number: CTRI/2023/07/055894. Evidence Level: Level 1, Randomized Controlled Study.</t>
  </si>
  <si>
    <t>L2036109189</t>
  </si>
  <si>
    <t>http://dx.doi.org/10.1007/s00590-025-04510-2</t>
  </si>
  <si>
    <t>https://www.embase.com/search/results?subaction=viewrecord&amp;id=L2036109189&amp;from=export</t>
  </si>
  <si>
    <t>https://catalyst.library.jhu.edu/openurl/01JHU_INST/01JHU_INST:JHU?sid=EMBASE&amp;sid=EMBASE&amp;issn=14321068&amp;id=doi:10.1007%2Fs00590-025-04510-2&amp;atitle=Quadriceps+versus+hamstrings+autograft+in+anterior+cruciate+ligament+reconstruction%3A+a+randomized+control+trial&amp;stitle=Eur.+J.+Orthop.+Surg.+Traumatol.&amp;title=European+Journal+of+Orthopaedic+Surgery+and+Traumatology&amp;volume=35&amp;issue=1&amp;spage=&amp;epage=&amp;aulast=Yadav&amp;aufirst=Arvind+Kumar&amp;auinit=A.K.&amp;aufull=Yadav+A.K.&amp;coden=EJOTF&amp;isbn=&amp;pages=-&amp;date=2025&amp;auinit1=A&amp;auinitm=K</t>
  </si>
  <si>
    <t>Effects of Early Rehabilitation Using Blood Flow Restriction and/or Surface Electromyography Biofeedback on Quadriceps Activation and Strength After Anterior Cruciate Ligament Reconstruction: A Multicenter Randomized Controlled Trial</t>
  </si>
  <si>
    <t>clinicaltrials.gov (2025). Date of Publication: 21 Aug 2025</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</si>
  <si>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</si>
  <si>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LNCT07145606</t>
  </si>
  <si>
    <t>https://clinicaltrials.gov/study/NCT07145606</t>
  </si>
  <si>
    <t>https://www.embase.com/search/results?subaction=viewrecord&amp;id=LNCT07145606&amp;from=export</t>
  </si>
  <si>
    <t>Knee Extensors Activation Device Versus Rolled Towel for Early Quadriceps Activation After ACL Reconstruction: Protocol for a Randomized Controlled Trial</t>
  </si>
  <si>
    <t>clinicaltrials.gov (2025). Date of Publication: 18 Jun 2025</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</si>
  <si>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Î±=0.05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(3Ã—10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20Â°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</si>
  <si>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LNCT07040384</t>
  </si>
  <si>
    <t>https://clinicaltrials.gov/study/NCT07040384</t>
  </si>
  <si>
    <t>https://www.embase.com/search/results?subaction=viewrecord&amp;id=LNCT07040384&amp;from=export</t>
  </si>
  <si>
    <t>Anterior Cruciate Ligament Reconstruction Augmentation With Bone Marrow Aspirate Concentrate, Demineralized Bone Matrix, and Suture Tape Shows No Difference in Outcomesâ€”But Faster Functional Recoveryâ€”Versus Non-augmented Anterior Cruciate Ligament Reconstruction</t>
  </si>
  <si>
    <t>Lavender C.D., Schaver A.L., Taylor S., Peluso R., Berdis G., Singh V., Cipriani K., Lycans D., Jasko J., Hewett T.E.</t>
  </si>
  <si>
    <t>(Lavender C.D., doclav@gmail.com; Schaver A.L.; Taylor S.; Peluso R.; Berdis G.; Singh V.; Cipriani K.; Lycans D.; Jasko J.; Hewett T.E.) Department of Orthopedic Surgery, Marshall University, Huntington, WV, United States.</t>
  </si>
  <si>
    <t>C.D. Lavender, Department of Orthopedic Surgery, Marshall University, 41600 Medical Center Dr, Huntington, WV, United States. Email: doclav@gmail.com</t>
  </si>
  <si>
    <t>Arthroscopy - Journal of Arthroscopic and Related Surgery (2025) 41:5 (1496-1508). Date of Publication: 1 May 2025</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</si>
  <si>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(125Â° of flexion vs 109Â° of flexion, P &lt; .0001) and limb symmetry at 12 weeks (80.6% vs 36.7% [delta, 43.9%], P &lt; .001) were significantly improved in group A. At 2 years, International Knee Documentation Committee scores were similar (91.1 Â± 12.7 vs 85.3 Â± 10.8, P = .109). Quality-of-life subscores of the Knee Injury and Osteoarthritis Outcome Score were significantly enhanced in group A (85.2 Â± 20.9 vs 72.1 Â±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</si>
  <si>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ClinicalTrials.gov (NCT04178538)</t>
  </si>
  <si>
    <t>L2034922817</t>
  </si>
  <si>
    <t>10.1016/j.arthro.2024.06.042</t>
  </si>
  <si>
    <t>http://dx.doi.org/10.1016/j.arthro.2024.06.042</t>
  </si>
  <si>
    <t>https://www.embase.com/search/results?subaction=viewrecord&amp;id=L2034922817&amp;from=export</t>
  </si>
  <si>
    <t>https://catalyst.library.jhu.edu/openurl/01JHU_INST/01JHU_INST:JHU?sid=EMBASE&amp;sid=EMBASE&amp;issn=15263231&amp;id=doi:10.1016%2Fj.arthro.2024.06.042&amp;atitle=Anterior+Cruciate+Ligament+Reconstruction+Augmentation+With+Bone+Marrow+Aspirate+Concentrate%2C+Demineralized+Bone+Matrix%2C+and+Suture+Tape+Shows+No+Difference+in+Outcomes%E2%80%94But+Faster+Functional+Recovery%E2%80%94Versus+Non-augmented+Anterior+Cruciate+Ligament+Reconstruction&amp;stitle=Arthroscopy+J.+Arthroscopic+Relat.+Surg.&amp;title=Arthroscopy+-+Journal+of+Arthroscopic+and+Related+Surgery&amp;volume=41&amp;issue=5&amp;spage=1496&amp;epage=1508&amp;aulast=Lavender&amp;aufirst=Chad+D.&amp;auinit=C.D.&amp;aufull=Lavender+C.D.&amp;coden=ARTHE&amp;isbn=&amp;pages=1496-1508&amp;date=2025&amp;auinit1=C&amp;auinitm=D</t>
  </si>
  <si>
    <t>The effect of exercise rehabilitation on bone mineral density, muscle strength, and physical function outcomes in ACL ruptures: A randomized controlled clinical trial</t>
  </si>
  <si>
    <t>Yue W., Ruilan D., Yunan Z., Wenqiang Y., Shuang R., Xi G., Yingfang A.</t>
  </si>
  <si>
    <t>(Yue W.; Yunan Z.; Yingfang A., aoyingfang@163.com) Tianjin Key Laboratory of Exercise Physiology and Sports Medicine, Institute of Sport, Exercise &amp; Health, Tianjin University of Sport, Tianjin, China. , (Yue W.; Ruilan D.; Yunan Z.; Wenqiang Y.; Shuang R.; Xi G., gongxi518@163.com; Yingfang A., aoyingfang@163.com) Department of Sports Medicine, Peking University Third Hospital, Institute of Sports Medicine of Peking University, Beijing, China. , (Yue W.; Ruilan D.; Yunan Z.; Wenqiang Y.; Shuang R.; Xi G., gongxi518@163.com; Yingfang A., aoyingfang@163.com) Beijing Key Laboratory of Sports Injuries, Beijing, China. , (Yue W.; Ruilan D.; Yunan Z.; Wenqiang Y.; Shuang R.; Xi G., gongxi518@163.com; Yingfang A., aoyingfang@163.com) Engineering Research Center of Sports Trauma Treatment Technology and Devices, Ministry of Education, Beijing, China.</t>
  </si>
  <si>
    <t>G. Xi, Department of Sports Medicine, Peking University Third Hospital, Institute of Sports Medicine of Peking University, Beijing, China. Email: gongxi518@163.com"A. Yingfang, Tianjin Key Laboratory of Exercise Physiology and Sports Medicine, Institute of Sport, Exercise &amp; Health, Tianjin University of Sport, Tianjin, China. Email: aoyingfang@163.com</t>
  </si>
  <si>
    <t>Sports Medicine and Health Science (2025). Date of Publication: 2025</t>
  </si>
  <si>
    <t>Sports Medicine and Health Science</t>
  </si>
  <si>
    <t>2666-3376 (electronic)</t>
  </si>
  <si>
    <t>KeAi Communications Co.</t>
  </si>
  <si>
    <t>The purpose is to explore the effects of Exercise rehabilitation (ER) on bone mineral density (BMD) of the knee, muscle strength (MS), and physical function (PF) after ACL rupture. Finally, A total of 58 patients were randomized into 2 groups (Control Group [CON]: conventional treatment, male â€‹= â€‹16, female â€‹= â€‹13, age â€‹= â€‹[31.63 â€‹Â± â€‹8.01] years; Exercise rehabilitation group [ER]: 6-week ER on CON basis, male â€‹= â€‹17, female â€‹= â€‹12, age â€‹= â€‹[31.26 â€‹Â± â€‹7.07] years). At baseline and 6 weeks, the knee BMD was measured using DEXA, MS and PF measures were recorded by isokinetic strength test, IKDC, Lysholm, and VAS score. T-tests, analysis of variance (ANOVA), and Mann-Whitney tests were used for comparisons. The BMD outcomes: after a 6-week period, the BMD of the CON ([1.47 â€‹Â± â€‹0.24] gÂ·cm(âˆ’2)) was significantly lower than that of the ER ([1.65 â€‹Â± â€‹0.37] gÂ·cm(âˆ’2)) at lateral condyle of femur (LCF) (p â€‹= â€‹0.041). MS outcomes: at 6 weeks, the relative peak torque (RPT) of the quadriceps and hamstrings during concentric contractions in ER group were significantly higher than that in CON group (p â€‹&lt; â€‹0.001, p â€‹= â€‹0.017). Similarly, during eccentric contractions in ER group, the RPT of the quadriceps and the H/Q ratio revealed significant variations from the CON group (p â€‹= â€‹0.033, p â€‹= â€‹0.043). PF outcomes: the IKDC, Lysholm, and VAS scores of the ER group were significantly improved compared to the CON group (p â€‹&lt; â€‹0.001, p â€‹&lt; â€‹0.001, p â€‹= â€‹0.002). The conclusion is that 6 weeks of ER intervention for patients with ACL rupture can effectively delay the decline of BMD in the LCF of the knee joint, and enhance the restoration of MS and PF. This provides guidance for clinical rehabilitation.</t>
  </si>
  <si>
    <t>L2039489736</t>
  </si>
  <si>
    <t>10.1016/j.smhs.2025.03.002</t>
  </si>
  <si>
    <t>http://dx.doi.org/10.1016/j.smhs.2025.03.002</t>
  </si>
  <si>
    <t>https://www.embase.com/search/results?subaction=viewrecord&amp;id=L2039489736&amp;from=export</t>
  </si>
  <si>
    <t>https://catalyst.library.jhu.edu/openurl/01JHU_INST/01JHU_INST:JHU?sid=EMBASE&amp;sid=EMBASE&amp;issn=26663376&amp;id=doi:10.1016%2Fj.smhs.2025.03.002&amp;atitle=The+effect+of+exercise+rehabilitation+on+bone+mineral+density%2C+muscle+strength%2C+and+physical+function+outcomes+in+ACL+ruptures%3A+A+randomized+controlled+clinical+trial&amp;stitle=Sports+Med.+Health+Sci.&amp;title=Sports+Medicine+and+Health+Science&amp;volume=&amp;issue=&amp;spage=&amp;epage=&amp;aulast=Yue&amp;aufirst=Wu&amp;auinit=W.&amp;aufull=Yue+W.&amp;coden=&amp;isbn=&amp;pages=-&amp;date=2025&amp;auinit1=W&amp;auinitm=</t>
  </si>
  <si>
    <t>Vitamin D as an intervention for improving quadriceps muscle strength in patients after anterior cruciate ligament reconstruction: study protocol for a randomized double-blinded, placebo-controlled clinical trial</t>
  </si>
  <si>
    <t>Ong M.T.-Y., Lu X., Choi B.C.-Y., Wan S.-W., Wang Q., Man G.C.-W., Lui P.P.-Y., Fong D.T.-P., Mok D.K.-W., Yung P.S.-H.</t>
  </si>
  <si>
    <t>(Ong M.T.-Y., michael.ong@cuhk.edu.hk; Lu X.; Choi B.C.-Y.; Wang Q.; Man G.C.-W.; Lui P.P.-Y.; Fong D.T.-P.; Yung P.S.-H.) Department of Orthopaedics and Traumatology, Faculty of Medicine, The Chinese University of Hong Kong, Room 74029, 5/F, Lui Che Woo Clinical Science Building, Prince of Wales Hospital, Shatin, China. , (Wan S.-W.; Mok D.K.-W., daniel.mok@polyu.edu.hk) Department of Food Science and Nutrition, The Hong Kong Polytechnic University, TU314, Block U, Hung Hom, China.</t>
  </si>
  <si>
    <t>M.T.-Y. Ong, Department of Orthopaedics and Traumatology, Faculty of Medicine, The Chinese University of Hong Kong, Room 74029, 5/F, Lui Che Woo Clinical Science Building, Prince of Wales Hospital, Shatin, China. Email: michael.ong@cuhk.edu.hk"D.K.-W. Mok, Department of Food Science and Nutrition, The Hong Kong Polytechnic University, TU314, Block U, Hung Hom, China. Email: daniel.mok@polyu.edu.hk</t>
  </si>
  <si>
    <t>Trials (2024) 25:1 Article Number: 251. Date of Publication: 1 Dec 2024</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</si>
  <si>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18â€“50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</si>
  <si>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ClinicalTrials.gov (NCT05174611)</t>
  </si>
  <si>
    <t>L2029372496</t>
  </si>
  <si>
    <t>10.1186/s13063-024-08094-w</t>
  </si>
  <si>
    <t>http://dx.doi.org/10.1186/s13063-024-08094-w</t>
  </si>
  <si>
    <t>https://www.embase.com/search/results?subaction=viewrecord&amp;id=L2029372496&amp;from=export</t>
  </si>
  <si>
    <t>https://catalyst.library.jhu.edu/openurl/01JHU_INST/01JHU_INST:JHU?sid=EMBASE&amp;sid=EMBASE&amp;issn=17456215&amp;id=doi:10.1186%2Fs13063-024-08094-w&amp;atitle=Vitamin+D+as+an+intervention+for+improving+quadriceps+muscle+strength+in+patients+after+anterior+cruciate+ligament+reconstruction%3A+study+protocol+for+a+randomized+double-blinded%2C+placebo-controlled+clinical+trial&amp;stitle=Trials&amp;title=Trials&amp;volume=25&amp;issue=1&amp;spage=&amp;epage=&amp;aulast=Ong&amp;aufirst=Michael+Tim-yun&amp;auinit=M.T.-Y.&amp;aufull=Ong+M.T.-Y.&amp;coden=&amp;isbn=&amp;pages=-&amp;date=2024&amp;auinit1=M&amp;auinitm=T.-Y.</t>
  </si>
  <si>
    <t>Effectiveness of In-Home, Augmented Realityâ€“Based Telerehabilitation After Anterior Cruciate Ligament Reconstruction: A Randomized Controlled Trial</t>
  </si>
  <si>
    <t>Lim J.Y., Yu H.J., Kim S.H., Lee J.I., Lim J.-Y., Wang J.H., Hwang J.H.</t>
  </si>
  <si>
    <t>(Lim J.Y.; Kim S.H.) Research Institute for Future Medicine, Samsung Medical Center, Seoul, South Korea. , (Lim J.Y.) Department of Physical and Rehabilitation Medicine, Sungkyunkwan University School of Medicine, Seoul, South Korea. , (Yu H.J.) Department of Physical Therapy, Graduate School, Sahmyook University, Seoul, South Korea. , (Lee J.I.) Department of Rehabilitation Medicine, Seoul St. Mary's Hospital, College of Medicine, Catholic University of Korea, Seoul, South Korea. , (Lim J.-Y.) Department of Rehabilitation Medicine, Seoul National University Bundang Hospital, Gyeonggi-do, Seongnam-si, South Korea. , (Lim J.-Y.) Department of Rehabilitation Medicine, Seoul National University College of Medicine, Seoul, South Korea. , (Wang J.H.) Department of Orthopedic Surgery, Samsung Medical Center, Sungkyunkwan University School of Medicine, Seoul, South Korea. , (Wang J.H.; Hwang J.H., hwanglee@skku.edu) Department of Physical and Rehabilitation Medicine, Samsung Medical Center, Sungkyunkwan University School of Medicine, Seoul, South Korea.</t>
  </si>
  <si>
    <t>J.H. Hwang, Department of Physical and Rehabilitation Medicine, Samsung Medical Center, Sungkyunkwan University School of Medicine, Seoul, South Korea. Email: hwanglee@skku.edu</t>
  </si>
  <si>
    <t>Orthopaedic Journal of Sports Medicine (2024) 12:10. Date of Publication: 1 Oct 2024</t>
  </si>
  <si>
    <t>Background: New digital technologyâ€“based rehabilitation may be a viable option for patients after anterior cruciate ligament reconstruction (ACLR), with advantages such as easy access to treatment and learning as well as cost-effectiveness. Purpose: To investigate the effects of an augmented reality (AR)â€“based,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</si>
  <si>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L2031849110</t>
  </si>
  <si>
    <t>10.1177/23259671241271729</t>
  </si>
  <si>
    <t>http://dx.doi.org/10.1177/23259671241271729</t>
  </si>
  <si>
    <t>https://www.embase.com/search/results?subaction=viewrecord&amp;id=L2031849110&amp;from=export</t>
  </si>
  <si>
    <t>https://catalyst.library.jhu.edu/openurl/01JHU_INST/01JHU_INST:JHU?sid=EMBASE&amp;sid=EMBASE&amp;issn=23259671&amp;id=doi:10.1177%2F23259671241271729&amp;atitle=Effectiveness+of+In-Home%2C+Augmented+Reality%E2%80%93Based+Telerehabilitation+After+Anterior+Cruciate+Ligament+Reconstruction%3A+A+Randomized+Controlled+Trial&amp;stitle=Orthop.+J.+Sports+Med.&amp;title=Orthopaedic+Journal+of+Sports+Medicine&amp;volume=12&amp;issue=10&amp;spage=&amp;epage=&amp;aulast=Lim&amp;aufirst=Ji+Young&amp;auinit=J.Y.&amp;aufull=Lim+J.Y.&amp;coden=&amp;isbn=&amp;pages=-&amp;date=2024&amp;auinit1=J&amp;auinitm=Y</t>
  </si>
  <si>
    <t>IMPACT OF NEUROMUSCULAR ELECTRICAL STIMULATION (NMES) COMBINED WITH THERAPEUTIC EXERCISE ON POSTOPERATIVE ACL REHABILITATION</t>
  </si>
  <si>
    <t>Khan A.M., Tariq S., Kamran M., Sadiq A., Adnan H., Qazi Z.N., Khan M.</t>
  </si>
  <si>
    <t>(Khan A.M., Khanabdulmoiz1117@gmail.com) Physio Max and Physio First Rehabilitation center, Pakistan. , (Tariq S., Sidratariq95@gmail.com) Dar ul Shifa Medical Center, Pakistan. , (Kamran M., kamran@hsa.edu.pk) Incharge Department of Physical Therapy, Health Services Academy, Islamabad, Pakistan. , (Sadiq A., Ayesha.sadiq.oo1@gmail.com) Riphah International University, Pakistan. , (Adnan H., Hadiqa1130@hotmail.com) Islamabad Medical and Dental College, Pakistan. , (Qazi Z.N., zainabnoorqazi@gmail.com) Yusra Institute of Rehabilitation Sciences, Pakistan. , (Khan M., Dr.muslim@inuswat.edu.pk) Iqra National University, Swat, Pakistan.</t>
  </si>
  <si>
    <t>A.M. Khan, Physio Max and Physio First Rehabilitation center, Pakistan. Email: Khanabdulmoiz1117@gmail.com</t>
  </si>
  <si>
    <t>Journal of Population Therapeutics and Clinical Pharmacology (2024) 31:9 (645-651). Date of Publication: 2 Sep 2024</t>
  </si>
  <si>
    <t>Journal of Population Therapeutics and Clinical Pharmacology</t>
  </si>
  <si>
    <t>2561-8741 (electronic),1710-6222</t>
  </si>
  <si>
    <t>Codon Publications</t>
  </si>
  <si>
    <t>Background: Anterior cruciate ligament ACL injuries among athletes and other physically active people usually develop into surgeries, which are followed by intensive post-operative rehabilitation. This is aimed at successful recovery of muscular strength and functional stability. NMES has appeared to be a promising adjuvant modality that might enhance neuromuscular activation and accelerate the recovery process. The main objective of the study is to assess the impact of NMES coupled with a structured therapeutic exercise program on muscle strength, functional outcomes, and overall recovery in patients undergoing postoperative ACL rehabilitation. Methods: This randomized controlled trial (RCT) involved 16 patients who had undergone ACL reconstruction surgery. Participants were randomly assigned to either the intervention group, receiving NMES combined with therapeutic exercises, or the control group, receiving therapeutic exercises alone. The intervention lasted 10 weeks, with assessments conducted at baseline and at 10 week. Primary outcomes included quadriceps muscle strength, measured using an isokinetic dynamometer, and knee function, evaluated through Lysholm Knee Scoring Scale. Results: the results showed significant improvement in strength of quadriceps and knee function in group receiving NMES and therapeutic exercises as compared to therapeutic alone group with a mean difference of a mean difference of 8.75 (p=0.04) and 5.50 (p=0.047) for quadriceps strength and knee function respectively. Conclusion: NMES is considered to substantially enhance the recovery of muscle strength and function during post-ACL reconstruction rehabilitation programs compared to therapeutic exercises alone. Such results suggest that NMES could be a valuable addition to traditional rehabilitation protocols, possibly even further improving the treatment outcomes for patients undergoing ACL reconstruction surgery.</t>
  </si>
  <si>
    <t>L2031142545</t>
  </si>
  <si>
    <t>10.53555/yqb1tm68</t>
  </si>
  <si>
    <t>http://dx.doi.org/10.53555/yqb1tm68</t>
  </si>
  <si>
    <t>https://www.embase.com/search/results?subaction=viewrecord&amp;id=L2031142545&amp;from=export</t>
  </si>
  <si>
    <t>https://catalyst.library.jhu.edu/openurl/01JHU_INST/01JHU_INST:JHU?sid=EMBASE&amp;sid=EMBASE&amp;issn=25618741&amp;id=doi:10.53555%2Fyqb1tm68&amp;atitle=IMPACT+OF+NEUROMUSCULAR+ELECTRICAL+STIMULATION+%28NMES%29+COMBINED+WITH+THERAPEUTIC+EXERCISE+ON+POSTOPERATIVE+ACL+REHABILITATION&amp;stitle=J.+Popul.+ther.+Clin.+Pharmacol.&amp;title=Journal+of+Population+Therapeutics+and+Clinical+Pharmacology&amp;volume=31&amp;issue=9&amp;spage=645&amp;epage=651&amp;aulast=Khan&amp;aufirst=Abdul+Moiz&amp;auinit=A.M.&amp;aufull=Khan+A.M.&amp;coden=&amp;isbn=&amp;pages=645-651&amp;date=2024&amp;auinit1=A&amp;auinitm=M</t>
  </si>
  <si>
    <t>Exploring Prolonged Arthrogenic Muscle Responses and Associated Factors After Anterior Cruciate Ligament Reconstruction</t>
  </si>
  <si>
    <t>clinicaltrials.gov (2024). Date of Publication: 17 May 2024</t>
  </si>
  <si>
    <t>Brief SummaryThe goal of this observational study is to explore the significance of subject-reported outcomes and clinical parameters in relation to the occurence of prolonged presence of arthrogenic muscle responses (AMR) in anterior cruciate ligament (ACL) reconstructed patients. The main questions it aims to answer are: 1. Is there a link between the long-term occurence of AMR in ACL reconstructed patients and the level of kinesiophobia experienced before or after their ACL surgery? We hypothesize that ACL patients with higher levels of kinesiophobia are more likely to exhibit prolonged AMR as an unconscious reaction to protect their affected knee joint. 2. Is the long-term presence of AMR in ACL reconstructed patients linked to their subjective knee function and stability (at certain time points throughout their recovery)? Our hypothesis is that poorer subjective knee function and stability might be associated with the presence of prolonged arthrogenic muscle responses in ACL reconstructed patients. 3. Is the prolonged presence of AMR in ACL reconstructed patients linked to their pain levels (at certain time points throughout their recovery)? Our hypothesis is that ACL patients with higher pre- and/or postsurgical pain levels may exhibit a higher degree of long-lasting AMR. 4. Is the long-term presence of AMR in ACL reconstructed patients linked to clinical parameters such as swelling, isometric quadriceps and hamstrings strength and knee range of motion (at certain time points throughout their recovery)? Our hypothesis is that ACL patients with poorer outcomes in terms of these clinical parameters may be more likely to exhibit prolonged AMR. Participants will: * Fill in the following questionnaires 1 week before surgery and at 1 and 3 months after surgery: * Demopgraphical information * Knee Injury and Osteoarthritis Outcome Score (KOOS) * Lysholm Score (only question 1) * Tegner Activity Scale (current activity level, pre-injury activity level and desired activity level after recovery) * Numeric Rating Score (NRS) for pain levels during the day \&amp; during the night * ACL-Return to Sport after Injury Scale (ACL-RSI) * Complete a testing protocol 5 months after their surgery, which includes bilateral electromyographical measurements of the hamstrings and quadriceps during jumping tasks and a quadriceps inhibition measurement using the interpolated twitch method to evaluate the presence of prolonged AMR.</t>
  </si>
  <si>
    <t>LNCT06430775</t>
  </si>
  <si>
    <t>https://clinicaltrials.gov/study/NCT06430775</t>
  </si>
  <si>
    <t>https://www.embase.com/search/results?subaction=viewrecord&amp;id=LNCT06430775&amp;from=export</t>
  </si>
  <si>
    <t>Transcutaneous Electrical Nerve Stimulation Provides Early Recovery from Arthrogenic Muscle Inhibition Post-Anterior Cruciate Ligament Reconstruction</t>
  </si>
  <si>
    <t>Khan F.A., Kushwaha S., Vakharia K., Kumar J., BhaVani P., Sinha S.</t>
  </si>
  <si>
    <t>(Khan F.A.; Vakharia K.; Kumar J., drjaswant20@gmail.com; Sinha S.) Sports Injury Centre, VMMC and Safdarjung Hospital, New Delhi, India. , (Kushwaha S.) Department of Sport Medicine PGIMS, Haryana, Rohtak, India. , (BhaVani P.) Department of Orthopaedics, AIIMS, Maharashtra, Nagpur, India.</t>
  </si>
  <si>
    <t>J. Kumar, Sports Injury Centre, VMMC and Safdarjung Hospital, New Delhi, India. Email: drjaswant20@gmail.com</t>
  </si>
  <si>
    <t>Journal of Arthroscopy and Joint Surgery (2024) 11:1 (22-27). Date of Publication: 1 Jan 2024</t>
  </si>
  <si>
    <t>Background: Quadriceps weakness that ensues anterior cruciate ligament (ACL) reconstruction, a common procedure done in sportspersons, is a hindrance in the active rehabilitation and delays return to sport. This weakness of quadriceps muscle is a complex neural phenomenon ascribed to arthrogenic muscle inhibition (AMI). Purpose: The purpose of the study was to assess the effectiveness of transcutaneous electrical nerve stimulation (TENS) in AMI post-ACL reconstruction (ACLR). Methods: A prospective randomized study involving 60 patients with isolated ACL injury above 18 years of age were included. Patients with osteoarthritis knee, multiligament injury, previous knee surgery, and inflammatory knee pathology were excluded from the study. Patients were divided into Groups A and B (n = 30, each). Group A received TENS therapy with exercises and ice packs, whereas Group B received only exercise and ice packs post-ACLR. All patients were assessed subjectively using Visual Analog Scale score for pain, Lysholm, and IKDC score for functional outcome pre and postoperatively on day 2, 1 month, 3 months, 6 months, and 1 year. Objective assessment was done by measuring thigh girth (10 cm above knee joint line) and isometric quadriceps strength (using David Biofeedback Strength Evaluation Machine) pre and postoperatively at day 2, 1 week, 2 weeks, 1 month, 3 months, 6 months, and 1 year. Results: Pain decreased in both groups at 1 month, 3 months, and 6 months, but there was significantly lower pain in Group A in comparison to Group B at 1 month (P = 0.003), 3 months (P = 0.001), and 6 months (P â‰¤ 0.0001). There was no pain at 1 year in both the groups. Lysholm score improved in both groups, but there was statistically significantly better Lysholm score in Group A in comparison to Group B at each follow-up. IKDC score improved in both groups, but the improvement in Group A was significantly higher than Group B at each follow-up. No significant difference in mean thigh girth was observed. Mean quadriceps strength was similar in both groups except at 6 months where Group A was better than Group B (&lt;0.001). Conclusion: Addition of TENS in ACLR rehabilitation decreases pain and provides better clinical outcome.</t>
  </si>
  <si>
    <t>L2030479259</t>
  </si>
  <si>
    <t>10.4103/jajs.jajs_137_22</t>
  </si>
  <si>
    <t>http://dx.doi.org/10.4103/jajs.jajs_137_22</t>
  </si>
  <si>
    <t>https://www.embase.com/search/results?subaction=viewrecord&amp;id=L2030479259&amp;from=export</t>
  </si>
  <si>
    <t>https://catalyst.library.jhu.edu/openurl/01JHU_INST/01JHU_INST:JHU?sid=EMBASE&amp;sid=EMBASE&amp;issn=22149635&amp;id=doi:10.4103%2Fjajs.jajs_137_22&amp;atitle=Transcutaneous+Electrical+Nerve+Stimulation+Provides+Early+Recovery+from+Arthrogenic+Muscle+Inhibition+Post-Anterior+Cruciate+Ligament+Reconstruction&amp;stitle=J.+Arthrosc.+Jt.+Surg.&amp;title=Journal+of+Arthroscopy+and+Joint+Surgery&amp;volume=11&amp;issue=1&amp;spage=22&amp;epage=27&amp;aulast=Khan&amp;aufirst=Firoz+Azam&amp;auinit=F.A.&amp;aufull=Khan+F.A.&amp;coden=&amp;isbn=&amp;pages=22-27&amp;date=2024&amp;auinit1=F&amp;auinitm=A</t>
  </si>
  <si>
    <t>Wang X., Xu Z., Song S., Mao Z., Huang X., Luo M., Zhou X., Xu B., Ye J., Song Y., Yu J.</t>
  </si>
  <si>
    <t>(Wang X.; Mao Z.; Huang X.; Luo M.; Zhou X.; Xu B.; Yu J., yujiakuo@tsinghua.edu.cn) Sports Medicine Department, Beijing Key Laboratory of Sports Injuries, Peking University Third Hospital, Beijing, China. , (Xu Z.; Mao Z.; Huang X.; Luo M.; Zhou X.; Xu B.; Yu J., yujiakuo@tsinghua.edu.cn) Institute of Sports Medicine, Peking University, Beijing, China. , (Song S.) Peking University Health Science Center, Beijing, China. , (Ye J., yejing_pku@foxmail.com; Song Y., songyifan0403@163.com; Yu J., yujiakuo@tsinghua.edu.cn) Orthopaedic Sports Medicine Center, Beijing Tsinghua Changgung Hospital, Affiliated Hospital of Tsinghua University, Beijing, China.</t>
  </si>
  <si>
    <t>J. Ye, Orthopaedic Sports Medicine Center, Beijing Tsinghua Changgung Hospital, Affiliated Hospital of Tsinghua University, 168 Litang Road, Changping District, Beijing, China. Email: yejing_pku@foxmail.com"Y. Song, Orthopaedic Sports Medicine Center, Beijing Tsinghua Changgung Hospital, Affiliated Hospital of Tsinghua University, 168 Litang Road, Changping District, Beijing, China. Email: songyifan0403@163.com"J. Yu, Orthopaedic Sports Medicine Center, Beijing Tsinghua Changgung Hospital, Affiliated Hospital of Tsinghua University, 168 Litang Road, Changping District, Beijing, China. Email: yujiakuo@tsinghua.edu.cn</t>
  </si>
  <si>
    <t>Chinese Medical Journal (2024) Article Number: e03267. Date of Publication: 2024</t>
  </si>
  <si>
    <t>2542-5641 (electronic),0366-6999</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</si>
  <si>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Ï‡(2) = 19.57, P &lt;0.05). Quadriceps strength symmetry in the lower limbs was identified as the key determinant of RTS (Ï‡(2) = 17.08, P &lt;0.05). The RTS rate was influenced by SNQs of the graftâ€™s tibial site (odds ratio: 0.544) and quadriceps strength of the reconstructed knee joint at 60Â°/s (odds ratio: 6.346). Notably, the DBR group showed enhanced knee stability, evidenced by superior results in the Lachman test (Ï‡(2) = 13.49, P &lt;0.01), objective IKDC-2000 (Ï‡(2) = 27.02, P = 0.002), and anterior instability test (Ï‡(2) = 9.46, P &lt;0.01). Furthermore, DBR demonstrated superior clinical outcomes based on the Lysholm score (DBR: 89.57 Â± 7.72, CASBR: 83.00 Â± 12.71, ASBR: 83.21 Â± 11.95; F = 10.452, P &lt;0.01) and IKDC-2000 score (DBR: 90.95 Â± 7.00, CASBR: 84.64 Â± 12.68, ASBR: 83.63 Â± 11.41; F = 11.78, P &lt;0.01). Conclusion: For patients with ACL rupture, more ideal RTS rate and clinical outcomes were shown in the DBR group than in the ASBR and CASBR groups. Autograft status and quadriceps strength are postively related to RTS. Trial Registration: ClinicalTrials.gov (NCT05400460)</t>
  </si>
  <si>
    <t>L2035070509</t>
  </si>
  <si>
    <t>http://dx.doi.org/10.1097/CM9.0000000000003267</t>
  </si>
  <si>
    <t>https://www.embase.com/search/results?subaction=viewrecord&amp;id=L2035070509&amp;from=export</t>
  </si>
  <si>
    <t>https://catalyst.library.jhu.edu/openurl/01JHU_INST/01JHU_INST:JHU?sid=EMBASE&amp;sid=EMBASE&amp;issn=25425641&amp;id=doi:10.1097%2FCM9.0000000000003267&amp;atitle=Which+technique+provides+more+benefits+in+return+to+sports+and+clinical+outcomes+after+anterior+cruciate+ligament+reconstruction%3A+Double-bundle+or+single-bundle%3F+A+randomized+controlled+study&amp;stitle=Chin.+Med.+J.&amp;title=Chinese+Medical+Journal&amp;volume=&amp;issue=&amp;spage=&amp;epage=&amp;aulast=Wang&amp;aufirst=Xinjie&amp;auinit=X.&amp;aufull=Wang+X.&amp;coden=CMDJA&amp;isbn=&amp;pages=-&amp;date=2024&amp;auinit1=X&amp;auinitm=</t>
  </si>
  <si>
    <t>Ong M.T.-Y., Man G.C.-W., Lau L.C.-M., He X., Qiu J., Wang Q., Chow M.C.-S., Choi B.C.-Y., Yu M., Yung P.S.-H.</t>
  </si>
  <si>
    <t>(Ong M.T.-Y., michael.ong@cuhk.edu.hk; Man G.C.-W.; Lau L.C.-M.; He X.; Qiu J.; Wang Q.; Chow M.C.-S.; Choi B.C.-Y.; Yu M.; Yung P.S.-H.) Department of Orthopaedics and Traumatology, Faculty of Medicine, The Chinese University of Hong Kong, Hong Kong.</t>
  </si>
  <si>
    <t>M.T.-Y. Ong, Department of Orthopaedics and Traumatology, Faculty of Medicine, The Chinese University of Hong Kong, Hong Kong. Email: michael.ong@cuhk.edu.hk</t>
  </si>
  <si>
    <t>Trials (2022) 23:1 Article Number: 771. Date of Publication: 1 Dec 2022</t>
  </si>
  <si>
    <t>Background: The ultimate goal of anterior cruciate ligament reconstructions (ACLR) is to fulfil the return-to-play (RTP) criteria. Quadriceps muscle strength is one of the key determinants for a patientâ€™s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18â€“30)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</si>
  <si>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brain derived neurotrophic factor (218441-99-7), fibroblast growth factor 2 (106096-93-9), follistatin (117628-82-7), interleukin 8 (114308-91-7), myostatin (197731-05-8), osteopontin (106441-73-0), protein (67254-75-5), somatomedin C (67763-96-6)</t>
  </si>
  <si>
    <t>ClinicalTrials.gov (05184023)</t>
  </si>
  <si>
    <t>L2019065221</t>
  </si>
  <si>
    <t>http://dx.doi.org/10.1186/s13063-022-06674-2</t>
  </si>
  <si>
    <t>https://www.embase.com/search/results?subaction=viewrecord&amp;id=L2019065221&amp;from=export</t>
  </si>
  <si>
    <t>https://catalyst.library.jhu.edu/openurl/01JHU_INST/01JHU_INST:JHU?sid=EMBASE&amp;sid=EMBASE&amp;issn=17456215&amp;id=doi:10.1186%2Fs13063-022-06674-2&amp;atitle=Effect+of+pulsed+electromagnetic+field+as+an+intervention+for+patients+with+quadriceps+weakness+after+anterior+cruciate+ligament+reconstruction%3A+a+double-blinded%2C+randomized-controlled+trial&amp;stitle=Trials&amp;title=Trials&amp;volume=23&amp;issue=1&amp;spage=&amp;epage=&amp;aulast=Ong&amp;aufirst=Michael+Tim-Yun&amp;auinit=M.T.-Y.&amp;aufull=Ong+M.T.-Y.&amp;coden=&amp;isbn=&amp;pages=-&amp;date=2022&amp;auinit1=M&amp;auinitm=T.-Y.</t>
  </si>
  <si>
    <t>Normalization of Gait After ACL Reconstruction: A Comparative Study Between Home-based Versus Standardized Therapy</t>
  </si>
  <si>
    <t>clinicaltrials.gov (2022). Date of Publication: 20 Jun 2022</t>
  </si>
  <si>
    <t>Brief SummaryThe objective of this study is to evaluate the regaining of a normal gait within the early rehabilitation (12-13 weeks postsurgical) after reconstruction of the anterior cruciate ligament (ACL). Therefore, two different rehabilitation programs (supervised versus home-based) will be compared. A prospective, parallel-grouped trial with patientsÂ´ free choice of postsurgical therapy (home based versus supervised) will be conducted. One group will receive a well supervised, standardized rehabilitation program, while the other group will be instructed in a home-based rehabilitation program. Gait assessments will be carried out 6-7 weeks and 12-13 weeks postsurgical using standard 3D clinical gait analysis. Complementary, gait will also be evaluated using an Inertial Measurement Unit (IMU) three times postsurgical (6-7 weeks, 9-10 weeks, 12-13 weeks). Furthermore, various clinical parameters, like patient reported outcome measures (PROM), knee swelling, range of motion (ROM) will be taken presurgical as well as on days of gait assessment. The study will show the impact of physiotherapeutic therapy on the early normalization of gait after ACL reconstruction. The results may help to build a better understanding of the required physiotherapeutic supervision after ACL surgery and if a home-based therapy can safely be recommended to specific patients.Detailed DescriptionDesign: The study is designed as a prospective, parallel-grouped trial. The patient will have the free choice out of two postsurgical rehabilitation regimens. The baseline assessments will take place presurgical after the official enrolment procedure. After surgery, three follow ups are set (6-7, 9-10, 12-13 weeks postsurgical). 3D gait analysis will be performed on first and third series. Additionally, IMU gait analysis as well as the modified Star Excursion Balance Test (SEBT) will be performed . Furthermore, various clinical parameters, like patient reported outcome measures (PROM), knee swelling, range of motion (ROM) will be taken on assessment days. Enrolment/Allocation/Blinding: An appointment for checking eligibility will be made presurgical. If the patient is eligible, a signed informed consent will be collected and a continuous identification number will be defined by a central study coordinator. Further, the general personal data will be assessed, and presurgical measurements (e.g. ROM, knee swelling, PROM, height, weight) will be performed. After surgery the patients can choose between a standardized rehabilitation program at the department of physical medicine and rehabilitation at University Hospital Krems (UHK) or a supervised home-based program. A blinding of the patients is not possible, due to the nature of the study and the obviosity of group allocation. The principal investigator will be blinded to the allocation and will only get access to the coding list in special cases (e.g. harm). Furthermore, the principal investigator is not involved in the statistical analysis of data. Rehabilitation programs: Therapy Focus (both Groups): Stationary setting: Reduction of swelling, gait training with crutches, introduction to a CPM (continuous passive motion) machine, instruction to exercises for home practice (active flexion and extension), stretching of ischiocrural muscles and M. iliopsoas From 2nd week postsurgical: Mobilisation of the patella, mobilisation of scars, gait training (beginning with partial weight-bearing), improvement of range of motion, progression of soft strengthening of knee flexion and extension. From 6th week postsurgical: Focus on sensomotoric exercises. Progression of exercises for knee flexion and extension and intensified strengthening Phase-adapted exercises for home-based Training: Week 1-2: 1. Local cryotherapy (3x 20 min) 2. Mobilization of scars (after wound closure) 3. Active knee extension in supine position 4. Active knee extension in supine position with padding underneath the heel 5. Active knee extension in prone position 6. Active knee flexion and extension in closed chain in supine position (heel contact with floor) 7. Activating of M. quadriceps femoris and ischiocrural muscles by tensing Week 3-6: 1. Local cryotherapy (3x 20 min) after exercise, if required 2. Active knee extension in supine position without padding 3. Progression: full knee extension while standing/half seated 4. Active knee extension in supine position with padding underneath the heel 5. Active knee extension in supine position in open chain (no floor contact of the foot)- max. 20Â° flexion 6. Knee flexion and extension in closed chain in supine position (heel contact to the floor), with TheraBand 7. Activating M. quadriceps and ischiocrural muscles with foot-support on the wall in * 30Â° knee-flexed position/ 60-90Â° knee-flexed position 8. Mini-Squats (holding on a chair back) 9. Bridging- extending the knee, while lying supine with raised pelvic 10. Raising the operated leg lying in lateral position with extended knee/ with flexed knee 11. Knee extension and load takeover without crutches in standing Position Week 7-8: 1. Local cryotherapy (3x 20 min) after exercise, if required 2. Active knee extension in supine position with padding underneath the heel 3. Active knee extension in supine position in open chain (no floor contact of the foot)- max. 20Â° flexion 4. Active knee flexion and extension in closed chain in supine position (progression: with gymnastic ball) 5. Activating M. quadriceps and ischiocrural muscles with foot-support on the wall (or to progress on gymnastic ball) in 30Â° knee-flexed position/ 90Â° knee-flexed position 6. Knee extension and flexion in seated position in closed chain. Extension against resistance of TheraBand 7. Squats (30Â°-0Â° flexion/ 80Â°-60Â° flexion) 8. Bridging- extending both knees alternately, while lying supine with raised pelvic 9. Extension of knee and hip in lateral position (on healthy side) with contact of injured limb with the wall 10. Standing on one foot 11. Walking frontwards and backwards with active extended knees Week 9-10: 1. Local cryotherapy (3x 20 min) after exercise, if required 2. Active knee extension in supine position with padding underneath the heel 3. Active knee flexion and extension in closed chain in supine position 4. Knee extension and flexion in seated position in closed chain (heel contact with floor) with eyes closed. Extension against resistance of TheraBand. 5. Squat lunges to the side. The knees are alternately flexed, while the toes of the contralateral limb tip the floor to the side. 6. Bridging- extending both knees alternately, while lying supine with raised pelvic 7. Standing on one foot, while the other knee is flexed 90Â° and the foot pushes against a wall behind 8. Standing on one foot, doing different exercises with the upper body (e.g. arm movement, head rotation) 9. Walking frontwards and backwards with active extended knees 10. Planking on forearms (exercise time increases) Week 11-12: 1. Cryotherapy, if required 2. Active knee flexion and extension in closed chain in supine position 3. Variation of Squats (eyes closed, arm movement, full knee ROM, stabilizing in 60Â°/90Â° flexion) 4. Variation of Squat lunges to the side (eyes closed, arm movement, rotation of upper body, stabilizing in 90Â° flexion) 5. Lunges moving forward 6. Standing on one foot, ankles connected with TheraBand. Moving free limb back and to the side against resistance of TheraBand. Difficulty increases with different arm tasks or closed eyes. 7. Standing on one foot, doing different exercises with the upper body (e.g. arm movement, head rotation) 8. Variation of lunges 9. Stride leaps 10. Planking on forearms Independently of group allocation, each patient is offered a prescription of an electrotherapeutic device (Schuhfried Company, Vienna, Austria) with two electrodes (8x12cm) for quadriceps muscle strengthening with surge current for home application. Training diaries: Patients of both rehabilitation programs will be encouraged to keep training diaries to monitor progression in load increase, repetitions of exercises and frequency in the period of home training. Additional treatments shall also be documented (e.g. surge current). The diaries between the groups differ, as the standard-group will receive only one general sheet to document their training for the whole study period, while the home-based group will receive an extra sheet for every phase (5 documents), where all exercises can be selected separately. Ethical aspects: All participants will be informed about the nature and the scope of the study and will give a written consent. The trial has been registered and received an ethical approval of the Committee for Scientific Integrity and Ethics of the Karl Landsteiner University Krems. The registration number is 1038/2019. Participants may withdraw from the study anytime, without giving a specific reason. Furthermore, if a participant may take obvious physiological harm by staying within the study protocol, the principal investigator can decide to remove him/her from the study. Sample size calculation and statistical procedures: For the statistical analysis a matched pair t-test will be used. The matching criteria will be the Tegner score (maximum one point difference) and the age of the participants (maximum five years difference). The required number of patients was calculated beforehand using the software nQuery version 8.5. The sample size estimation is based on the primary outcome parameter (step length symmetry) after a literature review. According to the calculation 24 pairs are needed to detect a statistical effect size of 0.6 with a power of 80 percent. Considering the usual drop-out rates and the impossibility of finding matching partners, for estimated a third of the participants, the sample size was set with 45 persons per group.</t>
  </si>
  <si>
    <t>LNCT05481918</t>
  </si>
  <si>
    <t>https://clinicaltrials.gov/study/NCT05481918</t>
  </si>
  <si>
    <t>https://www.embase.com/search/results?subaction=viewrecord&amp;id=LNCT05481918&amp;from=export</t>
  </si>
  <si>
    <t>Blood Flow Restrictive Training Following Medial Patellofemoral Ligament and Anterior Cruciate Ligament Reconstruction Rehabilitation</t>
  </si>
  <si>
    <t>clinicaltrials.gov (2022). Date of Publication: 2 Jun 2022</t>
  </si>
  <si>
    <t>Brief SummaryBlood flow restrictive (BFR) therapy following MPFL or ACL reconstruction rehabilitation. Specific Aim 1: Test whether maintaining BFR cuff inflation or deflating between exercises results in greater quadriceps strength and functional outcomes after MPFL or ACL reconstruction. Hypothesis 1: Subjects in the deflate BFR protocol group will have significantly greater quadriceps strength, symmetric leg symmetry index on a battery of functional tests and PROs as compared to the non-deflate group. Specific Aim 2: Compare whether maintaining BFR cuff inflation or deflating between exercises results in reduced pain, improved exercise tolerance, and patient-reports outcomes (PRO) after MPFL or ACL reconstruction. Hypothesis 2: Subjects in the deflated BFR protocol group will report significantly less pain and greater exercise tolerance during exercise with significantly improved knee related PRO scores.Detailed DescriptionSubjects will be aged 13-40 male or female patient following MPFL or ACL reconstruction. Baseline Assessment at PT Evaluation will included knee AROM and AAROM Heel slide with strap, Knee edema measured in cm difference Involved to Non-involved at supra and mid patellar levels, subjects ability to SLR Yes/No in brace, Patient reported outcome measure (PRO's) to include LEFS, Brief Resiliency scale, MPFL - Norwich Patellar instability, ACL 2000 IKDC Subjective Knee Evaluation Form questionnaires. Pain assessment to include current, minimal and maximal pain levels past 24 hours. Patient are randomized into 1 of 2 groups: Group 1 will deflate between BFR exercises, Group 2 will not deflate between BFR exercises. Both groups will receive the same standard care same during their first 2 weeks of post-op rehabilitation. BFR will be added to their rehabilitation care starting at week 3 for 2x/week x 10. There are 4 core BFR exercises that will be progressed every 2 weeks. Final Assessment- Strength and Functional Testing at 24th visit or 12 weeks post-op (if missed appointments) to include bilateral Knee AROM and edema assessments, PRO's: LEFS, Brief Resiliency scale, MPFL Norwich Patellar instability, ACL 2000 IKDC Subjective Knee Evaluation Form, Functional assessment to include for involved adn uninvolved leg: Isometric Quad strength measurement at 90 degrees of knee flexion, Isometric Hip Abduction strength measurement, Y balance maximum anterior reach, Max reps 6" Forward step-down, max core strength assessments, and ability in-line jog.</t>
  </si>
  <si>
    <t>LNCT05426954</t>
  </si>
  <si>
    <t>https://clinicaltrials.gov/study/NCT05426954</t>
  </si>
  <si>
    <t>https://www.embase.com/search/results?subaction=viewrecord&amp;id=LNCT05426954&amp;from=export</t>
  </si>
  <si>
    <t>Hoogeslag R.A.G., Huis In 't Veld R., Brouwer R.W., de Graaff F., Verdonschot N.</t>
  </si>
  <si>
    <t>(Hoogeslag R.A.G.; de Graaff F.) Centre for Orthopaedic Surgery and Sports Medicine OCON, Hengelo, Netherlands. , (Huis In 't Veld R.) Department of Orthopaedic Surgery, Martini Hospital, Groningen, Netherlands. , (Brouwer R.W.) University of Twente, Strategic Business Development, Techmed Centre, Enschede, Netherlands. , (Verdonschot N.) Department of Biomechanical Engineering, Faculty of Engineering Technology, University of Twente, Enschede, Netherlands. , (Verdonschot N.) Radboud University Medical Centre, Radboud Institute for Health Sciences, Orthopaedic Research Laboratory, Nijmegen, Netherlands.</t>
  </si>
  <si>
    <t>The American journal of sports medicine (2022) 50:7 (1779-1787). Date of Publication: 1 Jun 2022</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</si>
  <si>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â‰¥91.6 versus â‰¥88.2; LSIh, â‰¥95.1 versus â‰¥90.7; LSIj, â‰¥94.2 versus â‰¥97.6;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</si>
  <si>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L637902920</t>
  </si>
  <si>
    <t>http://dx.doi.org/10.1177/03635465221090527</t>
  </si>
  <si>
    <t>https://www.embase.com/search/results?subaction=viewrecord&amp;id=L637902920&amp;from=export</t>
  </si>
  <si>
    <t>https://catalyst.library.jhu.edu/openurl/01JHU_INST/01JHU_INST:JHU?sid=EMBASE&amp;sid=EMBASE&amp;issn=15523365&amp;id=doi:10.1177%2F03635465221090527&amp;atitle=Acute+Anterior+Cruciate+Ligament+Rupture%3A+Repair+or+Reconstruction%3F+Five-Year+Results+of+a+Randomized+Controlled+Clinical+Trial&amp;stitle=Am+J+Sports+Med&amp;title=The+American+journal+of+sports+medicine&amp;volume=50&amp;issue=7&amp;spage=1779&amp;epage=1787&amp;aulast=Hoogeslag&amp;aufirst=Roy+A+G&amp;auinit=R.A.G.&amp;aufull=Hoogeslag+R.A.G.&amp;coden=&amp;isbn=&amp;pages=1779-1787&amp;date=2022&amp;auinit1=R&amp;auinitm=A.G.</t>
  </si>
  <si>
    <t>Clinical and MRI Evaluation of ACL Reconstruction Results in Adolescents With Follow-up at Least 3 Years.</t>
  </si>
  <si>
    <t>clinicaltrials.gov (2021). Date of Publication: 17 Dec 2021</t>
  </si>
  <si>
    <t>Brief SummaryIn this retrospective research results of ACL reconstruction in adolescent will be evaluated. As we know ACL ruptures become more frequent and more often operated these days. According to literature the results in patients younger than 20 years old are worse. Therefore clinical and MRI evaluation will be performed. The aim of the study is to assess subjective and objective functional outcome of ACL reconstruction with follow-up at least 3 years. MRI scans will be evaluated to highlight any early signs of osteoarthritis and describe graft morphology. IKDC, KOOS scales will be utilised for subjective evaluation. Clinical tests such as Lachman's, pivot shift, Appley's along with anterior tibial shift measurement with digital arthrometer for objective assessment will be also performed. Additionally isokinetic tests will be performed in two speeds of 60 and 180 deg/s. Most of important isokinetic parameters such as peak torque, torque in 30 deg, time to peak torque, peak torque to body weight both for quadriceps and hamstrings will be measured . Preliminary group of patients consists of 150 cases with follow-up at least 3 years, operated in age 12-17 years. All cases available for the study will be assessed with methodology above. Dedicated statistical test will be utilised to evaluate the results.</t>
  </si>
  <si>
    <t>LNCT05180123</t>
  </si>
  <si>
    <t>https://clinicaltrials.gov/study/NCT05180123</t>
  </si>
  <si>
    <t>https://www.embase.com/search/results?subaction=viewrecord&amp;id=LNCT05180123&amp;from=export</t>
  </si>
  <si>
    <t>Ogrodzka-Ciechanowicz K., GÅ‚Ä…b G., Åšlusarski J., GÄ…dek A.</t>
  </si>
  <si>
    <t>(Ogrodzka-Ciechanowicz K., katarzynaogrodzka@wp.pl; GÅ‚Ä…b G.) Institute of Clinical Rehabilitation, Faculty of Motor Rehabilitation, University of Physical Education in Krakow, Al. Jana Pawla II 78, Krakow, Poland. , (Åšlusarski J.; GÄ…dek A.) Trauma and Orthopaedics Clinical Department, University Hospital in Krakow, Krakow, Poland. , (GÄ…dek A.) Department of Orthopaedics and Physiotherapy at Jagiellonian University Collegium Medicum, Krakow, Poland.</t>
  </si>
  <si>
    <t>K. Ogrodzka-Ciechanowicz, Institute of Clinical Rehabilitation, Faculty of Motor Rehabilitation, University of Physical Education in Krakow, Al. Jana Pawla II 78, Krakow, Poland. Email: katarzynaogrodzka@wp.pl</t>
  </si>
  <si>
    <t>BMC Musculoskeletal Disorders (2021) 22:1 Article Number: 975. Date of Publication: 1 Dec 2021</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</si>
  <si>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21â€“50,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</si>
  <si>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L2014280556</t>
  </si>
  <si>
    <t>http://dx.doi.org/10.1186/s12891-021-04862-w</t>
  </si>
  <si>
    <t>https://www.embase.com/search/results?subaction=viewrecord&amp;id=L2014280556&amp;from=export</t>
  </si>
  <si>
    <t>https://catalyst.library.jhu.edu/openurl/01JHU_INST/01JHU_INST:JHU?sid=EMBASE&amp;sid=EMBASE&amp;issn=14712474&amp;id=doi:10.1186%2Fs12891-021-04862-w&amp;atitle=Quadriceps+muscle+strength+recovery+with+the+use+of+high+tone+power+therapy+after+anterior+cruciate+ligament+reconstruction%3A+a+randomized+controlled+trial&amp;stitle=BMC+Musculoskelet.+Disord.&amp;title=BMC+Musculoskeletal+Disorders&amp;volume=22&amp;issue=1&amp;spage=&amp;epage=&amp;aulast=Ogrodzka-Ciechanowicz&amp;aufirst=Katarzyna&amp;auinit=K.&amp;aufull=Ogrodzka-Ciechanowicz+K.&amp;coden=&amp;isbn=&amp;pages=-&amp;date=2021&amp;auinit1=K&amp;auinitm=</t>
  </si>
  <si>
    <t>Minshull C., Gallacher P., Roberts S., Barnett A., Kuiper J.H., Bailey A.</t>
  </si>
  <si>
    <t>(Minshull C., minshullc@hotmail.com; Gallacher P.; Roberts S.; Barnett A.; Kuiper J.H.; Bailey A.) Research Department, RJAH Orthopaedic Hospital NHS Foundation Trust, Oswestry, United Kingdom. , (Minshull C., minshullc@hotmail.com) Nottingham, United Kingdom. , (Kuiper J.H.) School of Pharmacy and Bioengineering, Keele University, Keele, Staffordshire, ST5 5BG, UK</t>
  </si>
  <si>
    <t>European journal of applied physiology (2021) 121:12 (3551-3559). Date of Publication: 1 Dec 2021</t>
  </si>
  <si>
    <t>European journal of applied physiology</t>
  </si>
  <si>
    <t>1439-6327 (electronic)</t>
  </si>
  <si>
    <t>PURPOSE: To investigate the effects of cross-education (CE) exercise on strength and performance at 10 and 24 weeks post anterior cruciate ligament (ACL) surgery. METHODS: Design: randomised controlled trial. N = 44 ACL-reconstruction patients, randomly-allocated into: CE: strength training of the non-operative limb, or CON: sham exercise of upper limb stretching. Each patient underwent standardised ACL rehabilitation, plus 8 weeks of thrice weekly CE or CON, commencing at 2 weeks post surgery. The primary outcome was quadriceps peak force (QPF) of the ACL-reconstructed limb at 10 weeks post surgery. Secondary measures were hamstrings peak force (HPF), rate of force development (RFD) and International Knee Documentation Committee score (IKDC) at 10 and 24 weeks; QPF and hop for distance (HOP) at 24 weeks post surgery. RESULTS: CE significantly attenuated the decline in QPF of the ACL-reconstructed limb at 10 weeks compared to CON (16.6% decrease vs. 32.0%, respectively); that advantage was not retained at 24 weeks. A training effect was observed in the trained limb for HPF and QPF, which was retained at 24 weeks. No significant differences were observed for IKDC, HOP, RFD, or HPF of the reconstructed limb. Inter-limb symmetry (ILS) ranged from 0.78 to 0.89 and was not significantly different between groups. CONCLUSION: High-intensity CE strength training attenuated the post-operative decline in QPF and should be considered in early-phase ACL rehabilitation. ILS data showed good symmetry, but it masked significantly inferior performance between groups and should be used with caution. TRIAL REGISTRATION NUMBER: NCT02722876.</t>
  </si>
  <si>
    <t>ClinicalTrials.gov (NCT02722876)</t>
  </si>
  <si>
    <t>L636185080</t>
  </si>
  <si>
    <t>http://dx.doi.org/10.1007/s00421-021-04812-3</t>
  </si>
  <si>
    <t>https://www.embase.com/search/results?subaction=viewrecord&amp;id=L636185080&amp;from=export</t>
  </si>
  <si>
    <t>https://catalyst.library.jhu.edu/openurl/01JHU_INST/01JHU_INST:JHU?sid=EMBASE&amp;sid=EMBASE&amp;issn=14396327&amp;id=doi:10.1007%2Fs00421-021-04812-3&amp;atitle=Contralateral+strength+training+attenuates+muscle+performance+loss+following+anterior+cruciate+ligament+%28ACL%29+reconstruction%3A+a+randomised-controlled+trial&amp;stitle=Eur+J+Appl+Physiol&amp;title=European+journal+of+applied+physiology&amp;volume=121&amp;issue=12&amp;spage=3551&amp;epage=3559&amp;aulast=Minshull&amp;aufirst=Claire&amp;auinit=C.&amp;aufull=Minshull+C.&amp;coden=&amp;isbn=&amp;pages=3551-3559&amp;date=2021&amp;auinit1=C&amp;auinitm=</t>
  </si>
  <si>
    <t>A Double-Blinded, Randomized-Controlled-Trial to Investigate the Effect of Pulsed Electromagnetic Field (PEMF) for Patients With Quadriceps Weakness After Anterior Cruciate Ligament Reconstruction (ACLR)</t>
  </si>
  <si>
    <t>clinicaltrials.gov (2021). Date of Publication: 23 Nov 2021</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</si>
  <si>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</si>
  <si>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LNCT05184023</t>
  </si>
  <si>
    <t>https://clinicaltrials.gov/study/NCT05184023</t>
  </si>
  <si>
    <t>https://www.embase.com/search/results?subaction=viewrecord&amp;id=LNCT05184023&amp;from=export</t>
  </si>
  <si>
    <t>Irrgang J.J., Tashman S., Patterson C.G., Musahl V., West R., Oostdyk A., Galvin B., Poploski K., Fu F.H.</t>
  </si>
  <si>
    <t>(Irrgang J.J., jirrgang@pitt.edu; Patterson C.G.; Poploski K.) Department of Physical Therapy, School of Health and Rehabilitation Sciences, University of Pittsburgh, Bridgeside Point 1, PA, Suite 210100 Technology Drive, Pittsburgh, United States. , (Irrgang J.J., jirrgang@pitt.edu; Musahl V.; Fu F.H.) Department of Orthopaedic Surgery, School of Medicine, University of Pittsburgh, PA, Pittsburgh, United States. , (Tashman S.) Steadman Philippon Research Institute, CO, Vail, United States. , (Musahl V.; Oostdyk A.; Galvin B.; Fu F.H.) UPMC Freddie Fu Sports Medicine, Center, Pittsburgh, PA, USA, (West R.) Inova Sports Medicine, VA, Fairfax, United States.</t>
  </si>
  <si>
    <t>Knee surgery, sports traumatology, arthroscopy : official journal of the ESSKA (2021) 29:8 (2665-2675). Date of Publication: 1 Aug 2021</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</si>
  <si>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mm.Level 2.</t>
  </si>
  <si>
    <t>L635005770</t>
  </si>
  <si>
    <t>http://dx.doi.org/10.1007/s00167-021-06585-w</t>
  </si>
  <si>
    <t>https://www.embase.com/search/results?subaction=viewrecord&amp;id=L635005770&amp;from=export</t>
  </si>
  <si>
    <t>https://catalyst.library.jhu.edu/openurl/01JHU_INST/01JHU_INST:JHU?sid=EMBASE&amp;sid=EMBASE&amp;issn=14337347&amp;id=doi:10.1007%2Fs00167-021-06585-w&amp;atitle=Anatomic+single+vs.+double-bundle+ACL+reconstruction%3A+a+randomized+clinical+trial-Part+1%3A+clinical+outcomes&amp;stitle=Knee+Surg+Sports+Traumatol+Arthrosc&amp;title=Knee+surgery%2C+sports+traumatology%2C+arthroscopy+%3A+official+journal+of+the+ESSKA&amp;volume=29&amp;issue=8&amp;spage=2665&amp;epage=2675&amp;aulast=Irrgang&amp;aufirst=James+J.&amp;auinit=J.J.&amp;aufull=Irrgang+J.J.&amp;coden=&amp;isbn=&amp;pages=2665-2675&amp;date=2021&amp;auinit1=J&amp;auinitm=J</t>
  </si>
  <si>
    <t>Vidmar M.F., Baroni B.M., Michelin A.F., Mezzomo M., Lugokenski R., Pimentel G.L., Silva M.F.</t>
  </si>
  <si>
    <t>(Vidmar M.F.) Graduate Program in Rehabilitation Sciences, Universidade Federal de CiÃªncias da SaÃºde de Porto Alegre (UFCSPA), Porto Alegre, RS, Brazil; Hospital OrtopÃ©dico de Passo Fundo, Passo Fundo, RS, Brazil. Electronic address: marlonfrancys@msn.com, (Baroni B.M.; Silva M.F.) Graduate Program in Rehabilitation Sciences, Universidade Federal de CiÃªncias da SaÃºde de Porto Alegre (UFCSPA), RS, Porto Alegre, Brazil. , (Michelin A.F.; Mezzomo M.; Lugokenski R.) Hospital OrtopÃ©dico de Passo Fundo, RS, Passo Fundo, Brazil. , (Pimentel G.L.) Physical Therapy Department, Universidade de Passo Fundo (UPF), RS, Passo Fundo, Brazil.</t>
  </si>
  <si>
    <t>Brazilian journal of physical therapy (2020) 24:5 (424-432). Date of Publication: 1 Sep 2020</t>
  </si>
  <si>
    <t>Brazilian journal of physical therapy</t>
  </si>
  <si>
    <t>1809-9246 (electronic)</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</si>
  <si>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</si>
  <si>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L628940077</t>
  </si>
  <si>
    <t>http://dx.doi.org/10.1016/j.bjpt.2019.07.003</t>
  </si>
  <si>
    <t>https://www.embase.com/search/results?subaction=viewrecord&amp;id=L628940077&amp;from=export</t>
  </si>
  <si>
    <t>https://catalyst.library.jhu.edu/openurl/01JHU_INST/01JHU_INST:JHU?sid=EMBASE&amp;sid=EMBASE&amp;issn=18099246&amp;id=doi:10.1016%2Fj.bjpt.2019.07.003&amp;atitle=Isokinetic+eccentric+training+is+more+effective+than+constant+load+eccentric+training+for+quadriceps+rehabilitation+following+anterior+cruciate+ligament+reconstruction%3A+a+randomized+controlled+trial&amp;stitle=Braz+J+Phys+Ther&amp;title=Brazilian+journal+of+physical+therapy&amp;volume=24&amp;issue=5&amp;spage=424&amp;epage=432&amp;aulast=Vidmar&amp;aufirst=Marlon+Francys&amp;auinit=M.F.&amp;aufull=Vidmar+M.F.&amp;coden=&amp;isbn=&amp;pages=424-432&amp;date=2020&amp;auinit1=M&amp;auinitm=F</t>
  </si>
  <si>
    <t>Blood Flow Restriction Training in the Adolescent Patient: Effects on Muscle Strength and Overall Function Following Anterior Cruciate Ligament Reconstruction Surgery</t>
  </si>
  <si>
    <t>clinicaltrials.gov (2020). Date of Publication: 12 May 2020</t>
  </si>
  <si>
    <t>Brief SummaryThis is an interventional study that will examine effects of blood flow restriction training (BFRT) in adolescents aged 12-18 after anterior cruciate ligament reconstruction surgery (ACLR). The study aims to identify the effect of BFRT on quadriceps muscle strength and the patient's quality of life, and the overall tolerability of BFRT will be examined. Eight physical therapists at four sports medicine physical therapy (PT) sites will oversee all post-operative PT sessions. Subjects allocated to the BFR group will undergo BFRT, while control group will undergo standard-of-care ACLR rehabilitation, 2 days per week for 16 weeks. Measurements of strength, quality of life, and overall function will be completed at regular intervals.Detailed DescriptionBackground: Approximately 100,000 anterior cruciate ligament reconstructions (ACLR) are performed yearly, and rates of these surgeries in patients younger than 15 years increased by 924% between 1990 and 2007.1 Persistent strength deficits in quadriceps musculature following ACLR are common, even several months after surgery and despite targeted physical therapy to address atrophy.2 Quadriceps atrophy and weakness are associated with worse patient-reported outcomes (PROs),3 as well as altered movement strategies and increased risk of reinjury.4,6 Approximately 20% of teenagers returning to sports will sustain a second ACL injury in the first two years following their ACLR.5 Regaining neuromuscular activation and strength of the quadriceps muscle safely and efficiently is vital to full recovery, and current post-operative physical therapy regimens have not sufficiently addressed this impairment. Strength training models recommend utilizing high resistance workloads to produce substantial strength gains,7 yet those recovering from orthopedic surgery are unable to tolerate heavy loads.8 Supplementing low-load resistance training with blood flow restriction (BFR-LLT) produces significant muscle hypertrophy and strength gains previously only thought to be achievable with high-load resistance training.9 BFR-LLT uses a tourniquet around the leg (see Appendix 4) to partially occlude venous return and decrease blood supply to the muscle being exercised. The generation of a low-oxygen environment and increases in plasma growth hormone levels has been shown to promote recruitment of motor units, improve neuromuscular activation, and result in muscular hypertrophy and growth.10-13 In adults and the elderly, improvements in quadriceps strength have been reported in up to 19%14 and increased quadriceps cross-sectional area in up to 6-7% compared to controls.15-16 To date there have only been four high-level studies investigating effects of BFR training in patients following ACLR17-20 and limited conclusions can be drawn from these studies due to lack of consistent methodology (variable cuff pressures and treatment frequency). More high-quality research is needed to determine treatment parameters that produce the most optimal results from this intervention in ACLR patients. Additionally, there are no published randomized controlled trials investigating the effects of BFR training on exclusively adolescent patients. All high-quality BFR training research in patients following knee surgery have been conducted in late adolescent, young adult and adult populations.17-21 Therefore, the purpose of this study is to assess the effect of BFR-LLT on quadriceps strength and outcomes in adolescents following ACLR. This study's adolescent-specific focus provides a significant contribution to ACLR research, as younger patients demonstrate higher risk of reinjury.22-24 The results from this preliminary study will ultimately provide data to guide clinicians in optimizing quadriceps strength and utilizing BFR-LLT in younger post-operative ACLR patients. Protocol: This randomized clinical trial is an interdisciplinary project between the CHOA Sports Medicine Physical Therapy department and Children's Physician Group (CPG) Orthopedics. As part of standard-of-care, all patients who plan to undergo ACLR by CPG Orthopedics surgeons are referred for at least one PT visit pre-surgery, at which time baseline strength measurements are obtained by the treating physical therapist. Pre-surgery collection of patient-reported outcomes (PROs) is also standard of care for all patients undergoing ACLR. Skeletally mature male and female adolescents with closed growth plates documented by radiograph who undergo ACLR with quadriceps tendon autograft will be screened by a physical therapist (the PI or co-investigators) using medical notes. If a patient meets criteria and consents, he/she will be enrolled into the study during the first routine-of-care post-surgery PT visit and randomized to undergo standard post-surgery rehabilitation (control group) or standard post-surgery rehabilitation with supplemental BFR-LLT (test group) as demonstrated in Figure 1 and Appendix 1. Participants will be randomized using a computer program that will generate random numbers to assign participants to the test group or the control group. Participants will be asked to complete four PROs throughout the study (Lysholm, Pedi-IKDC, ACL-RSI, and AMCaMP - see Appendix 5.1-5.4). All relevant demographic, physiological, and radiographic data will be collected at the time of enrollment via RedCap, through a secure link. Data will be stored in a password-protected file on a secure Children's server and only the PI, Co-investigators, and research coordinator will have access. Eight physical therapists (all CITI-trained) at four sports medicine PT sites will oversee all post-surgery PT sessions. Participants in the control group will follow a standard post-surgery rehabilitation protocol starting 2-5 days post-surgery and attend two PT visits per week until 16 weeks post-surgery. The test group will follow an identical schedule of PT visits but will have two to three exercises in each session supplemented with BFR treatment using the Delfi Personalized Tourniquet System (PTS). Requirements of BFR treatment are described below. For both groups, each session will last approximately 60 minutes. Each of the exercises performed with BFR will last 5-18 minutes, with total time under occlusion not exceeding 30 minutes per visit. Participants undergoing BFR treatment will wear limb protection sleeves designed to help protect the skin beneath the cuff while the cuff is pressurized. Skin integrity will be monitored pre- and post-treatment at each session. If a study participant reports intolerable pain levels during BFR, the physical therapist will fully deflate the cuff and BFR treatment will cease for that PT session. Any adverse events will be reported to the PI and Co-I's within 24 hours. All required medical assessments will be promptly performed. If a participant is assigned to the test group, BFR intervention will end after 16 weeks post-surgery. Both the test group (BFR-LLT) and the control group will follow standard of care treatment after week 16 post-surgery, including the standard post-intervention functional testing at 24 weeks post-surgery. Participants will be asked to complete PROs periodically throughout the study as listed below under data collection. All physical examination measures and testing listed are standard of care for ACLR rehabilitation patients. Details on the regimen followed by both cohorts during the full 6-month rehabilitation are outlined in Appendix 1. BFR-LLT Treatment Requirements: The BFR-LLT intervention requires participants to follow the two requirements listed below, as the treatment parameter of 80% LOP has been widely recommended as the ideal amount of blood flow occlusion throughout the literature. Participants who do not meet these criteria will be excluded from the study but will continue to receive standard of care for post-surgery ACLR rehabilitation. 1. Tolerate a personalized pressure of 80% of the limb occlusion pressure (LOP) for 100% of all physical therapy visits in which BFR-LLT is utilized. 2. Tolerate BFR-LLT for a minimum of 20 visits over 16 weeks. Data Collection: 1. Demographic data (pre-surgery, which is standard of care) will include age, gender, race/ethnicity, height/weight, physeal status, and assessment of baseline activity level with the Tegner Activity Scale (see Appendix 6) 2. Patient-reported outcomes (PROs) (see Appendix 5) will include the Pediatric Internal Knee Documentation Committee (Pedi-IKDC, Appendix 5.1), Lysholm Score (Appendix 5.2), ACL-Return to Sport after Injury (ACL-RSI) confidence assessment (Appendix 5.3) and Adolescent Measure of Confidence and Musculoskeletal Performance (AMCaMP,Appendix 5.4). These PROs are collected pre-surgery as standard of care, but further collection and reassessment of PROs as described in Figure 2 will be unique to study participants. Surveys will be collected and recorded on iPads with direct entry into REDCap and in each participant's confidential EHR on the treatment note from the day the data was collected. All responses will be stored on a secure RedCap server through a secure link and data will be stored in a password-protected file on a secure Children's server. Only the PI and Co-I's will have access to the data.</t>
  </si>
  <si>
    <t>LNCT04390035</t>
  </si>
  <si>
    <t>https://clinicaltrials.gov/study/NCT04390035</t>
  </si>
  <si>
    <t>https://www.embase.com/search/results?subaction=viewrecord&amp;id=LNCT04390035&amp;from=export</t>
  </si>
  <si>
    <t>Zhang X., Huang H., Yu Y., Yang J., Liang Z., Chang C.</t>
  </si>
  <si>
    <t>(Zhang X.; Huang H.; Yu Y.; Yang J.; Liang Z.; Chang C.)</t>
  </si>
  <si>
    <t>Journal of rehabilitation medicine (2020) 52:3 (jrm00035). Date of Publication: 31 Mar 2020</t>
  </si>
  <si>
    <t>jrm00035</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</si>
  <si>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Â± 6.8%; p = 0.012), whereas there was no change in the isokinetic eccentric training group (3.7 Â±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</si>
  <si>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L631222232</t>
  </si>
  <si>
    <t>http://dx.doi.org/10.2340/16501977-2664</t>
  </si>
  <si>
    <t>https://www.embase.com/search/results?subaction=viewrecord&amp;id=L631222232&amp;from=export</t>
  </si>
  <si>
    <t>https://catalyst.library.jhu.edu/openurl/01JHU_INST/01JHU_INST:JHU?sid=EMBASE&amp;sid=EMBASE&amp;issn=16512081&amp;id=doi:10.2340%2F16501977-2664&amp;atitle=Impact+of+whey+protein+isolate+and+eccentric+training+on+quadriceps+mass+and+strength+in+patients+with+anterior+cruciate+ligament+rupture%3A+A+randomized+controlled+trial&amp;stitle=J+Rehabil+Med&amp;title=Journal+of+rehabilitation+medicine&amp;volume=52&amp;issue=3&amp;spage=jrm00035&amp;epage=&amp;aulast=Zhang&amp;aufirst=Xiaoyuan&amp;auinit=X.&amp;aufull=Zhang+X.&amp;coden=&amp;isbn=&amp;pages=jrm00035-&amp;date=2020&amp;auinit1=X&amp;auinitm=</t>
  </si>
  <si>
    <t>Blood Flow Restriction Therapy to Prevent Muscle Atrophy Following Anterior Cruciate Ligament Reconstruction</t>
  </si>
  <si>
    <t>clinicaltrials.gov (2018). Date of Publication: 20 Dec 2018</t>
  </si>
  <si>
    <t>Brief SummaryThis study is a prospective, double-blinded, randomized control trial examining the effect of blood flow restriction (BFR) therapy on reducing post-operative quadriceps atrophy in patients undergoing anterior cruciate ligament reconstruction (ACLR). Following ACLR, patients will undergo a rehabilitation protocol either w/ BFR therapy or sham BFR therapy.Detailed DescriptionPatients will be randomized to either BFR therapy or no BFR therapy. Randomization will be carried out using block randomization with blocks of 6. Those undergoing BFR therapy will have a Delfi Personalized Tourniquet System (PTS) cuff applied to the proximal thigh of their operative leg and inflated to 80% limb occlusive pressure (LOP) calculated by the Delfi PTS device during physical therapy (PT) sessions from day 2 after surgery through day 7 after surgery. Those in the no BFR group will have the Delfi PTS cuff applied to their proximal thigh with inflation of the tourniquet to minimal pressure only. BFR therapy will be administered by health care providers who have undergone training and certification for BFR therapy with the Delfi PTS device. Both groups will undergo the following PT regimen two times daily beginning on the day after the surgical procedure and lasting for 6 weeks post-operatively: * Quad sets = x1 min isometric hold, 30 sec off, 3 sets * Terminal knee extensions = 3x15, 30 sec rest or short arc quads sitting 1 x 30 + 3 x 15, 30 sec rest * Once range of motion (ROM) allows: Bike 10 mins, low to no resistance Each physical therapy visit will last approximately 60 minutes. During that time, there will be a total estimated time of 5-7 minutes during which the tourniquet cuff will be on the thigh, and the tourniquet will be inflated for a similar time period. The tourniquet will inflate for about 1 minute in order to find out the specific pressure for the patient's leg and then will remain inflated until exercises are completed, which should take 4-6 minutes. The cuff will then be deflated and is removed from the leg within about 30 seconds of being deflated. Patients will have MRI performed pre-operatively and at 6 weeks post-operatively with axial cuts to 50% femoral length above joint line. Quadriceps cross-sectional area will be measured by a blinded observer using MRI. Patients will have clinical measurements including thigh girth, Lachman test, knee joint range of motion, and knee joint swelling performed pre-operatively, at post-op day 1, post-op day 14, and 6 weeks post-operatively. All clinical measurements will be performed by a blinded observer. Additionally, patient reported pain level will be obtained at the same timepoints in which clinical measurements are performed using visual analog scale. In order to ensure there are no nerve injuries present in patients prior to undergoing application and inflation of thigh tourniquet, all patients in the study will have single shot adductor and/or sciatic nerve blocks to ensure 24 hour period without nerve block prior to initiation of BFR therapy. Patients included in the study cannot have a nerve block lasting longer than the day of surgery. To ensure no new nerve deficits are present, the patients will undergo a physical examination during morning rounding on post-operative day 1 to assess for new nerve deficits.</t>
  </si>
  <si>
    <t>LNCT03794570</t>
  </si>
  <si>
    <t>https://clinicaltrials.gov/study/NCT03794570</t>
  </si>
  <si>
    <t>https://www.embase.com/search/results?subaction=viewrecord&amp;id=LNCT03794570&amp;from=export</t>
  </si>
  <si>
    <t>Quadriceps Strength Deficits After a Femoral Nerve Block Versus Adductor Canal Block for Anterior Cruciate Ligament Reconstruction: A Prospective, Single-Blinded, Randomized Trial</t>
  </si>
  <si>
    <t>Runner R.P., Boden S.A., Godfrey W.S., Premkumar A., Samady H., Gottschalk M.B., Xerogeanes J.W.</t>
  </si>
  <si>
    <t>(Runner R.P.; Boden S.A.; Godfrey W.S.; Gottschalk M.B.; Xerogeanes J.W., jxeroge@emory.edu) Department of Orthopaedic Surgery, Emory University School of Medicine, Atlanta, GA, United States. , (Premkumar A.) Department of Orthopedic Surgery, Hospital for Special Surgery, New York, NY, United States. , (Samady H.) Department of Anesthesiology, Emory University School of Medicine, Atlanta, GA, United States.</t>
  </si>
  <si>
    <t>J.W. Xerogeanes, Department of Orthopaedic Surgery, Emory University School of Medicine, 1968 Hawks Lane, Atlanta, GA, United States. Email: jxeroge@emory.edu</t>
  </si>
  <si>
    <t>Orthopaedic Journal of Sports Medicine (2018) 6:9. Date of Publication: 1 Sep 2018</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</si>
  <si>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Â± 1.0 hours for the FNB group and 15.5 Â± 1.2 hours for the ACB group (P =.134). The mean extension torque at 60 deg/s increased significantly for both the ACB (53.7% Â± 3.4% to 68.3% Â± 2.9%; P =.008) and the FNB (53.3% Â± 3.3% to 68.5% Â±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</si>
  <si>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fentanyl (437-38-7), hydromorphone (466-99-9, 71-68-1), oxycodone (124-90-3, 76-42-6), ropivacaine (84057-95-4)</t>
  </si>
  <si>
    <t>ClinicalTrials.gov (NCT02604550)</t>
  </si>
  <si>
    <t>L624184736</t>
  </si>
  <si>
    <t>10.1177/2325967118797990</t>
  </si>
  <si>
    <t>http://dx.doi.org/10.1177/2325967118797990</t>
  </si>
  <si>
    <t>https://www.embase.com/search/results?subaction=viewrecord&amp;id=L624184736&amp;from=export</t>
  </si>
  <si>
    <t>https://catalyst.library.jhu.edu/openurl/01JHU_INST/01JHU_INST:JHU?sid=EMBASE&amp;sid=EMBASE&amp;issn=23259671&amp;id=doi:10.1177%2F2325967118797990&amp;atitle=Quadriceps+Strength+Deficits+After+a+Femoral+Nerve+Block+Versus+Adductor+Canal+Block+for+Anterior+Cruciate+Ligament+Reconstruction%3A+A+Prospective%2C+Single-Blinded%2C+Randomized+Trial&amp;stitle=Orthop.+J.+Sports+Med.&amp;title=Orthopaedic+Journal+of+Sports+Medicine&amp;volume=6&amp;issue=9&amp;spage=&amp;epage=&amp;aulast=Runner&amp;aufirst=Robert+P.&amp;auinit=R.P.&amp;aufull=Runner+R.P.&amp;coden=&amp;isbn=&amp;pages=-&amp;date=2018&amp;auinit1=R&amp;auinitm=P</t>
  </si>
  <si>
    <t>Effects of preoperative isokinetic eccentric training and whey protein isolate supplement on quadriceps strength and knee function in patients with anterior cruciate ligament rupture</t>
  </si>
  <si>
    <t>Zhang X., Huang H., Yang J., Yu Y., Zhang D., Chang C.</t>
  </si>
  <si>
    <t>(Zhang X.; Huang H.; Yang J.; Yu Y.; Zhang D.; Chang C., changcuiqing@126.com) Institute of Sports Medicine, Peking University Third Hospital, Beijing, China.</t>
  </si>
  <si>
    <t>C. Chang, Institute of Sports Medicine, Peking University Third Hospital, Beijing, China. Email: changcuiqing@126.com</t>
  </si>
  <si>
    <t>Acta Academiae Medicinae Sinicae (2017) 39:6 (792-799). Date of Publication: 20 Dec 2017</t>
  </si>
  <si>
    <t>Acta Academiae Medicinae Sinicae</t>
  </si>
  <si>
    <t>1000-503X</t>
  </si>
  <si>
    <t>Chinese Academy of Medical Sciences</t>
  </si>
  <si>
    <t>Objective To explore the effect of preoperative isokinetic eccentric training with or not whey protein isolate supplement before operation on lower limb muscle strength and knee function in patients with anterior cruciate ligament (ACL) rupture. Methods A total of 22 male volunteers aged 18-40 years with ACL rupture were recruited in outpatient service. With randomized block design, subjects were randomly assigned to isokinetic eccentric training (IE) group and isokinetic eccentric training with whey protein isolate supplement (IE + WPI) group. The IE group received isokinetic eccentric training of the injured limb on an isokinetic dyna-mometer under the guidance of physiatrist in laboratory before operation. There were 3-4 sets per day with 8-10 repetitions for each set, twice a week, with at least one day between sessions. The IE + WPI group were supplied with whey protein isolate 22 g per day on the basis of isokinetic eccentric training, taking breakfast or 30-60 minutes after the training. The intervention lasted for 6 weeks. Isokinetic muscle strength of limbs, the function and laxity of knee, the circumferences of thigh and knee, and the body composition were measured before and after the treatment. Results Compared with baseline, the peak torque (PT) of isokinetic-eccentric contraction (IE group; 41. 0%, P =0. 018 ; IE+ WPI group: 46. 7%, P =0. 008) and the concentric contraction (IE group: 29. 6%, P = 0. 018 ; IE + WPI group: 38.9%, P = 0. 038) of quadriceps in the two training groups significantly increased after isokinetic eccentric training. The Lysholm score increased significantly in IE + WPI group compared with baseline (P = 0. 018). Conclusions Isokinetic eccentric training before operation for ACL rupture patients can increase the strength of quadriceps and improve the function of knees. Protein isolate supplement can improve such effect.</t>
  </si>
  <si>
    <t>L622869866</t>
  </si>
  <si>
    <t>10.3881/j.issn.1000-503X.2017.06.010</t>
  </si>
  <si>
    <t>http://dx.doi.org/10.3881/j.issn.1000-503X.2017.06.010</t>
  </si>
  <si>
    <t>https://www.embase.com/search/results?subaction=viewrecord&amp;id=L622869866&amp;from=export</t>
  </si>
  <si>
    <t>https://catalyst.library.jhu.edu/openurl/01JHU_INST/01JHU_INST:JHU?sid=EMBASE&amp;sid=EMBASE&amp;issn=1000503X&amp;id=doi:10.3881%2Fj.issn.1000-503X.2017.06.010&amp;atitle=Effects+of+preoperative+isokinetic+eccentric+training+and+whey+protein+isolate+supplement+on+quadriceps+strength+and+knee+function+in+patients+with+anterior+cruciate+ligament+rupture&amp;stitle=Acta+Acad.+Med.+Sin.&amp;title=Acta+Academiae+Medicinae+Sinicae&amp;volume=39&amp;issue=6&amp;spage=792&amp;epage=799&amp;aulast=Zhang&amp;aufirst=Xiaoyuan&amp;auinit=X.&amp;aufull=Zhang+X.&amp;coden=&amp;isbn=&amp;pages=792-799&amp;date=2017&amp;auinit1=X&amp;auinitm=</t>
  </si>
  <si>
    <t>Arundale A.J.H., Cummer K., Capin J.J., Zarzycki R., Snyder-Mackler L.</t>
  </si>
  <si>
    <t>(Arundale A.J.H., arundale@udel.edu; Cummer K.; Capin J.J.; Zarzycki R.; Snyder-Mackler L.) Biomechanics and Movement Science Program, University of Delaware, 540 South College Avenue, Newark, DE, United States. , (Cummer K.) Pima Medical Institute, Seattle, WA, United States. , (Snyder-Mackler L.) Department of Physical Therapy, University of Delaware, Newark, DE, United States.</t>
  </si>
  <si>
    <t>A.J.H. Arundale, Biomechanics and Movement Science Program, University of Delaware, 540 South College Avenue, Newark, DE, United States. Email: arundale@udel.edu</t>
  </si>
  <si>
    <t>Clinical Orthopaedics and Related Research (2017) 475:10 (2523-2534). Date of Publication: 1 Oct 2017</t>
  </si>
  <si>
    <t>Clinical Orthopaedics and Related Research</t>
  </si>
  <si>
    <t>1528-1132 (electronic),0009-921X</t>
  </si>
  <si>
    <t>Springer New York LLC, agents@lww.com</t>
  </si>
  <si>
    <t>Background: Athletes often are cleared to return to activities 6 months after anterior cruciate ligament (ACL) reconstruction; however, knee function measures continue to improve up to 2 years after surgery. Interventions beyond standard care may facilitate successful return to preinjury activities and improve functional outcomes. Perturbation training has been used in nonoperative ACL injury and preoperative ACL reconstruction rehabilitation, but has not been examined in postoperative ACL reconstruction rehabilitation, specifically return to sport rehabilitation. Questions/Purposes: The purpose of this study was to determine whether there were differences at 1 and 2 years after ACL reconstruction between the male SAP (strengthening, agility, and secondary prevention) and SAP+PERT (SAP protocol with the addition of perturbation training) groups with respect to (1) quadriceps strength and single-legged hop limb symmetry; (2) patient-reported knee outcome scores; (3) the proportion who achieve self-reported normal knee function; and (4) the time from surgery to passing return to sport criteria. Methods: Forty men who had completed ACL reconstruction rehabilitation and met enrollment criteria (3â€“9 months after ACL reconstruction, &gt; 80% quadriceps strength limb symmetry, no pain, full ROM, minimal effusion) were randomized into the SAP or SAP+PERT groups of the Anterior Cruciate Ligament-Specialised Post-Operative Return to Sports trial (ACL-SPORTS), a single-blind randomized clinical study of secondary prevention and return to sport. Quadriceps strength, single-legged hopping, the International Knee Documentation Committee (IKDC) 2000 subjective knee form, Knee Injury and Osteoarthritis Outcome Score (KOOS)-sports and recreation, and KOOS-quality-of-life subscales were collected 1 and 2 years after surgery by investigators blind to group. Athletes were categorized as having normal or abnormal knee function at each time point based on IKDC score, and the time until athletes passed strict return-to-sport criteria was also recorded. T-tests, chi square tests, and analyses of variance were used to identify differences between the treatment groups over time. Results: There were no differences between groups for quadriceps symmetry (1 year: SAP = 101% Â± 14%, SAP+PERT = 101% Â± 14%; 2 years: SAP = 103% Â± 11%, SAP+PERT = 98% Â± 14%; mean differences between groups at 1 year: 0.4 [âˆ’9.0 to 9.8], 2 years = 4.5 [âˆ’4.3 to 13.1]; mean difference between 1 and 2 years: SAP = âˆ’1.0 [âˆ’8.6 to 6.6], SAP+PERT = 3.0 [âˆ’4.3 to 10.3], p = 0.45) or single-legged hop test limb symmetry. There were no clinically meaningful differences for any patient-reported outcome measures. There was no difference in the proportion of athletes in each group who achieved normal knee function at 1 year (SAP 14 of 19, SAP+PERT 18 of 20, odds ratio 0.31 [0.5â€“19.0]; p = 0.18); however, the SAP+PERT group had fewer athletes with normal knee function at 2 years (SAP 17 of 17, SAP+PERT 14 of 19, p = 0.03). There were no differences between groups in the time to pass return to sport criteria (SAP = 325 Â± 199 days, SAP+PERT = 233 Â± 77 days; mean difference 92 [âˆ’9 to 192], p = 0.09). Conclusions: This randomized trial found few differences between an ACL rehabilitation program consisting of strengthening, agility, and secondary prevention and one consisting of those elements as well as perturbation training. In the absence of clinically meaningful differences between groups in knee function and self-reported outcomes measures, the results indicate that perturbation training may not contribute additional benefit to the strengthening, agility, and secondary prevention base of the ACL-SPORTS training program. Level of Evidence: Level II, therapeutic study.</t>
  </si>
  <si>
    <t>L614533518</t>
  </si>
  <si>
    <t>http://dx.doi.org/10.1007/s11999-017-5280-2</t>
  </si>
  <si>
    <t>https://www.embase.com/search/results?subaction=viewrecord&amp;id=L614533518&amp;from=export</t>
  </si>
  <si>
    <t>https://catalyst.library.jhu.edu/openurl/01JHU_INST/01JHU_INST:JHU?sid=EMBASE&amp;sid=EMBASE&amp;issn=15281132&amp;id=doi:10.1007%2Fs11999-017-5280-2&amp;atitle=Report+of+the+Clinical+and+Functional+Primary+Outcomes+in+Men+of+the+ACL-SPORTS+Trial%3A+Similar+Outcomes+in+Men+Receiving+Secondary+Prevention+With+and+Without+Perturbation+Training+1+and+2+Years+After+ACL+Reconstruction&amp;stitle=Clin.+Orthop.+Relat.+Res.&amp;title=Clinical+Orthopaedics+and+Related+Research&amp;volume=475&amp;issue=10&amp;spage=2523&amp;epage=2534&amp;aulast=Arundale&amp;aufirst=Amelia+J.+H.&amp;auinit=A.J.H.&amp;aufull=Arundale+A.J.H.&amp;coden=CORTB&amp;isbn=&amp;pages=2523-2534&amp;date=2017&amp;auinit1=A&amp;auinitm=J.H.</t>
  </si>
  <si>
    <t>Chmielewski T.L., George S.Z., Tillman S.M., Moser M.W., Lentz T.A., Indelicato P.A., Trumble T.N., Shuster J.J., Cicuttini F.M., Leeuwenburgh C.</t>
  </si>
  <si>
    <t>(Chmielewski T.L., terese.chmielewski@tria.com) Department of Physical Therapy, University of Florida, Gainesville, Florida, USA TRIA Orthopaedic Center, Bloomington, Minnesota, USA, (George S.Z.) Department of Physical Therapy, University of Florida, Gainesville, Florida, USA, (Tillman S.M.; Lentz T.A.) UF Health Rehab Center at the Orthopaedics and Sports Medicine Institute, Gainesville, Florida, USA, (Moser M.W.; Indelicato P.A.) Department of Orthopaedics &amp; Rehabilitation, University of Florida, Gainesville, Florida, USA, (Trumble T.N.) Veterinary Population Medicine, University of Minnesota, Minneapolis, Minnesota, USA, (Shuster J.J.) Department of Health Outcomes and Policy, University of Florida, Gainesville, Florida, USA, (Cicuttini F.M.) School of Public Health and Preventive Medicine, Monash University, Melbourne, Australia, (Leeuwenburgh C.) Institute on Aging, University of Florida, Gainesville, Florida, USA</t>
  </si>
  <si>
    <t>The American journal of sports medicine (2016) 44:3 (609-617). Date of Publication: 1 Mar 2016</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</si>
  <si>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factor-Î±),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Â± SD: low-intensity group, 28.7 Â± 185.5 ng/mL; high-intensity group, -200.6 Â±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</si>
  <si>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ClinicalTrials.gov (NCT01851655)</t>
  </si>
  <si>
    <t>L615995431</t>
  </si>
  <si>
    <t>http://dx.doi.org/10.1177/0363546515620583</t>
  </si>
  <si>
    <t>https://www.embase.com/search/results?subaction=viewrecord&amp;id=L615995431&amp;from=export</t>
  </si>
  <si>
    <t>https://catalyst.library.jhu.edu/openurl/01JHU_INST/01JHU_INST:JHU?sid=EMBASE&amp;sid=EMBASE&amp;issn=15523365&amp;id=doi:10.1177%2F0363546515620583&amp;atitle=Low-+Versus+High-Intensity+Plyometric+Exercise+During+Rehabilitation+After+Anterior+Cruciate+Ligament+Reconstruction&amp;stitle=Am+J+Sports+Med&amp;title=The+American+journal+of+sports+medicine&amp;volume=44&amp;issue=3&amp;spage=609&amp;epage=617&amp;aulast=Chmielewski&amp;aufirst=Terese+L.&amp;auinit=T.L.&amp;aufull=Chmielewski+T.L.&amp;coden=&amp;isbn=&amp;pages=609-617&amp;date=2016&amp;auinit1=T&amp;auinitm=L</t>
  </si>
  <si>
    <t>Ouyang X., Hong S.D., Xin F., Wang L., Yang X.W., Wang J.R., Wang Q., Cui W.D., Zhang A.J., Zhao Z.X.</t>
  </si>
  <si>
    <t>(Ouyang X.; Hong S.D.; Xin F.; Wang L.; Yang X.W.; Wang J.R.) Department of Orthopedics, Affiliated Hospital of Jiangsu University, Xuzhou Third Hospital, Xuzhou, China. , (Wang Q.; Cui W.D.) Department of Orthopedics, First Affiliated Hospital of Nanjing Medical University, Nanjing, China. , (Zhang A.J., zaj165@126.com) Department of Plastic Surgery, Affiliated Hospital of Xuzhou Medical College, Xuzhou, China. , (Zhao Z.X., zhaozexue2012@163.com) Department of Orthopaedics, Nanjing Medical University, Huaian First PeoplÃ©s Hospital, Huaian, China.</t>
  </si>
  <si>
    <t>A.J. Zhang, Department of Plastic Surgery, Affiliated Hospital of Xuzhou Medical College, Xuzhou, China. Email: zaj165@126.com</t>
  </si>
  <si>
    <t>European Review for Medical and Pharmacological Sciences (2016) 20:2 (214-219). Date of Publication: 2016</t>
  </si>
  <si>
    <t>European Review for Medical and Pharmacological Sciences</t>
  </si>
  <si>
    <t>1128-3602</t>
  </si>
  <si>
    <t>Verduci Editore, g.lombardi@verduci.it</t>
  </si>
  <si>
    <t>OBJECTIVE: To compare and analyze the clinical effects of arthroscopic therapy and drug therapy in treating anterior cruciate ligament (ACL) rupture with secondary osteoarthritis (OA). PATIENTS AND METHODS: A total of 68 patients that were diagnosed as ACL rupture with secondary OA in our hospital from February 2014 to February 2015 were enrolled in our study. All of the patients were randomly divided into control group (n = 30) and observation group (n = 38) according to the order of admission. The patients in the control group were given analgesic, anti-inflammatory drugs + functional rehabilitation training whereas the patients in the observation group were given ACL reconstruction + OA debridement and functional rehabilitation training under arthroscopy. RESULTS: The success rate of the observation group was 92.1%. After 3-month follow-up, the clinical total effective rate of the observation group was significantly higher than that of the control group, the prevalence of complications in the observation group was significantly lower than in the control group, and differences were statistically significant (p &lt; 0.05). Lysholm scale scoring of observation group was significantly higher than of the control group, modified McGill pain scale score was significantly lower than that of the control group, and differences were statistically significant (p &lt; 0.05). Quadriceps muscle peak torque, average power, and the optimal single work at 60Â°/s, 120Â°/s, and 180Â°/s were significantly higher than those of the control group, and differences were statistically significant (p &lt; 0.05). CONCLUSIONS: Arthroscopic operative therapy was safe and effective for the treatment of ACL with secondary OA. Compared with drug therapy, it can significantly improve the movement function of the knee joint, so it was worthy of clinical application.</t>
  </si>
  <si>
    <t>L615179745</t>
  </si>
  <si>
    <t>https://www.embase.com/search/results?subaction=viewrecord&amp;id=L615179745&amp;from=export</t>
  </si>
  <si>
    <t>https://catalyst.library.jhu.edu/openurl/01JHU_INST/01JHU_INST:JHU?sid=EMBASE&amp;sid=EMBASE&amp;issn=11283602&amp;id=doi:&amp;atitle=The+curative+efficacy+of+arthroscopic+therapy+in+treating+anterior+cruciate+ligament+rupture+with+secondary+osteoarthritis&amp;stitle=Eur.+Rev.+Med.+Pharmacol.+Sci.&amp;title=European+Review+for+Medical+and+Pharmacological+Sciences&amp;volume=20&amp;issue=2&amp;spage=214&amp;epage=219&amp;aulast=Ouyang&amp;aufirst=X.&amp;auinit=X.&amp;aufull=Ouyang+X.&amp;coden=RESFD&amp;isbn=&amp;pages=214-219&amp;date=2016&amp;auinit1=X&amp;auinitm=</t>
  </si>
  <si>
    <t>Dynamic Stability of the ACL Deficient Knee - a Prospective Cohort Study</t>
  </si>
  <si>
    <t>clinicaltrials.gov (2008). Date of Publication: 9 Jun 2008</t>
  </si>
  <si>
    <t>Brief SummaryThe study that is registered in ClinicalTrials is a part study of an overall study with the title 'Dynamic stability of the ACL-injured knee'. The aim of the overall study is to prospectively follow a cohort of newly injured patients with total rupture of the anterior cruciate ligament in the knee, in order to document results from different rehabilitation regimes after the injury. The title of the part study is 'Neuromuscular changes in ACL-deficient individuals before and after an intensive perturbation training program. A case-control study.' The aims of the part study are: 1. To describe muscle activation patterns, joint angles and forces during gait and one-legged hop in newly injured ACL-deficient individuals before and after execution of an intensive training program consisting of either perturbation training or conventional balance- and stability training 2. To describe eventual changes between the two groups that may indicate superiority of either one of the methods The study will include 25 subjects in each group. The intervention consists of two different rehabilitation protocols for neuromuscular training. Subjects will be tested in a biomechanical laboratory before and after intervention, with use of 3D camera systems, force plates and electromyographic measurements (EMG). Main outcomes are eventual differences in muscle activation patterns, joint angles and forces during selected phases of walking and one-legged hopping. Secondary outcomes of interest are self-assessment of knee function, isokinetic strength and functional one-legged hop tests. Status: Inclusion to the main study started in January 2007. Data collection for the case-control part study will take place in 2008-2009. The part study study should be finished in 2010, where results will be included in a PhD dissertation. The PhD student responsible, Ingrid Eitzen, is enrolled in the Doctoral program at the Faculty of Medicine, University of Oslo. She is employed at Orthopaedic Centre, Ullevaal University Hospital and part of The Norwegian Research Center for Active Rehabilitation (NAR). The project is included in the NAR research program. In addition, the overall study is organized as a formalized collaboration with the University of Delaware, US, where they also will follow a cohort of 150 subjects.Detailed DescriptionThe study 'Dynamic stability of the ACL-injured knee' is carried out as part of a formalized research collaboration between the University of Delaware, US, and NAR, Orthopaedic Centre, Ullevaal University Hospital, Norway. The project is funded by National Institutes of Health. 150 patients, both men and women, aged between 13-55 years, will over a three year-period be enrolled in the study. Follow-up time is 2 years. A part-study will have a case-control design and include 50 of the patients. In Norway, approximately 4000 persons rupture their anterior cruciate ligament (ACL)per year. The majority of these individuals are relatively young people, engaged in various physical activities. Most ACL-ruptures occur within pivoting sports like soccer, team handball, floorball, basketball and volleyball, but also within racket sports, ice-hockey, dance/gymnastics and alpine skiing. A ruptured ACL is a serious injury for the individual, who often experiences exclusion form both work, leisure activities and sports for potentially a long period of time. A considerable number of the patients will not be able to return to their pre-injury activity level, and many will also experience long time consequences, the most serious of these being development of knee osteoarthritis(OA). The function of the injured knee varies considerably among patients with a torn ACL. Some are able to stabilize their knees even during demanding activities and sports, while others experience frequent episodes of giving way, also following daily activities. Currently, there is little consensus regarding the optimal rehabilitation program following ACL injury and/or criteria for ACL-reconstruction. But, whether managed operatively or non-operatively, a full return to pre-injury activities after ACL rupture is always dependent on the development of dynamic knee stability. In the past 10-15 years, a test battery consisting of standardised and validated tests for screening and classification of newly injured ACL-patients has been developed. The test battery includes four different functional one-legged hop tests, two questionnaires on knee function and self-evaluation of knee status in the form of a global rating. The questionnaires included are The Knee Outcome Survey - Activities of Daily Living (KOS-ADL), and The International Knee Documentation Subjective Knee Form (IKDC 2000). In addition, we measure the laxity between the tibia and femur with KT1000, register eventual number of episodes of giving way and perform isokinetic strength measurements of the quadriceps and hamstrings muscles with a Biodex6000 system. Based on these tests, all newly diagnosed patients with an ACL-rupture may be classified according to whether they have good or poor dynamic stability. Those with 80% or more performance on the injured leg compared to the non-injured leg on all hop tests, who score 80 or more in KOS-ADL, who rate themselves to a score of at least 60 on the global rating and have experienced maximum one episode of giving way, are categorized as potential copers. Those who score below these limits and/or have experienced two or more episodes of giving way are categorized as non-copers. In Norway, approximately 50% of all ACL-injured individuals go through reconstructive surgery. The optimal time to decide whether surgery is the best treatment option or not is highly individual, but recent research has demonstrated that the functional status of the knee at the time of eventual surgery is more important than the time span since the date of injury. Reconstructive surgery will to a large degree re-establish the mechanical stability of the knee, but has not been proven to provide sufficient dynamical stability or make the patient able to return to his/hers pre-injury activity level. It can at present time neither be documented that reconstructive ACL-surgery reduces the risk of later development of knee OA. Several questions remain that will affect the development of effective rehabilitation programs for patients after ACL rupture. Validated practice guidelines for patients after ACL injury that discriminate between surgical and non-surgical candidates, lead to a return to pre-injury activities, and protect future joint health have not been reported. The case-control part study will aim specifically to investigate the effectiveness of two different protocols for neuromuscular training, with before- and after intervention data collection in a biomechanical laboratory. Results from the overall study (inclusive the part study) will allow us to extend our previous findings and will provide information that is needed to identify and treat individuals with ACL rupture across the spectrum of compensation strategies. Follow-up during the project includes * Functional one-legged hop tests * Instrumental measurement of knee laxity (KT1000) * Isokinetic strength testing of the quadriceps and hamstrings muscles * Biomechanical analyses of gait and one-legged hops in the Motion Analysis Laboratory at the Norwegian University of Sport Sciences * Self-assessment of knee function in the form of global rating</t>
  </si>
  <si>
    <t>LNCT00696319</t>
  </si>
  <si>
    <t>https://clinicaltrials.gov/study/NCT00696319</t>
  </si>
  <si>
    <t>https://www.embase.com/search/results?subaction=viewrecord&amp;id=LNCT00696319&amp;from=export</t>
  </si>
  <si>
    <t>Effects of traditional Chinese medicine and rehabilitation training on knee joint function after anterior cruciate ligament reconstruction in arthroscopy</t>
  </si>
  <si>
    <t>Liang Y., Zhang S.-M., Hu Y., Zhang H.-W., Yuan R.-X.</t>
  </si>
  <si>
    <t>(Liang Y.; Zhang S.-M.; Hu Y.; Zhang H.-W.; Yuan R.-X.) Department of Sports Trauma, Sichuan Provincial Orthopaedic Hospital, Chengdu 610041 Sichuan Province, China.</t>
  </si>
  <si>
    <t>Y. Liang, Department of Sports Trauma, Sichuan Provincial Orthopaedic Hospital, Chengdu 610041 Sichuan Province, China.</t>
  </si>
  <si>
    <t>Chinese Journal of Clinical Rehabilitation (2006) 10:27 (6-10). Date of Publication: 20 Jul 2006</t>
  </si>
  <si>
    <t>Chinese Journal of Clinical Rehabilitation</t>
  </si>
  <si>
    <t>1671-5926</t>
  </si>
  <si>
    <t>Aim: To observe the outcome of traditional Chinese medicine (TCM) combining with rehabilitation training impacting the early postoperative pain, swelling and knee joint function in patients who accept arthroscopic anterior cruciate ligament (ACL) reconstruction, and compare with the effect of single rehabilitation training. Methods: 1 A total of 32 inpatients (19 males and 13 females) who signed informed consents and underwent arthroscopic ACL reconstruction at the Department of Knee Joint, Sichuan Provincial Orthopaedic Hospital were randomly divided into two groups (A, B) by single blind method, 16 patients in each. 2 In group A, the patients accepted TCM combining rehabilitation training. On the operation day, routine rehabilitation training was conducted in toes, ankle joint and quadriceps femoris contraction, continuously until post-operative half a year, and the intensity increased with the time extended. Between 8 hours and 7 weeks post-operative, TCM treatment was performed along with rehabilitation training: The patients administrated orally knee injury prescription 1# (coptis root, baikal skullcap root, dandelion, achyranthes root, common turmeric root and rhubarb), one preparation daily and three times taken, during 8 hours and 2-4 days post-operative. On post-operative 2 days, finger massage was done in Zusanli (ST 36), Yanglingquan (GB 34) and Sanyinjiao (SP 6), 15 seconds for each acupoint, 10 minutes daily. On post-operative 3 days, the finger massage and electro-acupuncture (EA, 80 times per minute) was conducted alternatively in Zusanli (ST 36), Yinglingquan (GB 34) and Yinlingquan (SP 9). On post-operative 4 days, finger massage was performed in Zusanli (ST 36), Yanglingquan (GB 34), Yinlingquan (SP 9), Sanyinjiao (SP 6) and Chengshan (BL 57) along with the same EA treatment as above. During the post-operative 5-11 days, the patients administrated orally knee injury prescription 2# (peach seed, Chinese angelica, red peony root, medicinal cyathula root, akebia stem, teasel root, common bletilla tuber, nutgrass galingale rhizome and coptis root), one preparation taken by three times daily, continuously for 7 days, meanwhile the finger massage and EA treatment was done same as above. From the post-operative 12 days, the patients administrated orally knee injury prescription 2# (membranous milkvetch root, tangshen, earth-worm, akabia stem, desertliving cistanche, dodder seed, Chinese taxillue twig, obscured homalomena rhizome and flowering quince fruit), one preparation taken by three times daily. Meanwhile the finger massage and EA treatment was done same as above. At post-operative 4-7 weeks, TCM was given symptomatically combining with finger massage. At post-operative 8-12 weeks, exercise muscle power was strengthened. During post-operative 12 weeks and 6 months, all the functions recovered. In group B: The patients accepted only rehabilitation training after operation, identically as above. 3 At pre-operation, and 3, 7, 14 days and 3 months after operation, the pain at rest and activity were evaluated quantifiedly by visual analogue scale (VAS), indolent as 0 and server painful as 10.0. 4 At post-operative 3, 4 and 17 days, the swelling was detected with knee joint cavity puncture and fluid extracts. 5 At pre-operation, and post-operative 7, 14 days and 3 months, the range of motion (ROM) was measured with joint angle finder. At pre-operation and 3 months after operation, knee joint function was assayed with Lysholm scale by interrogative mode (totally 100 scores, and the higher score indicated the better knee function). 6 The symptom, knee joint function and motor function of patients were detected with International Knee Documentation Committee (IKDC)-2000 scale (integral score method, 1 on behalf of minimum level of function or most severe symptom, and the higher score implied the better function and the slighter symptom). 7 The difference of measurement data were compared with t test. Results: Totally 32 patients of ACL reconstruction were involved into the result analysis. 1 At post-operative 3 and 7 days, the pain levels of patients at rest and activity in group A were obviously lower than group B (P &lt; 0.05), especially at post-operative 14 days, the pain at activity obviously decreased (P &lt; 0.05). 2 At post-operative 7 days and 3 months, ROM in group A was prior to that of group B (P &lt; 0.05). 3 The difference of the knee swelling at the 3, 7 and 14 days after operation was not significant between two groups (P &gt; 0.05). 4 The scores of knee joint function were markedly higher at 3 months after operation than at pre-operation, and also markedly higher in group A than in group B (P &lt; 0.05), 5 There was insignificant difference in the scores of IKDC-2000 scale between two groups at pre-operation and post-operative 3 months (P &gt; 0.05). Conclusion: After ACL reconstruction, early TCM combing rehabilitation training can relieve the postoperative pain and swelling of patients, and improve the function of knee joint, with the prior effect compared with single rehabilitation training.</t>
  </si>
  <si>
    <t>turmeric (8024-37-1)</t>
  </si>
  <si>
    <t>L44249535</t>
  </si>
  <si>
    <t>https://www.embase.com/search/results?subaction=viewrecord&amp;id=L44249535&amp;from=export</t>
  </si>
  <si>
    <t>https://catalyst.library.jhu.edu/openurl/01JHU_INST/01JHU_INST:JHU?sid=EMBASE&amp;sid=EMBASE&amp;issn=16715926&amp;id=doi:&amp;atitle=Effects+of+traditional+Chinese+medicine+and+rehabilitation+training+on+knee+joint+function+after+anterior+cruciate+ligament+reconstruction+in+arthroscopy&amp;stitle=Chin.+J.+Clin.+Rehab.&amp;title=Chinese+Journal+of+Clinical+Rehabilitation&amp;volume=10&amp;issue=27&amp;spage=6&amp;epage=10&amp;aulast=Liang&amp;aufirst=Yi&amp;auinit=Y.&amp;aufull=Liang+Y.&amp;coden=ZLKHA&amp;isbn=&amp;pages=6-10&amp;date=2006&amp;auinit1=Y&amp;auinitm=</t>
  </si>
  <si>
    <t>Electromyostimulation under early functional rehabilitation after replacement of the anterior cruciate ligament</t>
  </si>
  <si>
    <t>Die elektromyostimulation bei frÃ¼hfunktioneller rehabilitation nach vorderer kreuzbandersatzplastik</t>
  </si>
  <si>
    <t>Staub A., Ullmann P., Winker K.H.</t>
  </si>
  <si>
    <t>(Staub A.; Ullmann P.; Winker K.H.) Klinik fÃ¼r Unfall-Hand, HELIOS-Klinikum Erfurt, NordhÃ¤user StraÃŸe 74, 99089 Erfurt, Germany.</t>
  </si>
  <si>
    <t>A. Staub, Klinik fÃ¼r Unfall-Hand, HELIOS-Klinikum Erfurt, NordhÃ¤user StraÃŸe 74, 99089 Erfurt, Germany. Email: khwinker@erfurt.helios-kliniken.de</t>
  </si>
  <si>
    <t>Aktuelle Traumatologie (2002) 32:2 (65-72). Date of Publication: 2002</t>
  </si>
  <si>
    <t>A prospective randomized study examined the benefits of electromyostimulation treatment in early functional rehabilitation after plasty of the anterior cruciate ligament (surgery according to BrÃ¼ckner, in outpatients). The control group (48 patients) underwent an early exercise rehabilitation program while the experimental group (44 patients) additionally applied at home electrostimulation of M. quadriceps for 3 Ã— 30 min a day from the third postoperative day for a period of 4 weeks. When returning the devices the treatment times were recorded with the result that 68% of the patients had stimulated the muscle for a period less than half of the prescribed time. The follow-up examinations (Cybex strength test, Fastex coordination test, thigh girth, Lysholm score) provided comparable results for both groups which altogether could be assessed as good. As electrostimulation treatment did not render any detectable benefit, it cannot be generally recommended for comparable follow-up treatment schemes.</t>
  </si>
  <si>
    <t>L34516819</t>
  </si>
  <si>
    <t>10.1055/s-2002-25750</t>
  </si>
  <si>
    <t>http://dx.doi.org/10.1055/s-2002-25750</t>
  </si>
  <si>
    <t>https://www.embase.com/search/results?subaction=viewrecord&amp;id=L34516819&amp;from=export</t>
  </si>
  <si>
    <t>https://catalyst.library.jhu.edu/openurl/01JHU_INST/01JHU_INST:JHU?sid=EMBASE&amp;sid=EMBASE&amp;issn=00446173&amp;id=doi:10.1055%2Fs-2002-25750&amp;atitle=Electromyostimulation+under+early+functional+rehabilitation+after+replacement+of+the+anterior+cruciate+ligament&amp;stitle=Aktuel.+Traumatol.&amp;title=Aktuelle+Traumatologie&amp;volume=32&amp;issue=2&amp;spage=65&amp;epage=72&amp;aulast=Staub&amp;aufirst=A.&amp;auinit=A.&amp;aufull=Staub+A.&amp;coden=AKTRA&amp;isbn=&amp;pages=65-72&amp;date=2002&amp;auinit1=A&amp;auinitm=</t>
  </si>
  <si>
    <t>Tovin B.J., Wolf S.L., Greenfield B.H., Crouse J., Woodfin B.A.</t>
  </si>
  <si>
    <t>(Tovin B.J.; Wolf S.L.; Greenfield B.H.; Crouse J.; Woodfin B.A.) Physiotherapy Associates, 2770 Lenox Rd NE, Atlanta, GA 30324, United States.</t>
  </si>
  <si>
    <t>B.J. Tovin, Physiotherapy Associates, 2770 Lenox Rd NE, Atlanta, GA 30324, United States.</t>
  </si>
  <si>
    <t>Physical Therapy (1994) 74:8 (710-719). Date of Publication: 1994</t>
  </si>
  <si>
    <t>Physical Therapy</t>
  </si>
  <si>
    <t>0031-9023</t>
  </si>
  <si>
    <t>American Physical Therapy Association, 1111 North Fairfax Street, Alexandria, United States.</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</si>
  <si>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 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 articular ACL reconstructions.</t>
  </si>
  <si>
    <t>L24245113</t>
  </si>
  <si>
    <t>http://dx.doi.org/10.1093/ptj/74.8.710</t>
  </si>
  <si>
    <t>https://www.embase.com/search/results?subaction=viewrecord&amp;id=L24245113&amp;from=export</t>
  </si>
  <si>
    <t>https://catalyst.library.jhu.edu/openurl/01JHU_INST/01JHU_INST:JHU?sid=EMBASE&amp;sid=EMBASE&amp;issn=00319023&amp;id=doi:10.1093%2Fptj%2F74.8.710&amp;atitle=Comparison+of+the+effects+of+exercise+in+water+and+on+land+on+the+rehabilitation+of+patients+with+intra-articular+anterior+cruciate+ligament+reconstructions&amp;stitle=PHYS.+THER.&amp;title=Physical+Therapy&amp;volume=74&amp;issue=8&amp;spage=710&amp;epage=719&amp;aulast=Tovin&amp;aufirst=B.J.&amp;auinit=B.J.&amp;aufull=Tovin+B.J.&amp;coden=PTHEA&amp;isbn=&amp;pages=710-719&amp;date=1994&amp;auinit1=B&amp;auinitm=J</t>
  </si>
  <si>
    <t>Derotation brace and knee function in patients with anterior cruciate ligament tears</t>
  </si>
  <si>
    <t>Tegner Y., Lysholm J.</t>
  </si>
  <si>
    <t>(Tegner Y.; Lysholm J.) Department of Orthopaedic Surgery, University Hospital, S-581 85 Linkoping</t>
  </si>
  <si>
    <t>Department of Orthopaedic Surgery, University Hospital, S-581 85 Linkoping</t>
  </si>
  <si>
    <t>Arthroscopy (1985) 1:4 (264-267). Date of Publication: 1985</t>
  </si>
  <si>
    <t>In this article we have tested a ready-made brace to evaluate whether it could improve function in the anterior cruciate ligament injured patients. All patients had their full extent of injury mapped out at arthroscopy. We believe that arthroscopy before treatment for a torn anterior cruciate ligament injury is necessary in order to treat meniscus lesions that could interfere with the rehabilitation. In this study, 16 patients were unstable with a positive pivot-shift, and 16 patients were operated on and thus stable. All patients performed a performance test with and without the brace in a randomized order. Before the start of the investigation, we postulated that patients with a quadriceps atrophy who were unstable would improve their function with the derotation brace. We could not find any effects of the brace in this study. The brace did not significantly improve function in the group of patients who were unstable with a quadriceps atrophy. On the other hand, the brace did not impair function in the patients. We conclude that to be able to improve knee function in the unstable knee, other modes of treatment than bracing are necessary. Bracing should be seen as a complement to these other treatments.</t>
  </si>
  <si>
    <t>L16231321</t>
  </si>
  <si>
    <t>10.1016/S0749-8063(85)80095-5</t>
  </si>
  <si>
    <t>http://dx.doi.org/10.1016/S0749-8063(85)80095-5</t>
  </si>
  <si>
    <t>https://www.embase.com/search/results?subaction=viewrecord&amp;id=L16231321&amp;from=export</t>
  </si>
  <si>
    <t>https://catalyst.library.jhu.edu/openurl/01JHU_INST/01JHU_INST:JHU?sid=EMBASE&amp;sid=EMBASE&amp;issn=07498063&amp;id=doi:10.1016%2FS0749-8063%2885%2980095-5&amp;atitle=Derotation+brace+and+knee+function+in+patients+with+anterior+cruciate+ligament+tears&amp;stitle=ARTHROSCOPY&amp;title=Arthroscopy&amp;volume=1&amp;issue=4&amp;spage=264&amp;epage=267&amp;aulast=Tegner&amp;aufirst=Y.&amp;auinit=Y.&amp;aufull=Tegner+Y.&amp;coden=ARTHE&amp;isbn=&amp;pages=264-267&amp;date=1985&amp;auinit1=Y&amp;auinitm=</t>
  </si>
  <si>
    <t>Odensten M., Hamberg P., Nordin M., Lysholm J., Gillquist J.</t>
  </si>
  <si>
    <t>(Odensten M.; Hamberg P.; Nordin M.) Sports and Trauma Research Group, Department of Orthopaedic Surgery, University Hospital, S-581 85 Linkoping, (Lysholm J.; Gillquist J.)</t>
  </si>
  <si>
    <t>Clinical Orthopaedics and Related Research (1985) 198 (87-93). Date of Publication: 1985</t>
  </si>
  <si>
    <t>0009-921X</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</si>
  <si>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&lt;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inverval, however, the patients' functional performance seemed to be comparable in the two groups.</t>
  </si>
  <si>
    <t>L16248247</t>
  </si>
  <si>
    <t>https://www.embase.com/search/results?subaction=viewrecord&amp;id=L16248247&amp;from=export</t>
  </si>
  <si>
    <t>https://catalyst.library.jhu.edu/openurl/01JHU_INST/01JHU_INST:JHU?sid=EMBASE&amp;sid=EMBASE&amp;issn=0009921X&amp;id=doi:&amp;atitle=Surgical+or+conservative+treatment+of+the+acutely+torn+anterior+cruciate+ligament.+A+randomized+study+with+short-term+follow-up+observations&amp;stitle=CLIN.+ORTHOP.+RELAT.+RES.&amp;title=Clinical+Orthopaedics+and+Related+Research&amp;volume=198&amp;issue=&amp;spage=87&amp;epage=93&amp;aulast=Odensten&amp;aufirst=M.&amp;auinit=M.&amp;aufull=Odensten+M.&amp;coden=CORTB&amp;isbn=&amp;pages=87-93&amp;date=1985&amp;auinit1=M&amp;auinitm=</t>
  </si>
  <si>
    <t>A PROSPECTIVE STUDY ON THE FUNCTIONAL OUTCOMES OF PRIMARY ANTERIOR CRUCIATE LIGAMENT RECONSTRUCTION TREATED WITH PERONEUS LONGUS AUTOGRAFT</t>
  </si>
  <si>
    <t>Prasad K., Biradar R.K., Patil V.K., Kembhavi R., Prashant K., Khodnapur G.</t>
  </si>
  <si>
    <t>(Prasad K.; Biradar R.K., drravi782003@yahoo.co.in; Patil V.K.; Prashant K.; Khodnapur G.) Department of Orthopaedics, Shri BM Patil Medical College and Research Centre, Karnataka, Vijayapura, India. , (Kembhavi R.) Department of Orthopaedics, KVC Super Speciality Hospital, Karnataka, Mysore, India.</t>
  </si>
  <si>
    <t>R.K. Biradar, Department of Orthopaedics, Shri BM Patil Medical College and Research Centre, Karnataka, Vijayapura, India. Email: drravi782003@yahoo.co.in</t>
  </si>
  <si>
    <t>International Journal of Academic Medicine and Pharmacy (2024) 6:5 (477-481). Date of Publication: 2024</t>
  </si>
  <si>
    <t>International Journal of Academic Medicine and Pharmacy</t>
  </si>
  <si>
    <t>2687-5365 (electronic)</t>
  </si>
  <si>
    <t>Society for Healthcare and Research Development</t>
  </si>
  <si>
    <t>Background: Anterior cruciate ligament (ACL) injuries are common, especially among young, active individuals. While various autograft options exist for ACL reconstruction, each has associated drawbacks. The peroneus longus tendon has emerged as a promising alternative, but literature on its functional outcomes remains limited. The objective is to evaluate the functional outcomes of primary ACL reconstruction using peroneus longus tendon autograft. Materials and Methods: This prospective study included 31 patients who underwent ACL reconstruction with peroneus longus autograft at BLDE (Deemed to be University) Shri B. M. Patil Medical College, Hospital &amp; Research Centre from August 2022 to January 2024. Patients were followed up for 12-21 months. Functional outcomes were assessed using Lysholm and International Knee Documentation Committee (IKDC) scores preoperatively and at 6 and 12 months postoperatively. Return to pre-injury activity levels and complications were also evaluated. Result: The mean Lysholm score improved from 46.41 Â± 6.5 preoperatively to 96.61 Â± 3.22 at 12 months postoperatively. The mean IKDC score increased from 41.87 Â± 6.91 preoperatively to 91.12 Â± 6.86 at 12 months postoperatively. Both improvements were statistically significant (p &lt; 0.001). Twenty-eight patients (91%) returned to their pre-injury activity level, with 20 (64.5%) resuming sports activities. Minor complications were observed in 16.2% of cases, with no major complications requiring revision surgery. Conclusion: ACL reconstruction using peroneus longus tendon autograft demonstrates excellent functional outcomes, high rates of return to pre-injury activity levels, and a low complication rate. These findings suggest that peroneus longus autograft is a viable option for ACL reconstruction, particularly when traditional graft choices are less favorable.</t>
  </si>
  <si>
    <t>L2036218176</t>
  </si>
  <si>
    <t>10.47009/jamp.2024.6.5.90</t>
  </si>
  <si>
    <t>http://dx.doi.org/10.47009/jamp.2024.6.5.90</t>
  </si>
  <si>
    <t>https://www.embase.com/search/results?subaction=viewrecord&amp;id=L2036218176&amp;from=export</t>
  </si>
  <si>
    <t>https://catalyst.library.jhu.edu/openurl/01JHU_INST/01JHU_INST:JHU?sid=EMBASE&amp;sid=EMBASE&amp;issn=26875365&amp;id=doi:10.47009%2Fjamp.2024.6.5.90&amp;atitle=A+PROSPECTIVE+STUDY+ON+THE+FUNCTIONAL+OUTCOMES+OF+PRIMARY+ANTERIOR+CRUCIATE+LIGAMENT+RECONSTRUCTION+TREATED+WITH+PERONEUS+LONGUS+AUTOGRAFT&amp;stitle=Int.+J.+Acad.+Med.+Pharm.&amp;title=International+Journal+of+Academic+Medicine+and+Pharmacy&amp;volume=6&amp;issue=5&amp;spage=477&amp;epage=481&amp;aulast=Prasad&amp;aufirst=&amp;auinit=K.&amp;aufull=Prasad+K.&amp;coden=&amp;isbn=&amp;pages=477-481&amp;date=2024&amp;auinit1=K&amp;auinitm=</t>
  </si>
  <si>
    <t>Determining the Roles of the Anterior Cruciate Ligament, Posterolateral Corner, and Medial Collateral Ligament in Knee Hyperextension Using the Heel-Height Test</t>
  </si>
  <si>
    <t>Perry A.K., Knapik D.M., Gursoy S., Alter T.D., Clapp I.M., Verma N.N., LaPrade R.F., Chahla J.</t>
  </si>
  <si>
    <t>(Perry A.K.; Knapik D.M.; Gursoy S.; Alter T.D.; Clapp I.M.; Verma N.N.; Chahla J., jorge.chahla@rushortho.com) Midwest Orthopaedics at Rush, Rush University Medical Center, Chicago, IL, United States. , (LaPrade R.F.) Twin Cities Orthopedics, Edina, MN, United States.</t>
  </si>
  <si>
    <t>J. Chahla, Midwest Orthopaedics at Rush, Rush University Medical Center, Chicago, IL, United States. Email: jorge.chahla@rushortho.com</t>
  </si>
  <si>
    <t>Orthopaedic Journal of Sports Medicine (2022) 10:4. Date of Publication: 8 Apr 2022</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</si>
  <si>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12-NÂ·m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Â± 0.83â€“cm increase in heel height compared to the intact state. Significant increases in heel height occurred after all sectioned states, except the PFL sectioned state. Combined ACLâ€“posterolateral corner (PLC) injuries resulted in a 3.72 Â± 1.02â€“cm increase in heel height, and additional sectioning of the MCL resulted in a 4.73 Â± 1.35â€“cm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</si>
  <si>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L2015581725</t>
  </si>
  <si>
    <t>10.1177/23259671221086669</t>
  </si>
  <si>
    <t>http://dx.doi.org/10.1177/23259671221086669</t>
  </si>
  <si>
    <t>https://www.embase.com/search/results?subaction=viewrecord&amp;id=L2015581725&amp;from=export</t>
  </si>
  <si>
    <t>https://catalyst.library.jhu.edu/openurl/01JHU_INST/01JHU_INST:JHU?sid=EMBASE&amp;sid=EMBASE&amp;issn=23259671&amp;id=doi:10.1177%2F23259671221086669&amp;atitle=Determining+the+Roles+of+the+Anterior+Cruciate+Ligament%2C+Posterolateral+Corner%2C+and+Medial+Collateral+Ligament+in+Knee+Hyperextension+Using+the+Heel-Height+Test&amp;stitle=Orthop.+J.+Sports+Med.&amp;title=Orthopaedic+Journal+of+Sports+Medicine&amp;volume=10&amp;issue=4&amp;spage=&amp;epage=&amp;aulast=Perry&amp;aufirst=Allison+K.&amp;auinit=A.K.&amp;aufull=Perry+A.K.&amp;coden=&amp;isbn=&amp;pages=-&amp;date=2022&amp;auinit1=A&amp;auinitm=K</t>
  </si>
  <si>
    <t>Supplementary tibial fixation in anterior cruciate ligament reconstruction - Direct cortical fixation using spiked washer screw vs. post-tie using washer screw</t>
  </si>
  <si>
    <t>Noh J.H., Kyiung H.S., Yoon K.H., Roh Y.H.</t>
  </si>
  <si>
    <t>(Noh J.H.; Kyiung H.S.; Yoon K.H.; Roh Y.H.)</t>
  </si>
  <si>
    <t>Acta orthopaedica Belgica (2016) 82:2 (358-364). Date of Publication: 1 Aug 2016</t>
  </si>
  <si>
    <t>Acta orthopaedica Belgica</t>
  </si>
  <si>
    <t>0001-6462</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</si>
  <si>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 Therapeutic Level I ; Randomized controlled clinical trial.</t>
  </si>
  <si>
    <t>L616505617</t>
  </si>
  <si>
    <t>https://www.embase.com/search/results?subaction=viewrecord&amp;id=L616505617&amp;from=export</t>
  </si>
  <si>
    <t>https://catalyst.library.jhu.edu/openurl/01JHU_INST/01JHU_INST:JHU?sid=EMBASE&amp;sid=EMBASE&amp;issn=00016462&amp;id=doi:&amp;atitle=Supplementary+tibial+fixation+in+anterior+cruciate+ligament+reconstruction+-+Direct+cortical+fixation+using+spiked+washer+screw+vs.+post-tie+using+washer+screw&amp;stitle=Acta+Orthop+Belg&amp;title=Acta+orthopaedica+Belgica&amp;volume=82&amp;issue=2&amp;spage=358&amp;epage=364&amp;aulast=Noh&amp;aufirst=J.H.&amp;auinit=J.H.&amp;aufull=Noh+J.H.&amp;coden=&amp;isbn=&amp;pages=358-364&amp;date=2016&amp;auinit1=J&amp;auinitm=H</t>
  </si>
  <si>
    <t>Bone tunnel widening with autogenous bone plugs versus bioabsorbable interference screws for secondary fixation in ACL reconstruction</t>
  </si>
  <si>
    <t>Kim S.-J., Bae J.-H., Song S.-H., Lim H.-C.</t>
  </si>
  <si>
    <t>(Kim S.-J., sju627@hotmail.com; Song S.-H., ssclick@paran.com; Lim H.-C., lhc2455@paran.com) Korea University Medical Center, Guro Hospital, 80 Guro-dong, Guro-gu, Seoul 152-703, South Korea. , (Bae J.-H., osman@korea.ac.kr) Korea University Medical Center, Ansan Hospital, 516, Gojan-dong, Gyunggi-do 425-707, Seoul, South Korea.</t>
  </si>
  <si>
    <t>S.-J. Kim, Korea University Medical Center, Guro Hospital, 80 Guro-dong, Guro-gu, Seoul 152-703, South Korea. Email: sju627@hotmail.com</t>
  </si>
  <si>
    <t>Journal of Bone and Joint Surgery (2013) 95:2 (103-108). Date of Publication: 16 Jan 2013</t>
  </si>
  <si>
    <t>Background: Use of an autogenous bone plug for the tibial tunnel in anterior cruciate ligament (ACL) reconstruction has been advocated to achieve tendon-to-bone healing. Our hypothesis was that use of an autogenous bone plug, instead of a bioabsorbable interference screw, for secondary fixation of tendon allograft to the proximal part of the tibia would reduce the complication rate and tibial tunnel widening. Methods: We prospectively reviewed the cases of eighty-one patients (average age, 32.0 years) who had undergone ACL reconstruction with Achilles tendon allograft between 2000 and 2006. A bioabsorbable interference screw was used for the tibial tunnel in forty-one patients (group I). These patients were compared with forty patients in whom autogenous bone from the tibia had been used (group II). The two groups were assessed with use of the International Knee Documentation Committee (IKDC), Lysholm, and Tegner activity scores and with KT2000 arthrometer testing. The cross-sectional area perpendicular to the long axis of the tibial tunnel was calculated digitally with use of magnetic resonance imaging (MRI). Results: No significant differences were seen between the two groups with respect to IKDC, Lysholm, or Tegner activity scores or the results of laxity testing with arthrometry. A total of fourteen complications (34%) occurred in group I. In contrast, six complications (15%) were seen in group II (p = 0.046). The mean cross-sectional area enlargement was 38% in group I and 15% in group II (p = 0.017). Conclusions: The clinical results associated with bioabsorbable screws and bone plugs were not significantly different. Laxity evaluation demonstrated no significant differences between bioabsorbable screws and bone plugs. Compared with bioabsorbable interference screws, autogenous bone plugs reduced the complication rate and tibial tunnel widening without inducing instability. We believe that an autogenous bone plug for the tibial tunnel is a reasonable option in selected patients. Level of Evidence: Therapeutic Level II. See Instructions for Authors for a complete description of levels of evidence. Copyright Â© 2013 by the Journal of Bone and Joint Surgery, Incorporated.</t>
  </si>
  <si>
    <t>L368314404</t>
  </si>
  <si>
    <t>10.2106/JBJS.L.00356</t>
  </si>
  <si>
    <t>http://dx.doi.org/10.2106/JBJS.L.00356</t>
  </si>
  <si>
    <t>https://www.embase.com/search/results?subaction=viewrecord&amp;id=L368314404&amp;from=export</t>
  </si>
  <si>
    <t>https://catalyst.library.jhu.edu/openurl/01JHU_INST/01JHU_INST:JHU?sid=EMBASE&amp;sid=EMBASE&amp;issn=15351386&amp;id=doi:10.2106%2FJBJS.L.00356&amp;atitle=Bone+tunnel+widening+with+autogenous+bone+plugs+versus+bioabsorbable+interference+screws+for+secondary+fixation+in+ACL+reconstruction&amp;stitle=J.+Bone+Jt.+Surg.+Ser.+A&amp;title=Journal+of+Bone+and+Joint+Surgery&amp;volume=95&amp;issue=2&amp;spage=103&amp;epage=108&amp;aulast=Kim&amp;aufirst=Seung-Ju&amp;auinit=S.-J.&amp;aufull=Kim+S.-J.&amp;coden=JBJSA&amp;isbn=&amp;pages=103-108&amp;date=2013&amp;auinit1=S&amp;auinitm=-J</t>
  </si>
  <si>
    <t>Zhang, Q; Zhang, S; Cao, XC; Liu, LF; Liu, Y; Li, R</t>
  </si>
  <si>
    <t>Zhang, Qiang; Zhang, Shu; Cao, Xuecheng; Liu, Lifeng; Liu, Ya; Li, Rui</t>
  </si>
  <si>
    <t>KNEE SURGERY SPORTS TRAUMATOLOGY ARTHROSCOPY</t>
  </si>
  <si>
    <t>To investigate the effect of remnant preservation on tibial tunnel enlargement in a single-bundle anterior cruciate ligament (ACL) reconstruction with a hamstring autograft.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A 6.7 and 34.0 +/- A 8.9 % in the preserving- and removing-remnant groups, respectively (P = 0.0004). In the preserving-remnant group, the average Lysholm score increased from 60.3 +/- A 5.3 (51-69) to 93.0 +/- A 3.5 (88-100), and the side-to-side difference of the KT-1000 changed from 6.3 +/- A 0.9 (5.1-8.0) to 1.4 +/- A 0.6 (0.5-2.4) mm. In the removing-remnant group, the average Lysholm score increased from 58.7 +/- A 6.5 (48-71) to 91.1 +/- A 3.9 (85-100), and the side-to-side difference of the KT-1000 changed from 6.5 +/- A 0.8 (5.4-8.2) to 1.7 +/- A 0.6 (0.6-2.8) mm. It is confirmed that remnant preservation in ACL reconstruction can resist tibial tunnel enlargement but that this technique does not affect the short-term clinical outcome of ACL reconstruction. I.</t>
  </si>
  <si>
    <t>JAN</t>
  </si>
  <si>
    <t>WOS:000329241300022</t>
  </si>
  <si>
    <t>View Full Record in Web of Science</t>
  </si>
  <si>
    <t>Smith, PA; Cook, CS; Bley, JA</t>
  </si>
  <si>
    <t>Smith, Patrick A.; Cook, Corey S.; Bley, Jordan A.</t>
  </si>
  <si>
    <t>ARTHROSCOPY-THE JOURNAL OF ARTHROSCOPIC AND RELATED SURGERY</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</si>
  <si>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</si>
  <si>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JUN</t>
  </si>
  <si>
    <t>WOS:000539213300029</t>
  </si>
  <si>
    <t>Mutsuzaki, H; Kinugasa, T; Ikeda, K; Sakane, M</t>
  </si>
  <si>
    <t>Mutsuzaki, Hirotaka; Kinugasa, Tomonori; Ikeda, Kotaro; Sakane, Masataka</t>
  </si>
  <si>
    <t>Anatomic single-bundle anterior cruciate ligament reconstruction using a calcium phosphate-hybridized tendon graft: a randomized controlled trial with 2years of follow-up</t>
  </si>
  <si>
    <t>JOURNAL OF ORTHOPAEDIC SURGERY AND RESEARCH</t>
  </si>
  <si>
    <t>BackgroundTo improve tendon-to-bone healing in anterior cruciate ligament (ACL) reconstruction, a novel technique via calcium phosphate (CaP)-hybridized tendon graft using an alternate soaking process was developed. The purpose of this study was to evaluate the clinical results of anatomic single-bundle ACL reconstruction using the CaP-hybridized tendon graft with up to 2years follow-up, and compare the outcome with conventional ACL reconstruction and preoperative data.MethodsNinety patients who required anatomic single-bundle ACL reconstruction were randomized to undergo either the CaP-hybridized tendon graft method (CaP group, n=45) or the conventional method (conventional group, n=45). At 1 and 2years postoperatively, all patients were evaluated using KT-1000 arthrometry, pivot-shift test, International Knee Documentation Committee (IKDC) grade, Lysholm scale, and Tegner scale; at the same timepoints, bone tunnel enlargement was evaluated using computed tomography, and the tendon graft intensity was evaluated on magnetic resonance imaging. Tendon graft appearance was evaluated arthroscopically once after a period of up to 2years postoperatively. Cases of re-rupture and adverse events were recorded in both groups.ResultsIn both groups, the KT-1000 arthrometry, pivot-shift test, IKDC grade, and Lysholm scale results at 1 and 2years postoperatively were superior to preoperative data; these results did not significantly differ between groups at either timepoint. The rate of increase of the cross-sectional area of the femoral bone tunnel in the CaP group was smaller than that in the conventional group at 1year postoperatively. The other results did not significantly differ between the two groups at any timepoint. There were two cases of re-rupture in the CaP group, and six cases of re-rupture in the conventional group. There were no adverse events during follow-up in either group.ConclusionsAnatomic single-bundle ACL reconstruction using a CaP-hybridized tendon graft was safe, and resulted in improved clinical outcomes at 2years postoperatively compared with preoperative data; the outcomes were comparable with the conventional method. A longer follow-up is needed to clarify the clinical effects of the CaP-hybridized tendon graft in anatomic single-bundle ACL reconstruction.Trial registrationUMIN, UMIN000019788 Registered 14 November 2015Retrospectively registered.</t>
  </si>
  <si>
    <t>10.1186/s13018-018-1045-1</t>
  </si>
  <si>
    <t>http://dx.doi.org/10.1186/s13018-018-1045-1</t>
  </si>
  <si>
    <t>WOS:000454545400001</t>
  </si>
  <si>
    <t>Lund, B; Nielsen, T; Fauno, P; Christiansen, SE; Lind, M</t>
  </si>
  <si>
    <t>Lund, Bent; Nielsen, Torsten; Fauno, Peter; Christiansen, Svend Erik; Lind, Martin</t>
  </si>
  <si>
    <t>Is Quadriceps Tendon a Better Graft Choice Than Patellar Tendon? A Prospective Randomized Study</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</si>
  <si>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</si>
  <si>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MAY</t>
  </si>
  <si>
    <t>WOS:000334337700014</t>
  </si>
  <si>
    <t>Chahal, J; Whelan, DB; Hoit, G; Theodoropoulos, J; Ajrawat, P; Betsch, M; Docter, S; Dwyer, T</t>
  </si>
  <si>
    <t>Chahal, Jaskarndip; Whelan, Daniel B.; Hoit, Graeme; Theodoropoulos, John; Ajrawat, Prabjit; Betsch, Marcel; Docter, Shgufta; Dwyer, Tim</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</si>
  <si>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</si>
  <si>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</si>
  <si>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WOS:000829866200036</t>
  </si>
  <si>
    <t>Mohtadi, N; Chan, D; Barber, R; Paolucci, EO</t>
  </si>
  <si>
    <t>Mohtadi, Nicholas; Chan, Denise; Barber, Rhamona; Paolucci, Elizabeth Oddone</t>
  </si>
  <si>
    <t>CLINICAL JOURNAL OF SPORT MEDICINE</t>
  </si>
  <si>
    <t>Objective:To compare 3 anatomically positioned autografts for anterior cruciate ligament (ACL) reconstruction, by measuring patient-reported disease-specific quality of life at 2 years postoperatively.Design:Double-blinded, randomized clinical trial with intraoperative computer-generated treatment allocation. Patients and an independent trained evaluator were blinded.Setting:University-based orthopedic referral practice.Patients:Three hundred thirty patients (14-50 years; 183 male patients) with isolated ACL deficiency were equally randomized to: (1) patellar tendon, PT: 28.7 years (SD = 9.7); (2) quadruple-stranded hamstring tendon, HT: 28.5 years (SD = 9.9); and (3) double bundle using HT, DB: 28.3 years (SD = 9.8); 322 patients completed 2-year follow-up.Intervention:Anterior cruciate ligament reconstruction using PT, HT, or DB autografts.Main Outcome Measures:Measured at baseline, 1 and 2 years postoperativelyprimary: anterior cruciate ligament quality-of-life scores; secondary: International Knee Documentation Committee (IKDC) scores, KT-1000 arthrometer, pivot shift, range of motion, Tegner activity, Cincinnati Occupational Scale, and single-leg hop. Proportions of correct graft type guesses by the patients and evaluator assessed blinding effectiveness.Results:Baseline characteristics were not different. Anterior cruciate ligament quality-of-life scores increased over time for all groups (P = 0.001) but were not different at 2 years (P = 0.591): PT = 84.6 (SD = 16.6, 95% confidence interval [CI] = 81.4-87.8), HT = 82.5 (SD = 17.7, 95% CI = 79.2-85.9), and DB = 82.4 (SD = 17.5, 95% CI = 79.1-85.7). Two-year KT-1000 side-to-side differences (PT = 1.86 mm; HT = 2.97 mm; DB = 2.65 mm) were statistically significant between PT-HT (P = 0.002) and PT-DB (P = 0.044). The remaining secondary outcomes were not statistically different. Correct graft type guesses occurred 51% of the time for patients and 46% for the evaluator.Conclusions:Two-year disease-specific quality-of-life outcome was not different between the ACL reconstruction techniques. The PT reconstructions had significantly lower side-to-side differences on static stability measures. Patient and evaluator blinding was achieved.Level of Evidence:Level 1 (Therapeutic Studies).Clinical Relevance:This high-quality, large, double-blind randomized clinical trial (RCT) addresses the insufficient evidence in the literature comparing PT, single-bundle hamstring, and DB hamstring reconstructions for ACL rupture in adults. In addition to the clinical and functional results, this RCT uniquely reports on the disease-specific, patient-reported quality-of-life outcome at 2 years postoperatively.</t>
  </si>
  <si>
    <t>JUL</t>
  </si>
  <si>
    <t>WOS:000357492400003</t>
  </si>
  <si>
    <t>Bottoni, CR; Liddell, TR; Trainor, TJ; Freccero, DM; Lindell, KK</t>
  </si>
  <si>
    <t>Bottoni, Craig R.; Liddell, Travis R.; Trainor, Timothy J.; Freccero, David M.; Lindell, Kenneth K.</t>
  </si>
  <si>
    <t>Postoperative range of motion following anterior cruciate ligament reconstruction using autograft hamstrings - A prospective, randomized clinical trial of early versus delayed reconstructions</t>
  </si>
  <si>
    <t>AMERICAN JOURNAL OF SPORTS MEDICINE</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</si>
  <si>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 within 21days) or delayed (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( 34 acute, 35 delayed) with an average age of 27 years composed the study cohort. The mean time from injury to surgery was 9 days ( range, 2-17 days) for patients in the early group and 85 days (range, 42-192) for those in the delayed group. The average follow-up from surgery was 366 days (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</si>
  <si>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APR</t>
  </si>
  <si>
    <t>WOS:000254679500004</t>
  </si>
  <si>
    <t>Balasingam, S; Karikis, I; Rostgård-Christensen, L; Desai, N; Ahldén, M; Sernert, N; Kartus, J</t>
  </si>
  <si>
    <t>Balasingam, Sadesh; Karikis, Ioannis; Rostgard-Christensen, Lars; Desai, Neel; Ahlden, Mattias; Sernert, Ninni; Kartus, Juri</t>
  </si>
  <si>
    <t>Anatomic Double-Bundle Anterior Cruciate Ligament Reconstruction Is Not Superior to Anatomic Single-Bundle Reconstruction at 10-Year Follow-up: A Randomized Clinical Trial</t>
  </si>
  <si>
    <t>Background: The anatomic double-bundle (DB) technique is purported to be a superior technique due to its mimicking of the double-stranded anatomic formation of the anterior cruciate ligament (ACL). Previous studies with 2-, 5- and 10-year follow-up are conflicted as to whether this technique is superior to the previous gold standard method of ACL reconstruction, the anatomic single-bundle (SB) reconstruction. Purpose/Hypothesis: The aim of this prospective randomized study was to compare the outcomes of the anatomic DB technique and anatomic SB technique with independent drilling at 10 years after anterior cruciate ligament (ACL) reconstruction. We hypothesized that DB ACL reconstruction would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 procedures were performed anatomically by identifying the ACL footprint, using the anteromedial portal for femoral tunnel drilling, and utilizing interference screws for tibial and femoral fixation. One blinded observer examined the patients both preoperatively and at follow-up (median, 120 months [range, 112-134 months]). Multiple subjective and objective clinical evaluations were used to assess the outcomes. Radiographic assessments of osteoarthritis were performed using the Ahlback, Kellgren-Lawrence, and Fairbank classification systems early postoperatively and at the final follow-up. Results: Preoperatively, no differences were found between the study groups. Overall, 70 patients (67%; DB group: n = 39; SB group: n = 31) were available for analysis at 10-year follow-up. No significant difference could be shown between the groups in terms of the pivot-shift grade, knee laxity measurements using the KT-1000 arthrometer, manual Lachman grade, single-leg hop test result, range of motion measurements, Lysholm knee score, Tegner activity score, and Knee injury and Osteoarthritis Outcome Score (KOOS) score. Correspondingly, no differences were found between the groups regarding the presence of radiographic osteoarthritis at follow-up. Both groups improved at follow-up compared with preoperatively in terms of the pivot-shift grade, knee laxity measurements using the KT-1000 arthrometer, manual Lachman grade, Lysholm knee score, and KOOS score (P &lt; .05 [highest P value for any comparison]). Conclusion: The anatomic DB technique was not superior to the anatomic SB technique with independent drilling at 10-year follow-up in regard to objective and subjective measurements. As such, one could argue that there is no need for the continued use of the anatomic DB technique in an unselected population.</t>
  </si>
  <si>
    <t>NOV</t>
  </si>
  <si>
    <t>10.1177/03635465221128566</t>
  </si>
  <si>
    <t>http://dx.doi.org/10.1177/03635465221128566</t>
  </si>
  <si>
    <t>WOS:000871124700001</t>
  </si>
  <si>
    <t>Järvelä, T; Moisala, AS; Sihvonen, R; Järvelä, S; Kannus, P; Järvinen, M</t>
  </si>
  <si>
    <t>Jaervelae, Timo; Moisala, Anna-Stina; Sihvonen, Raine; Jaervelae, Sally; Kannus, Pekka; Jaervinen, Markku</t>
  </si>
  <si>
    <t>Double-bundle anterior cruciate ligament reconstruction using hamstring autografts and bioabsorbable interference screw fixation</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</si>
  <si>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</si>
  <si>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FEB</t>
  </si>
  <si>
    <t>WOS:000252663900009</t>
  </si>
  <si>
    <t>Ejerhed, L; Kartus, J; Sernert, N; Köhler, K; Karlsson, J</t>
  </si>
  <si>
    <t>Patellar tendon or semitendinosus tendon autografts for anterior cruciate ligament reconstruction?: A prospective randomized study with a two-year follow-up</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</si>
  <si>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</si>
  <si>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JAN-FEB</t>
  </si>
  <si>
    <t>http://dx.doi.org/10.1177/03635465030310011401</t>
  </si>
  <si>
    <t>WOS:000180473300004</t>
  </si>
  <si>
    <t>Sajovic, M; Strahovnik, A; Dernovsek, MZ; Skaza, K</t>
  </si>
  <si>
    <t>Sajovic, Matjaz; Strahovnik, Andrej; Dernovsek, Mojca Z.; Skaza, Katja</t>
  </si>
  <si>
    <t>Quality of Life and Clinical Outcome Comparison of Semitendinosus and Gracilis Tendon Versus Patellar Tendon Autografts for Anterior Cruciate Ligament Reconstruction An 11-Year Follow-up of a Randomized Controlled Trial</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</si>
  <si>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</si>
  <si>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OCT</t>
  </si>
  <si>
    <t>http://dx.doi.org/10.1177/0363546511411702</t>
  </si>
  <si>
    <t>WOS:000296287800021</t>
  </si>
  <si>
    <t>Koga, H; Muneta, T; Yagishita, K; Watanabe, T; Mochizuki, T; Horie, M; Nakamura, T; Otabe, K; Sekiya, I</t>
  </si>
  <si>
    <t>Koga, Hideyuki; Muneta, Takeshi; Yagishita, Kazuyoshi; Watanabe, Toshifumi; Mochizuki, Tomoyuki; Horie, Masafumi; Nakamura, Tomomasa; Otabe, Koji; Sekiya, Ichiro</t>
  </si>
  <si>
    <t>Mid- to Long-term Results of Single-Bundle Versus Double-Bundle Anterior Cruciate Ligament Reconstruction: Randomized Controlled Trial</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</si>
  <si>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t>
  </si>
  <si>
    <t>WOS:000347032400018</t>
  </si>
  <si>
    <t>Mutsuzaki, H; Kanamori, A; Ikeda, K; Hioki, S; Kinugasa, T; Sakane, M</t>
  </si>
  <si>
    <t>Mutsuzaki, Hirotaka; Kanamori, Akihiro; Ikeda, Kotaro; Hioki, Shigeru; Kinugasa, Tomonori; Sakane, Masataka</t>
  </si>
  <si>
    <t>Effect of Calcium Phosphate-Hybridized Tendon Graft in Anterior Cruciate Ligament Reconstruction A Randomized Controlled Trial</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</si>
  <si>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</si>
  <si>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AUG</t>
  </si>
  <si>
    <t>http://dx.doi.org/10.1177/0363546512449618</t>
  </si>
  <si>
    <t>WOS:000307175700012</t>
  </si>
  <si>
    <t>Hill, PF; Russell, VJ; Salmon, LJ; Pinczewski, LA</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</si>
  <si>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</si>
  <si>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WOS:000227923300011</t>
  </si>
  <si>
    <t>Matsumoto, A; Yoshiya, S; Muratsu, H; Yagi, M; Iwasaki, Y; Kurosaka, M; Kuroda, R</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</si>
  <si>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</si>
  <si>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WOS:000235006000006</t>
  </si>
  <si>
    <t>Nau, T; Lavoie, P; Duval, N</t>
  </si>
  <si>
    <t>A new generation of artificial ligaments in reconstruction of the anterior cruciate ligament - Two-year follow-up of a randomised trial</t>
  </si>
  <si>
    <t>JOURNAL OF BONE AND JOINT SURGERY-BRITISH VOLUME</t>
  </si>
  <si>
    <t>W 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</si>
  <si>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84B</t>
  </si>
  <si>
    <t>WOS:000175107000009</t>
  </si>
  <si>
    <t>Halinen, J; Lindahl, J; Hirvensalo, E; Santavirta, S</t>
  </si>
  <si>
    <t>Operative and nonoperative treatments of medial collateral ligament rupture with early anterior cruciate ligament reconstruction - A prospective randomized study</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</si>
  <si>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</si>
  <si>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WOS:000238727900011</t>
  </si>
  <si>
    <t>Holm, I; Oiestad, BE; Risberg, MA; Aune, AK</t>
  </si>
  <si>
    <t>Holm, Inger; Oiestad, Britt Elin; Risberg, May Arna; Aune, Arne Kristian</t>
  </si>
  <si>
    <t>No Difference in Knee Function or Prevalence of Osteoarthritis After Reconstruction of the Anterior Cruciate Ligament With 4-Strand Hamstring Autograft Versus Patellar Tendon-Bone Autograft A Randomized Study With 10-Year Follow-up</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</si>
  <si>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</si>
  <si>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MAR</t>
  </si>
  <si>
    <t>http://dx.doi.org/10.1177/0363546509350301</t>
  </si>
  <si>
    <t>WOS:000274803800002</t>
  </si>
  <si>
    <t>Gohil, S; Annear, PO; Breidahl, W</t>
  </si>
  <si>
    <t>Gohil, S.; Annear, P. O.; Breidahl, W.</t>
  </si>
  <si>
    <t>Anterior cruciate ligament reconstruction using autologous double hamstrings:: a comparison of standard versus minimal debridement techniques using MRI to assess revascularisation -: A randomised prospective study with a one-year follow-up</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</si>
  <si>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</si>
  <si>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SEP</t>
  </si>
  <si>
    <t>89B</t>
  </si>
  <si>
    <t>WOS:000249935300008</t>
  </si>
  <si>
    <t>Fauno, P; Kaalund, S</t>
  </si>
  <si>
    <t>Purpose: To compare the incidence of tunnel widening (TW) in patients undergoing anterior cruciate ligament (ACL) reconstruction with hamstring graft using either (group A) transfemoral fixation implant (Transfix; Arthrex, Naples, FL) and an interference screw (Arthrex) in the tibial tunnel or (group B) extracortical fixation (EndoButton; Smith &amp; Nephew Endoscopy, Andover, MA) in the femur and bicortical screw and washer distal to the tibial tunnel. Type of Study: Prospective randomized study. Methods: One hundred patients were included and randomized and 87 patients were assessed at a 1-year follow-up. The evaluation included standardized radiographs, KT-1000 data, International Knee Documentation Committee (IKDC) ratings, and Lysholm score. The diameter of the tunnel at the 1 year follow-up was, after correction for magnification, compared with the tunnel diameter of the radiograph from 2 weeks postoperatively. A more than 2-mm enlargement was considered TW. Results: In group A in which transfixation in the femur and interference screw in the tibia was used, 7 of 41 patients had developed femoral TW and 5 of 41 tibial TW. In group B, 20 of 46 patients had TW in the femur and 16 of 46 in the tibia (P &lt;.05, chi-square test). No significant difference was found with respect to Lysholm score, IKDC, or arthrometric evaluation. Conclusions: There was a significant reduction of TW in both the femur and the tibia using fixation points close to the joint, compared with the system where the distance between the fixation points is long. We conclude that the position of the fixation sites and type of fixation device are major factors in the development of TW after ACL surgery. Level of Evidence: Level I, therapeutic study in a prospective randomized clinical trial.</t>
  </si>
  <si>
    <t>WOS:000233885600008</t>
  </si>
  <si>
    <t>Lidén, M; Ejerhed, L; Sernert, N; Laxdal, G; Kartus, J</t>
  </si>
  <si>
    <t>Liden, Mattias; Ejerhed, Lars; Sernert, Ninni; Laxdal, Gauti; Kartus, Juri</t>
  </si>
  <si>
    <t>Patellar tendon or semitendinosus tendon autografts for anterior cruciate ligament reconstruction -: A prospective, randomized study with a 7-year follow-up</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</si>
  <si>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</si>
  <si>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WOS:000246264600006</t>
  </si>
  <si>
    <t>Zhao, JH; He, YH; Wang, JH</t>
  </si>
  <si>
    <t>Zhao, Jinzhong; He, Yaohua; Wang, Jianhua</t>
  </si>
  <si>
    <t>Double-bundle anterior cruciate ligament reconstruction: Four versus eight strands of hamstring tendon graft</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</si>
  <si>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</si>
  <si>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WOS:000248743900013</t>
  </si>
  <si>
    <t>Lui, PPY; Cheng, YY; Yung, SH; Hung, ASL; Chan, KM</t>
  </si>
  <si>
    <t>Lui, Pauline Po Yee; Cheng, Ying Ying; Yung, Shu Hang; Hung, Aaron See Long; Chan, Kai Ming</t>
  </si>
  <si>
    <t>KNEE</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</si>
  <si>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 (C) 2012 Elsevier B.V. All rights reserved.</t>
  </si>
  <si>
    <t>DEC</t>
  </si>
  <si>
    <t>WOS:000311329300009</t>
  </si>
  <si>
    <t>Konrads, C; Reppenhagen, S; Plumhoff, P; Hoberg, M; Rudert, M; Barthel, T</t>
  </si>
  <si>
    <t>Konrads, Christian; Reppenhagen, Stephan; Plumhoff, Piet; Hoberg, Maik; Rudert, Maximilian; Barthel, Thomas</t>
  </si>
  <si>
    <t>ARCHIVES OF ORTHOPAEDIC AND TRAUMA SURGERY</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</si>
  <si>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</si>
  <si>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WOS:000373179000012</t>
  </si>
  <si>
    <t>Laxdal, G; Kartus, J; Eriksson, BI; Faxén, E; Sernert, N; Karlsson, J</t>
  </si>
  <si>
    <t>Laxdal, Gauti; Kartus, Jueri; Eriksson, Bengt I.; Faxen, Eva; Sernert, Ninni; Karlsson, Jon</t>
  </si>
  <si>
    <t>Biodegradable and metallic interference screws in anterior cruciate ligament reconstruction surgery using hamstring tendon grafts -: Prospective randomized study of radiographic results and clinical outcome</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</si>
  <si>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</si>
  <si>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WOS:000240833400003</t>
  </si>
  <si>
    <t>Sajovic, M; Vengust, V; Komadina, R; Tavcar, R; Skaza, K</t>
  </si>
  <si>
    <t>Sajovic, Matjaz; Vengust, Vilibald; Komadina, Radko; Tavcar, Rok; Skaza, Katja</t>
  </si>
  <si>
    <t>A prospective, randomized comparison of semitendinosus and gracilis tendon versus patellar tendon autografts for anterior cruciate ligament reconstruction - Five-year follow-up</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</si>
  <si>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e hamstring tendon group (P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</si>
  <si>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WOS:000242718200008</t>
  </si>
  <si>
    <t>Thompson, SM; Salmon, LJ; Waller, A; Linklater, J; Roe, JP; Pinczewski, LA</t>
  </si>
  <si>
    <t>Thompson, Simon Michael; Salmon, Lucy J.; Waller, Alison; Linklater, James; Roe, Justin P.; Pinczewski, Leo A.</t>
  </si>
  <si>
    <t>Twenty-Year Outcome of a Longitudinal Prospective Evaluation of Isolated Endoscopic Anterior Cruciate Ligament Reconstruction With Patellar Tendon or Hamstring Autograft</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</si>
  <si>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</si>
  <si>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10.1177/0363546516658041</t>
  </si>
  <si>
    <t>http://dx.doi.org/10.1177/0363546516658041</t>
  </si>
  <si>
    <t>WOS:000389905400008</t>
  </si>
  <si>
    <t>Hwang, DH; Shetty, GM; Kim, JI; Kwon, JH; Song, JK; Muñoz, M; Lee, JS; Nha, KW</t>
  </si>
  <si>
    <t>Hwang, Dae-Hee; Shetty, Gautam M.; Kim, Jong In; Kwon, Jae Ho; Song, Jae-Kwang; Munoz, Michael; Lee, Jun Seop; Nha, Kyung-Wook</t>
  </si>
  <si>
    <t>Does Press-Fit Technique Reduce Tunnel Volume Enlargement After Anterior Cruciate Ligament Reconstruction With Autologous Hamstring Tendons? A Prospective Randomized Computed Tomography Study</t>
  </si>
  <si>
    <t>Purpose: The purpose of this prospective, randomized, computed tomographye-based study was to investigate whether the press-fit technique reduces tunnel volume enlargement (TVE) and improves the clinical outcome after anterior cruciate ligament reconstruction at a minimum follow-up of 1 year compared with conventional technique. Methods: Sixty-nine patients undergoing primary ACL reconstruction using hamstring autografts were randomly allocated to either the press-fit technique group (group A) or conventional technique group (group B). All patients were evaluated for TVE and tunnel widening using computed tomography scanning, for functional outcome using International Knee Documentation Committee and Lysholm scores, for rotational stability using the pivot-shift test, and for anterior laxity using the KT-2000 arthrometer at a minimum of 1-year follow-up. Results: There were no significant differences in TVE between the 2 groups. In group A, in which the press-fit technique was used, mean volume enlargement in the femoral tunnel was 65% compared with 71.5% in group B (P = .84). In group A, 57% (20 of 35) of patients developed femoral TVE compared with 67% (23 of 34) of patients in group B (P = .27). Both groups showed no significant difference for functional outcome (mean Lysholm score P = .73, International Knee Documentation Committee score P = .15), or knee laxity (anterior P = .78, rotational P = .22) at a minimum follow-up of 1 year. Conclusions: In a comparison of press-fit and conventional techniques, there were no significant differences in TVE and clinical outcome at short-term follow-up. Level of Evidence: Level II, therapeutic study, prospective randomized clinical trial.</t>
  </si>
  <si>
    <t>WOS:000312986800012</t>
  </si>
  <si>
    <t>Oliveira, M; Lobo, P Jr; Imoto, AM; Santos, T; Borges, JHS; Nunes, P; Barin, FR; Damando, M; Peccin, MS</t>
  </si>
  <si>
    <t>Oliveira, Marcio; Lobo Junior, Paulo; Imoto, Aline Mizusaki; Santos, Tacio; Souza Borges, Jose Humberto; Nunes, Pedro; Barin, Fabricio Reichert; Damando, Meire; Peccin, Maria Stella</t>
  </si>
  <si>
    <t>Unilateral Versus Bilateral Resistance Exercise in Postoperative Rehabilitation After ACL Reconstruction With Bone-Patellar Tendon-Bone Graft: A Randomized Controlled Trial</t>
  </si>
  <si>
    <t>ORTHOPAEDIC JOURNAL OF SPORTS MEDICINE</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</si>
  <si>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</si>
  <si>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WOS:000786385500001</t>
  </si>
  <si>
    <t>Liu, SH; Li, H; Tao, HY; Sun, YY; Chen, SY; Chen, JW</t>
  </si>
  <si>
    <t>Liu, Shaohua; Li, Hong; Tao, Hongyue; Sun, Yaying; Chen, Shiyi; Chen, Jiwu</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</si>
  <si>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(P = .11 and .75, respectively), while the SNQ values were significantly lower in the study group versus the control group at 6 and 12 months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</si>
  <si>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WOS:000429952400030</t>
  </si>
  <si>
    <t>Stener, S; Ejerhed, L; Sernert, N; Laxdal, G; Rostgård-Christensen, L; Kartus, J</t>
  </si>
  <si>
    <t>Stener, Sven; Ejerhed, Lars; Sernert, Ninni; Laxdal, Gauti; Rostgard-Christensen, Lars; Kartus, Jueri</t>
  </si>
  <si>
    <t>A Long-Term, Prospective, Randomized Study Comparing Biodegradable and Metal Interference Screws in Anterior Cruciate Ligament Reconstruction Surgery Radiographic Results and Clinical Outcome</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</si>
  <si>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 3-9] vs 6 [range, 2-9]), or the Lysholm knee score (median, 90 points [range, 51-100] vs 89 points [range, 53-100]). The C-reactive protein values did not differ significantly between the 2 groups except for an increase in the PLLA group compared with the metal group at day 1 postoperatively -23 mg/L (range, &lt;6-55) vs 9 mg/L (range,&lt;6-55)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</si>
  <si>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http://dx.doi.org/10.1177/0363546510361952</t>
  </si>
  <si>
    <t>WOS:000280645500012</t>
  </si>
  <si>
    <t>Zhang, YH; Liu, SH; Chen, QY; Hu, YW; Sun, YY; Chen, JW</t>
  </si>
  <si>
    <t>Zhang, Yuhan; Liu, Shaohua; Chen, Qingyan; Hu, Yiwen; Sun, Yaying; Chen, Jiwu</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</si>
  <si>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</si>
  <si>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WOS:000569010000001</t>
  </si>
  <si>
    <t>Chen, TW; Zhang, P; Chen, JW; Hua, YH; Chen, SY</t>
  </si>
  <si>
    <t>Chen, Tianwu; Zhang, Peng; Chen, Jiwu; Hua, Yinghui; Chen, Shiyi</t>
  </si>
  <si>
    <t>Long-Term Outcomes of Anterior Cruciate Ligament Reconstruction Using Either Synthetics With Remnant Preservation or Hamstring Autografts A 10-Year Longitudinal Study</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</si>
  <si>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</si>
  <si>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10.1177/0363546517721692</t>
  </si>
  <si>
    <t>http://dx.doi.org/10.1177/0363546517721692</t>
  </si>
  <si>
    <t>WOS:000412484500006</t>
  </si>
  <si>
    <t>Akelman, MR; Fadale, PD; Hulstyn, MJ; Shalvoy, RM; Garcia, A; Chin, KE; Duryea, J; Badger, GJ; Tung, GA; Fleming, BC</t>
  </si>
  <si>
    <t>Akelman, Matthew R.; Fadale, Paul D.; Hulstyn, Michael J.; Shalvoy, Robert M.; Garcia, Arlene; Chin, Kaitlyn E.; Duryea, Jeffrey; Badger, Gary J.; Tung, Glenn A.; Fleming, Braden C.</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</si>
  <si>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.017), KOOS quality of life and symptoms subscales (P &lt; .03), and OARSI radiographic score (P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</si>
  <si>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WOS:000380017200007</t>
  </si>
  <si>
    <t>Martin-Alguacil, JL; Arroyo-Morales, M; Martin-Gomez, JL; Monje-Cabrera, IM; Abellan-Guillen, JF; Esparza-Ros, F; Lozano, ML; Cantarero-Villanueva, I</t>
  </si>
  <si>
    <t>Martin-Alguacil, Jose Luis; Arroyo-Morales, Manuel; Martin-Gomez, Jose Luis; Monje-Cabrera, Isidro Manuel; Abellan-Guillen, Juan F.; Esparza-Ros, Francisco; Lozano, Mario Lozano; Cantarero-Villanueva, Irene</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</si>
  <si>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(KT-20001m arthrometer) were also assessed. An intention-to-treat analysis was performed. Results: The results of the H/Q ratio analysis of the participants over time revealed significant differences at 60, 180, and 300 degrees/s at three, six, and 12 months of follow-up (60 degrees/s: F = 5.3, p = 0.005; 180 degrees/s: F = 5.5, p = 0.004; 300 degrees/s: F = 5.1, p = 0.005). Furthermore, they revealed significant differences at 60 degrees/s, 180 degrees/s, and 300 degrees/s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 (C) 2018 Elsevier B.V. All rights reserved.</t>
  </si>
  <si>
    <t>WOS:000440771700025</t>
  </si>
  <si>
    <t>Shelbourne, KD; Benner, R; Gray, T; Bauman, S</t>
  </si>
  <si>
    <t>Shelbourne, K. Donald; Benner, Rodney; Gray, Tinker; Bauman, Scot</t>
  </si>
  <si>
    <t>Range of Motion, Strength, and Function After ACL Reconstruction Using a Contralateral Patellar Tendon Graft</t>
  </si>
  <si>
    <t>Background:Regaining preinjury levels of activity and progressing rehabilitation factors after anterior cruciate ligament (ACL) reconstruction have shown mixed results. Purpose:To evaluate the timing and rate of return for knee range of motion (ROM), stability, strength, and subjective scores after ACL reconstruction with contralateral patellar tendon graft (PTG). Study Design:Case series; Level of evidence, 4. Methods:Included were 2148 patients (1238 male patients, 910 female patients) who underwent primary ACL reconstruction with a contralateral PTG between 1995 and 2017 and had complete objective data through 3 months of follow-up. All patients participated in a rehabilitation program specific to goals for each knee. Patients were evaluated objectively with goniometric measurement of ROM, isokinetic quadriceps strength testing, and laxity with a KT-2000 arthrometer. Subjective data were collected at 2 and 5 years. Results:Normal extension on the reconstructed knee was attained for 95% of patients at 1 week postoperatively; normal flexion on the reconstructed knee was reached by 77% of patients by 3 months. At 3 months postoperatively, mean limb symmetry index strength was 104%, and the strength on the ACL-reconstructed and graft-donor knees was 87% and 86% of their respective preoperative strength. Mean manual maximum side-to-side difference in laxity was 2.0 mm at 1 month. Most patients (90%) returned to level 8 sports or higher and did so at an average of 5.7 months. Mean International Knee Documentation Committee scores for the ACL-reconstructed and graft-donor knees were 89 and 91 at 2 years (n = 1015 patients) and 84 and 90 at 5 years (n = 1275 patients), respectively. Mean Cincinnati Knee Rating Scale scores for the ACL-reconstructed and graft-donor knees were 92 and 96 at 2 years (n = 1184) and 88 and 94 at 5 years (n = 1236), respectively. Conclusion:For patients who underwent ACL reconstruction with a contralateral PTG, postoperative ROM and strength were restored quickly by splitting the rehabilitation into different goals between the two knees. Using a contralateral PTG, this structured rehabilitation plan can lead to a relatively quick return to sport and good subjective long-term outcomes.</t>
  </si>
  <si>
    <t>10.1177/23259671221138103</t>
  </si>
  <si>
    <t>http://dx.doi.org/10.1177/23259671221138103</t>
  </si>
  <si>
    <t>WOS:000927920400001</t>
  </si>
  <si>
    <t>Mohtadi, NG; Chan, DS</t>
  </si>
  <si>
    <t>Mohtadi, Nicholas G.; Chan, Denise S.</t>
  </si>
  <si>
    <t>A Randomized Clinical Trial Comparing Patellar Tendon, Hamstring Tendon, and Double-Bundle ACL Reconstructions</t>
  </si>
  <si>
    <t>JOURNAL OF BONE AND JOINT SURGERY-AMERICAN VOLUME</t>
  </si>
  <si>
    <t>Background: This randomized clinical trial evaluated the 5-year, disease-specific quality-of-life outcomes of patients treated for anterior cruciate ligament (ACL) deficiency with use of a patellar tendon, single-bundle quadruple-stranded hamstring, or double-bundle hamstring reconstruction. Methods: Patients (n = 110 per group; 183 male; 14 to 50 years of age) were randomly allocated to anatomically positioned ACL reconstruction with use of a patellar tendon graft (patellar tendon group; mean age, 28.7 years), quadruple-stranded hamstring tendon construct (hamstring tendon group; mean age, 28.5 years), or double-bundle hamstring tendon construct (double-bundle group; mean age, 28.3 years). Computer-generated allocation with varied block randomization was performed intraoperatively. The 5-year primary outcome measure was the Anterior Cruciate Ligament-Quality of Life (ACL-QOL) score, and secondary outcome measures included the International Knee Documentation Committee (IKDC) subjective score and objective grades, pivot shift assessment, range of motion, kneeling pain, Tegner activity scale, Cincinnati Occupational Rating Scale, complete traumatic reruptures, partial traumatic tears, total traumatic reinjuries, and atraumatic graft failures. Results: Three hundred and fifteen patients (95%) completed the 5-year follow-up (4 withdrawals, and 11 lost to followup). ACL-QOL scores increased significantly from baseline for all groups (p &lt; 0.0001), but mean scores at 5 years did not differ among the groups (p = 0.548): mean (and standard deviation) of 82.5 +/- 17.9 (95% confidence interval [CI], 79.0 to 86.0) for patellar tendon, 83.9 +/- 18.2 (95% CI, 80.3 to 87.4) for hamstring tendon, and 81.1 +/- 19.3 (95% CI, 77.4 to 84.8) for double-bundle. The proportions of patients at 5 years with a pivot shift grade of &gt;= 2 (12% for patellar tendon, 16% for hamstring tendon, and 22% for double-bundle; p = 0.149) and with normal and nearly normal knees per IKDC grade (87%, 82%, and 75% for the 3 groups, respectively; p = 0.093) trended in favor of patellar tendon reconstruction. No differences were seen for the IKDC subjective scores, knee range of motion including passive extension deficits, the single leg hop test, Cincinnati Occupational Rating scores, and Tegner activity levels. Kneeling pain was more common with patellar tendon reconstruction (10% of patients compared with 4% for hamstring tendon and 2% for double-bundle; p = 0.029). For hamstring tendon and double-bundle reconstructions, there were trends toward more complete traumatic reruptures (4% for patellar tendon, 10% for hamstring tendon, and 10% for double-bundle; p = 0.145) and partial traumatic tears (0%, 5%, and 6%, respectively; p = 0.059), with significantly fewer combined traumatic reinjuries in the patellar tendon group (4 patients compared with 16 for hamstring tendon and 17 for double-bundle; p = 0.010). Atraumatic graft failure (pivot shift grade of &gt;= 2) was found for 10% of the patients. Conclusions: At 5 years, we found no significant difference in the quality-of-life outcome among the patellar tendon, hamstring tendon, and double-bundle techniques for ACL reconstruction. Significantly more patients in the hamstring tendon and double-bundle groups experienced traumatic graft reinjury compared with the patellar tendon group. There was a trend toward a higher percentage with normal and nearly normal IKDC grades in the patellar tendon group compared with hamstring tendon and double-bundle groups.</t>
  </si>
  <si>
    <t>WOS:000474366000007</t>
  </si>
  <si>
    <t>Lu, C; Huang, X</t>
  </si>
  <si>
    <t>Lu, Chao; Huang, Xiao</t>
  </si>
  <si>
    <t>The comparison of clinical efficacy of arthroscopic anterior cruciate ligament reconstruction via autologous bone-patellar tendon-bone, autologous hamstring tendon and allogeneic bone-patellar tendon-bone</t>
  </si>
  <si>
    <t>INTERNATIONAL JOURNAL OF CLINICAL AND EXPERIMENTAL MEDICINE</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</si>
  <si>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</si>
  <si>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WOS:000408643700110</t>
  </si>
  <si>
    <t>Boutsiadis, A; Panisset, JC; Devitt, BM; Mauris, F; Barthelemy, R; Barth, J</t>
  </si>
  <si>
    <t>Boutsiadis, Achilleas; Panisset, Jean-Claude; Devitt, Brian M.; Mauris, Frederic; Barthelemy, Renaud; Barth, Johannes</t>
  </si>
  <si>
    <t>Anterior Laxity at 2 Years After Anterior Cruciate Ligament Reconstruction Is Comparable When Using Adjustable-Loop Suspensory Fixation and Interference Screw Fixation</t>
  </si>
  <si>
    <t>Background: Adjustable-loop suspensory fixation (ALSF) devices are commonly used in anterior cruciate ligament reconstruction (ACLR). However, concern exists regarding the potential for lengthening under cyclical loads. Purpose: To compare the residual anterior laxity of 2 methods of femoral fixation, ALSF versus interference screw fixation, in patients undergoing isolated ACLR in the absence of meniscal injuries. To determine the preoperative risk factors associated with residual postoperative anterior laxity. Study Design: Cohort study; Level of evidence, 3. Methods: A retrospective analysis was performed comparing 2 groups of patients that underwent primary ACLR using ALSF versus bioabsorbable interference screw fixation. Anterior knee laxity was assessed with Telos stress radiography, while functional outcomes were evaluated with the Knee injury and Osteoarthritis Outcome Score (KOOS) and Tegner activity level scale at a minimum of 2 years postoperatively. A multivariate analysis was performed to identify factors associated with residual postoperative laxity &gt;3 mm. Results: Of the 1136 patients who underwent ACLR during the study period, 363 met the inclusion criteria. A total of 272 patients (75%) (mean age, 31.7 +/- 10.7 years) with a mean follow-up of 25.7 +/- 4.6 months (range, 24-36 months) consented to participate (screw group: n = 121; ALSF group: n = 151). The 2 groups were statistically comparable in terms of age, sex ratio, time from injury to surgery, graft diameter, preoperative laxity, preoperative objective International Knee Documentation Committee (IKDC) grade, and preoperative Tegner score. The mean postoperative laxity as a continuous variable was significantly different comparing the ALSF and screw groups (1.49 +/- 1.98 mm and 2.32 +/- 1.97 mm, respectively; P &lt; .001). In the screw group, 76 patients (62.8%) had normal (&lt;3 mm), 40 (33.1%) had nearly normal (3-6 mm), and 5 (4.1%) had abnormal (&gt;= 6 mm) postoperative knee laxity according to the IKDC grade, while in the ALSF group, 112 patients (74.2%) had normal, 37 (24.5%) had nearly normal, and 2 (1.3%) had abnormal laxity (P = .0833). No significant difference was found in KOOS or Tegner scores comparing the 2 femoral fixation methods: KOOS, 90.6 +/- 7.5 (ALSF group) and 90.6 +/- 7.4 (screw group) (P = .7631), versus Tegner, 6.5 +/- 1.3 (ALSF group) and 6.3 +/- 1.4 (screw group) (P = .2992). A negative correlation was found between postoperative laxity and final Tegner (r(s) = -0.303, P &lt; .001) and KOOS scores (r(s) = -0.168, P = .005). The initial univariate analysis showed differences between groups of patients with residual knee laxity &gt;= 3 mm and &lt;3 mm on preoperative pivot shift, preoperative laxity, age, fixation type, and preoperative objective IKDC grade. The multivariate analysis on these factors showed that the pivot shift remained the only significant predictor for residual laxity &gt;= 3 mm for pivot shift grade 2 compared with grade 1 (odds ratio, 4.689 [95% CI, 2.465-9.286]) and for pivot shift grade 3 compared with grade 1 (odds ratio, 58.025 [95% CI, 12.757-557.741]) (P &lt; .001). Conclusion: For primary ACLR, the use of an ALSF device for femoral fixation is associated with noninferior postoperative anterior knee laxity results compared with interference screw fixation at a minimum 2 years' follow-up. The preoperative pivot shift is the only significant risk factor for postoperative residual anterior knee laxity &gt;3 mm.</t>
  </si>
  <si>
    <t>10.1177/0363546518784005</t>
  </si>
  <si>
    <t>http://dx.doi.org/10.1177/0363546518784005</t>
  </si>
  <si>
    <t>WOS:000440439000007</t>
  </si>
  <si>
    <t>Porter, M; Shadbolt, B</t>
  </si>
  <si>
    <t>Porter, Mark; Shadbolt, Bruce</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</si>
  <si>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</si>
  <si>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WOS:000523844800001</t>
  </si>
  <si>
    <t>Dejour, D; Vanconcelos, W; Bonin, N; Saggin, PRF</t>
  </si>
  <si>
    <t>Dejour, David; Vanconcelos, Wilson; Bonin, Nicolas; Fernandes Saggin, Paulo Renato</t>
  </si>
  <si>
    <t>Comparative study between mono-bundle bone-patellar tendon-bone, double-bundle hamstring and mono-bundle bone-patellar tendon-bone combined with a modified Lemaire extra-articular procedure in anterior cruciate ligament reconstruction</t>
  </si>
  <si>
    <t>INTERNATIONAL ORTHOPAEDICS</t>
  </si>
  <si>
    <t>The aim of the study was to compare three different procedures performed by the same surgeon: mono-bundle patellar tendon reconstruction (bone-patellar tendon-bone, BPTB), double-bundle hamstring reconstruction (DBH) and mono-bundle patellar tendon combined with extra-articular reconstruction (Lemaire) (BPTB + L). A total of 75 patients (25 in each group) were evaluated at a mean follow-up of 25 months. Laxity was assessed pre- and post-operatively with Telos (TM) stress radiographs (15 kg). The amount of anterior tibial translation (ATT) corrected by the surgery was quantified. Secondary outcomes were International Knee Documentation Committee (IKDC) scores, pivot shift grading, pain complaints, sensory deficits, subsequent surgical procedures, return to sports and patients' ability to kneel or squat on their affected knee. Absolute correction of ATT for the internal compartment was not statistically significant [analysis of variance (ANOVA), p = 0.377]. For the external compartment BPTB + L (8.2 mm) showed superiority over DBH (5.6 mm) and BPTB (4.1 mm) (ANOVA, p = 0.0001, Tukey's test). Kneeling was better in the DBH group (ANOVA, p = 0.0001, Tukey's test). In 22 patients it felt normal, while only in seven in the BPTB and eight in the BPTB + L groups. Sensory deficits were present in 11 patients from the DBH group, while in 17 in the BPTB and 19 in the BPTB + L groups (ANOVA, p = 0.052). Mean IKDC values, presence of anterior knee pain, subsequent operations, ability to squat and return to sports were not statistically different between groups. Absolute correction of ATT was not statistically different for the medial compartment, but the patellar tendon reconstruction combined with the extra-articular procedure achieved the best lateral compartment ATT correction. Sensory deficits and kneeling seem to be worse in the groups where the patellar tendon is harvested.</t>
  </si>
  <si>
    <t>10.1007/s00264-012-1718-z</t>
  </si>
  <si>
    <t>http://dx.doi.org/10.1007/s00264-012-1718-z</t>
  </si>
  <si>
    <t>WOS:000314297200004</t>
  </si>
  <si>
    <t>Sacramento, SN; Magalhaes, E; Christel, P; Ingham, S; Fukuda, TY</t>
  </si>
  <si>
    <t>Sacramento, Sylvio Noronha; Magalhaes, Eduardo; Christel, Pascal; Ingham, Sheila; Fukuda, Thiago Yukio</t>
  </si>
  <si>
    <t>This case-series outcome study presents a surgical technique for anatomic double-bundle anterior cruciate ligament (ACL) reconstruction with 4-tunnel using two interference screws. There was a 2-year minimum follow-up. From January to December 2009, an ACL 4-tunnel, anatomic, double-bundle reconstruction was performed on 27 patients. Double-strand hamstring tendon grafts were used in each femoral tunnel as well as two interference screws. Tibial fixation was insured through manual tension, by tying non-absorbable sutures on the bone bridge between the two tunnels at 20A degrees of knee flexion. Clinical assessments included the International Knee Documentation Committee (IKDC) and Lysholm knee scores, range of motion (ROM), pivot-shift test, single-leg hop, and quadriceps-hamstrings strength tests using a hand-held dynamometer. Anterior knee laxity was also assessed using a rolimeter. A single examiner performed all testing pre-operatively at 6 months and during the 2-year follow-up. All patients were assessed during the 2-year follow-up. At that time, 92 % of the patients presented normal anterior laxity (average, 1.3 +/- 0.5 mm) and rotational knee stability. No statistical side-to-side difference was found for ROM, muscle strength, single-leg hop, and function (n.s.). All patients presented a normal knee function according to the IKDC and the Lysholm score. In addition, no infection, graft failure, or pain were observed at the harvesting site. The study shows that satisfactory results in relation to knee laxity, function, and strength can be achieved with the implant-free tibial fixation in the ACL double-bundle reconstruction with two interference screws. Therapeutic case series, Level IV.</t>
  </si>
  <si>
    <t>http://dx.doi.org/10.1007/s00167-014-3430-6</t>
  </si>
  <si>
    <t>WOS:000382106000020</t>
  </si>
  <si>
    <t>Elveos, MM; Drogset, JO; Engebretsen, L; Bronn, R; Lundemo, TO; Gifstad, T</t>
  </si>
  <si>
    <t>Elveos, Marlene Mauseth; Drogset, Jon Olav; Engebretsen, Lars; Bronn, Raymond; Lundemo, Trond Olav; Gifstad, Tone</t>
  </si>
  <si>
    <t>Anterior Cruciate Ligament Reconstruction Using a Bone-Patellar Tendon-Bone Graft With and Without a Ligament Augmentation Device: A 25-Year Follow-up of a Prospective Randomized Controlled Trial</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</si>
  <si>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</si>
  <si>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WOS:000451260900001</t>
  </si>
  <si>
    <t>Taylor, DC; DeBerardino, TM; Nelson, BJ; Duffey, M; Tenuta, J; Stoneman, PD; Sturdivant, RX; Mountcastle, S</t>
  </si>
  <si>
    <t>Taylor, Dean C.; DeBerardino, Thomas M.; Nelson, Bradley J.; Duffey, Michele; Tenuta, Joachim; Stoneman, Paul D.; Sturdivant, Rodney X.; Mountcastle, Sally</t>
  </si>
  <si>
    <t>Patellar Tendon Versus Hamstring Tendon Autografts for Anterior Cruciate Ligament Reconstruction A Randomized Controlled Trial Using Similar Femoral and Tibial Fixation Methods</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</si>
  <si>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</si>
  <si>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WOS:000270272700007</t>
  </si>
  <si>
    <t>Jansson, KA; Linko, E; Sandelin, J; Harilainen, A</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</si>
  <si>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 (C) 2003 American Orthopaedic Society for Sports Medicine.</t>
  </si>
  <si>
    <t>http://dx.doi.org/10.1177/03635465030310010501</t>
  </si>
  <si>
    <t>WOS:000180473300003</t>
  </si>
  <si>
    <t>Beynnon, BD; Uh, BS; Johnson, RJ; Abate, JA; Nichols, CE; Fleming, BC; Poole, AR; Roos, H</t>
  </si>
  <si>
    <t>Rehabilitation after anterior cruciate ligament reconstruction - A prospective, randomized, double-blind comparison of programs administered over 2 different time intervals</t>
  </si>
  <si>
    <t>WOS:000227109000003</t>
  </si>
  <si>
    <t>Zhang, HZ; Chen, X; Ong, MTY; Lei, L; Zheng, LZ; Dai, BY; Tong, WX; Fu, BSC; Xu, JK; Yung, PSH; Qin, L</t>
  </si>
  <si>
    <t>Zhang, Haozhi; Chen, Xin; Ong, Michael Tim-Yun; Lei, Lei; Zheng, Lizhen; Dai, Bingyang; Tong, Wenxue; Fu, Bruma Sai-Chuen; Xu, Jiankun; Yung, Patrick Shu-Hang; Qin, Ling</t>
  </si>
  <si>
    <t>Current Advances of Artificial Ligaments for Anterior Cruciate Ligament Reconstruction: From Biocompatibility to Bioactivity</t>
  </si>
  <si>
    <t>ENGINEERING</t>
  </si>
  <si>
    <t>Anterior cruciate ligament (ACL) injuries are frequently caused by sports injuries and trauma. In cases involving complete tears, ACL reconstruction (ACLR) surgery is the only way to restore the ligament's integrity. When selecting a graft, both the potential complications and the mechanical properties and healing efficacies should be considered. Artificial ligaments have been widely applied in clinical ACLR, and most have exhibited satisfactory biocompatibility and short-term follow-up results. Compared with autografts and allografts, however, the lack of bioactivity of currently available artificial ligaments is a major disadvantage. In addition, some long-term follow-up results have revealed other drawbacks of artificial ligaments, such as graft failure and other complications. Here, we summarize attempts to enhance the bioactive performance of artificial ligaments, as such modifications may have good potential for clinical translation and could improve the long-term outcomes of existing products. (c) 2024 THE AUTHORS. Published by Elsevier LTD on behalf of Chinese Academy of Engineering and Higher Education Press Limited Company. This is an open access article under the CC BY license (http://creativecommons.org/licenses/by/4.0/).</t>
  </si>
  <si>
    <t>10.1016/j.eng.2024.10.018</t>
  </si>
  <si>
    <t>http://dx.doi.org/10.1016/j.eng.2024.10.018</t>
  </si>
  <si>
    <t>WOS:001451541200001</t>
  </si>
  <si>
    <t>Pinczewski, LA; Deehan, DJ; Salmon, LJ; Russell, VJ; Clingeleffer, A</t>
  </si>
  <si>
    <t>A five-year comparison of patellar tendon versus four-strand hamstring tendon autograft for Arthroscopic reconstruction of the anterior cruciate ligament</t>
  </si>
  <si>
    <t>Background: The choice of graft material for anterior cruciate ligament reconstruction is believed to play a major role in outcome, but most comparisons of graft choice have not been well controlled. Hypothesis: The choice of graft material (patellar tendon or hamstring tendon) does affect clinical outcome after anterior cruciate ligament reconstruction. Study Design: Prospective, nontrandomized clinical trial. Methods: Two groups of 90 patients each were followed for a minimum of 5 years. Results: International Knee Documentation Committee assessment revealed that more than 85% of each group had an overall score of A or B at all follow-up intervals. The median Lysholm knee score was greater than 90 for both groups at 2 and 5 years. Instrumented testing revealed no significant difference between the two groups beyond 3 years. Thirty-one percent of the patellar tendon group (25) had a fixed flexion deformity and 19% of the hamstring tendon group (14) had fixed flexion deformity at 5 years. Radiologic assessment revealed early osteoarthritic changes in 4% of the hamstring tendon group (2) and in 18% of the patellar tendon group (11) at 5 years. Conclusions: Arthroscopic reconstruction with either graft results in a similar surgical outcome, reliably restoring knee stability over a 5-year period; however, patients with patellar tendon grafts are at greater risk of developing early signs of osteoarthritis. (C) 2002 American Orthopaedic Society for Sports Medicine.</t>
  </si>
  <si>
    <t>JUL-AUG</t>
  </si>
  <si>
    <t>http://dx.doi.org/10.1177/03635465020300041201</t>
  </si>
  <si>
    <t>WOS:000177111500012</t>
  </si>
  <si>
    <t>Barenius, B; Nordlander, M; Ponzer, S; Tidermark, J; Eriksson, K</t>
  </si>
  <si>
    <t>Barenius, Bjorn; Nordlander, Martin; Ponzer, Sari; Tidermark, Jan; Eriksson, Karl</t>
  </si>
  <si>
    <t>Quality of Life and Clinical Outcome After Anterior Cruciate Ligament Reconstruction Using Patellar Tendon Graft or Quadrupled Semitendinosus Graft An 8-Year Follow-up of a Randomized Controlled Trial</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</si>
  <si>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 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</si>
  <si>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http://dx.doi.org/10.1177/0363546510369549</t>
  </si>
  <si>
    <t>WOS:000280645500004</t>
  </si>
  <si>
    <t>Sekir, U; Gur, H; Akova, B</t>
  </si>
  <si>
    <t>Sekir, Ufuk; Gur, Hakan; Akova, Bedrettin</t>
  </si>
  <si>
    <t>Early Versus Late Start of Isokinetic Hamstring-Strengthening Exercise After Anterior Cruciate Ligament Reconstruction With Patellar Tendon Graft</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</si>
  <si>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</si>
  <si>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http://dx.doi.org/10.1177/0363546509349490</t>
  </si>
  <si>
    <t>WOS:000274803800008</t>
  </si>
  <si>
    <t>Endele, D; Jung, C; Becker, U; Bauer, G; Mauch, F</t>
  </si>
  <si>
    <t>Endele, Dominick; Jung, Christian; Becker, Ulrich; Bauer, Gerhard; Mauch, Frieder</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</si>
  <si>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1, randomized, single-blinded, controlled trial.</t>
  </si>
  <si>
    <t>WOS:000270705300007</t>
  </si>
  <si>
    <t>Huang, MH; Yang, RC; Chou, PH</t>
  </si>
  <si>
    <t>Huang, Mao-Hsiung; Yang, Rei-Cheng; Chou, Pei-Hsi</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</si>
  <si>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I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I year later occurred in the group receiving HA at 8 weeks after surgery (group II). Conclusion: HA therapy results in more functional and MPT improvement in ACL rehabilitation, and the intervention at 8 weeks after surgery results in the best outcome.</t>
  </si>
  <si>
    <t>WOS:000247948500003</t>
  </si>
  <si>
    <t>Harris, K; Driban, JB; Sitler, MR; Cattano, NM; Hootman, JM</t>
  </si>
  <si>
    <t>Harris, Kyle; Driban, Jeffrey Bradford; Sitler, Michael R.; Cattano, Nicole M.; Hootman, Jennifer M.</t>
  </si>
  <si>
    <t>Five-Year Clinical Outcomes of a Randomized Trial of Anterior Cruciate Ligament Treatment Strategies: An Evidence-Based Practice Paper</t>
  </si>
  <si>
    <t>JOURNAL OF ATHLETIC TRAINING</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</si>
  <si>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</si>
  <si>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10.4085/1062-6050-49.3.53</t>
  </si>
  <si>
    <t>http://dx.doi.org/10.4085/1062-6050-49.3.53</t>
  </si>
  <si>
    <t>WOS:000352270300015</t>
  </si>
  <si>
    <t>Runer, A; Keeling, L; Wagala, N; Nugraha, H; Özbek, EA; Hughes, JD; Musahl, V</t>
  </si>
  <si>
    <t>Runer, Armin; Keeling, Laura; Wagala, Nyaluma; Nugraha, Hans; Ozbek, Emre Anil; Hughes, Jonathan D.; Musahl, Volker</t>
  </si>
  <si>
    <t>Current trends in graft choice for primary anterior cruciate ligament reconstruction - part II: In-vivo kinematics, patient reported outcomes, re-rupture rates, strength recovery, return to sports and complications</t>
  </si>
  <si>
    <t>JOURNAL OF EXPERIMENTAL ORTHOPAEDICS</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</si>
  <si>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</si>
  <si>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10.1186/s40634-023-00601-3</t>
  </si>
  <si>
    <t>http://dx.doi.org/10.1186/s40634-023-00601-3</t>
  </si>
  <si>
    <t>WOS:000963029200001</t>
  </si>
  <si>
    <t>Borges, JHD; Oliveira, M; Lobo, P; Machado, RD; Lima, R; Ramos, LA; Cohen, M</t>
  </si>
  <si>
    <t>de Souza Borges, Jose Humberto; Oliveira, Marcio; Lobo Junior, Paulo; Machado, Ronny de Souza; Lima, Revia; Ramos, Leonardo Addeo; Cohen, Moises</t>
  </si>
  <si>
    <t>Aim: The aim of this study was to compare the peak extensor torque (primary outcome), sensory-motor capacity and Lysholm questionnaire score up to the fourth postoperative month post-primary anterior cruciate ligament reconstruction (ACLR) with bone-patel 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 (c) 2022 Elsevier B.V. All rights reserved.</t>
  </si>
  <si>
    <t>WOS:000793732300005</t>
  </si>
  <si>
    <t>Barenius, B; Ponzer, S; Shalabi, A; Bujak, R; Norlén, L; Eriksson, K</t>
  </si>
  <si>
    <t>Barenius, Bjorn; Ponzer, Sari; Shalabi, Adel; Bujak, Robert; Norlen, Louise; Eriksson, Karl</t>
  </si>
  <si>
    <t>Increased Risk of Osteoarthritis After Anterior Cruciate Ligament Reconstruction A 14-Year Follow-up Study of a Randomized Controlled Trial</t>
  </si>
  <si>
    <t>Background: The reported prevalence of radiological osteoarthritis (OA) after anterior cruciate ligament (ACL) reconstruction varies from 10% to 90%. Purpose/Hypothesis: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 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</si>
  <si>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http://dx.doi.org/10.1177/0363546514526139</t>
  </si>
  <si>
    <t>WOS:000335567700003</t>
  </si>
  <si>
    <t>McRae, S; Leiter, J; McCormack, R; Old, J; MacDonald, P</t>
  </si>
  <si>
    <t>McRae, Sheila; Leiter, Jeff; McCormack, Robert; Old, Jason; MacDonald, Peter</t>
  </si>
  <si>
    <t>Ipsilateral Versus Contralateral Hamstring Grafts in Anterior Cruciate Ligament Reconstruction A Prospective Randomized Trial</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</si>
  <si>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</si>
  <si>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http://dx.doi.org/10.1177/0363546513499140</t>
  </si>
  <si>
    <t>WOS:000326453500005</t>
  </si>
  <si>
    <t>Cantin, O; Lustig, S; Rongieras, F; Saragaglia, D; Lefèvre, N; Graveleau, N; Hulet, C</t>
  </si>
  <si>
    <t>Cantin, O.; Lustig, S.; Rongieras, F.; Saragaglia, D.; Lefevre, N.; Graveleau, N.; Hulet, C.</t>
  </si>
  <si>
    <t>Soc Francaise Chirurg Orthopedique</t>
  </si>
  <si>
    <t>Outcome of cartilage at 12 years of follow-up after anterior cruciate ligament reconstruction</t>
  </si>
  <si>
    <t>ORTHOPAEDICS &amp; TRAUMATOLOGY-SURGERY &amp; RESEARCH</t>
  </si>
  <si>
    <t>Introduction: In cases of chronic anterior laxity, reconstruction of the anterior cruciate ligament (ACL) can slow the development of osteoarthritis. This study was conducted to determine the overall prevalence of osteoarthritis and to identify the risk factors after ACL reconstruction. Hypothesis: Meniscus tears, time from injury to surgery, body mass index (BMI), residual laxity, and cartilage lesions influence the progression towards osteoarthritis. Materials and methods: This multicenter, retrospective study on the outcome of cruciate ligaments at 12 years of follow-up was conducted within the 2014 SOFCOT Symposium. The cohort included 675 arthroscopic reconstructions of the ACL from January 2002 to December 2003. The clinical evaluation included the objective and subjective IKDC score. Osteoarthritis was analyzed on 589 knee X-rays according to the IKDC classification. The predictive factors of osteoarthritis development studied were age, gender, BMI, time from injury to surgery, activity level, medial or lateral meniscectomy, type of graft, medial or lateral chondropathy, tunnel positioning, and residual laxity. Univariate and multivariate analyses with logistic regression were performed. Results: The mean follow-up was 11.9 +/- 0.8 years. The subjective IKDC score was 83.7 +/- 13. At 12 years, the rate of moderate to severe osteoarthritis 1 (IKIX C or D) was 19% (16% medial tibiofemoral osteoarthritis, 4% lateral tibiofemoral osteoarthritis, and 2% patellofemoral osteoarthritis). The prognostic factors were age at surgery greater than 34 years (P&lt;0.05), cartilage lesions at surgery (P&lt;0.05), medial or lateral meniscectomy (P &lt; 0.05), and residual laxity (A &lt; 0.05). Conclusions: This large-scale study identified risk factors for osteoarthritis that should improve the information provided to patients on long-term progression after ACL reconstruction. (C) 2016 Elsevier Masson SAS. All rights reserved.</t>
  </si>
  <si>
    <t>10.1016/j.otsr.2016.06.011</t>
  </si>
  <si>
    <t>http://dx.doi.org/10.1016/j.otsr.2016.06.011</t>
  </si>
  <si>
    <t>WOS:000389540400005</t>
  </si>
  <si>
    <t>Lecoq, FA; Parienti, JJ; Murison, J; Ruiz, N; Bouacida, K; Besse, J; Morin, V; Padiolleau, G; Cucurulo, T; Graveleau, N; Hulet, C</t>
  </si>
  <si>
    <t>Lecoq, Flore-Anne; Parienti, Jean-Jacques; Murison, James; Ruiz, Nicolas; Bouacida, Khaled; Besse, Jeremy; Morin, Vincent; Padiolleau, Giovany; Cucurulo, Thomas; Graveleau, Nicolas; Hulet, Christophe</t>
  </si>
  <si>
    <t>Graft Choice and the Incidence of Osteoarthritis After Anterior Cruciate Ligament Reconstruction A Causal Analysis From a Cohort of 541 Patients</t>
  </si>
  <si>
    <t>Background: Anterior cruciate ligament (ACL) reconstruction is important to prevent knee osteoarthritis. Neither of the 2 most common graft techniques-the patellar tendon (PT) or hamstring tendon (HS) graft-has demonstrated superiority in terms of the long-term osteoarthritis rate. Hypothesis: Based on the International Knee Documentation Committee (IKDC) radiographic grading system, PT grafts decrease the incidence of osteoarthritis by providing better knee stability as compared with HS grafts over 12 years of follow-up. Study Design: Cohort study; Level of evidence, 3. Methods: All adults with a first ACL rupture who underwent surgery with a PT or HS graft technique between January 2002 and December 2003 were included in the 2014 French Society of Orthopedic Surgery and Traumatology Symposium database. Baseline characteristics were collected. The primary endpoint was the occurrence of moderate to severe osteoarthritis in each group. The secondary endpoints included clinical subjective evaluations by the IKDC score and Knee injury and Osteoarthritis Outcome Score. To control the differences in baseline characteristics, the data were analyzed with propensity score matching. Results: In the cohort, 541 patients from 18 centers were included: 311 PT and 230 HS ACL reconstructions. The baseline characteristics were similar after inverse probability weighting treatment (IPWT). The occurrence of osteoarthritis was similar after IPWT (19.3% for PT and 19.6% for HS, P = .94). Age at surgery &gt;29 years and IKDC osteoarthritis stage B at the index surgery were identified as risk factors for moderate to severe osteoarthritis. Most functional outcomes were significantly higher in the HS group; however, the difference between groups remained &lt;10 points. Of the 106 patients who needed a medial meniscectomy, the proportion of patients with moderate to severe osteoarthritis was much higher in the HS group (43.5% vs 18.3%, P = .006). However, after IPWT, the difference was not statistically significant. Conclusion: At 12 years of follow-up, neither graft technique was superior to the other in terms of the rate of osteoarthritis.</t>
  </si>
  <si>
    <t>10.1177/0363546518795137</t>
  </si>
  <si>
    <t>http://dx.doi.org/10.1177/0363546518795137</t>
  </si>
  <si>
    <t>WOS:000446347200008</t>
  </si>
  <si>
    <t>Sasaki, S; Tsuda, E; Hiraga, Y; Yamamoto, Y; Maeda, S; Sasaki, E; Ishibashi, Y</t>
  </si>
  <si>
    <t>Sasaki, Shizuka; Tsuda, Eiichi; Hiraga, Yasuharu; Yamamoto, Yuji; Maeda, Shugo; Sasaki, Eiji; Ishibashi, Yasuyuki</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</si>
  <si>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</si>
  <si>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WOS:000373665800011</t>
  </si>
  <si>
    <t>Sonnery-Cottet, B; Pioger, C; Vieira, TD; Franck, F; Kajetanek, C; Fayard, JM; Thaunat, M; Saithna, A</t>
  </si>
  <si>
    <t>Sonnery-Cottet, Bertrand; Pioger, Charles; Vieira, Thais Dutra; Franck, Florent; Kajetanek, Charles; Fayard, Jean-Marie; Thaunat, Mathieu; Saithna, Adnan</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</si>
  <si>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t>
  </si>
  <si>
    <t>WOS:000535893400001</t>
  </si>
  <si>
    <t>Mayr, HO; Stüeken, P; Münch, EO; Wolter, M; Bernstein, A; Suedkamp, NP; Stoehr, A</t>
  </si>
  <si>
    <t>Mayr, Hermann O.; Stueeken, Paul; Muench, Ernst-Otto; Wolter, Morris; Bernstein, Anke; Suedkamp, Norbert P.; Stoehr, Amelie</t>
  </si>
  <si>
    <t>A controversial discussion is held on using stabilizing knee braces after anterior cruciate ligament (ACL) surgery. The current study investigated the influence of a stabilizing knee brace on results after ACL reconstruction using patellar tendon autografts. A prospective randomized study was started including 64 patients divided into two equal groups and treated with or without a stabilizing knee brace for 6 weeks post-operatively. A follow-up examination 4 years after operation comprised IKDC 2000, KT1000 measurement, a visual analogue pain scale (VAS; scores 0-10) and radiographic evaluation. The t test for independent and paired samples and the Pearson's Chi-square test were used for statistical analysis (p &lt; 0.05). The primary endpoint was the difference in IKDC classification. Eighty-one per cent of the patients were examined 4 years post-operatively. IKDC 2000 subjective (brace group 90.5 +/- A 8.9, braceless group 93.2 +/- A 6.1) and objective results (brace A 30 %, B 56 %, C 16 %; braceless A 32 %, B 48 %, C 20 %) and instrumental measurement of anteroposterior laxity with KT1000 (brace 0.6 +/- A 2.4 mm, braceless 1.8 +/- A 3.4 mm) showed no significant differences. VAS pain results were significantly better in the braceless group at 1.0 +/- A 1.2 versus 1.9 +/- A 1.4 under sports activity or heavy physical work (p = 0.015). There were no radiographic differences concerning osteoarthritic findings and tunnel widening between the groups. Post-operative treatment with a stabilizing knee brace after ACL replacement showed no advantage over treatment without a brace at 4-year follow-up. The use of a knee-stabilizing brace after isolated ACL reconstruction with autologous patellar tendon graft is not recommended. II.</t>
  </si>
  <si>
    <t>WOS:000334757600027</t>
  </si>
  <si>
    <t>Walters, BL; Porter, DA; Hobart, SJ; Bedford, BB; Hogan, DE; McHugh, MM; Klein, DA; Harousseau, K; Nicholas, SJ</t>
  </si>
  <si>
    <t>Walters, Brian L.; Porter, David A.; Hobart, Sarah J.; Bedford, Benjamin B.; Hogan, Daniel E.; McHugh, Malachy M.; Klein, Devon A.; Harousseau, Kendall; Nicholas, Stephen J.</t>
  </si>
  <si>
    <t>Effect of Intraoperative Platelet-Rich Plasma Treatment on Postoperative Donor Site Knee Pain in Patellar Tendon Autograft Anterior Cruciate Ligament Reconstruction A Double-Blind Randomized Controlled Trial</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</si>
  <si>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(P = .08-.83). Kneeling pain improved from 12 weeks to 6 months and from 1 to 2 years (P &lt; .05). IKDC scores improved substantially from 12 weeks to 6 months (P &lt; .001) and continued to improve to 2 years (PRP, 86 +/- 19; sham, 89 +/- 10). MRI indices of donor site healing were not different between treatment groups (P = .53-.90). Conclusion: Whether randomized to receive PRP in their patellar defect or not, patients continued to have similar levels of kneeling pain and patellar defect sizes after autograft BPTB ACL reconstruction.</t>
  </si>
  <si>
    <t>WOS:000438619500010</t>
  </si>
  <si>
    <t>Anz, AW; Jordan, SE; Ostrander, RV III; Branch, EA; Denney, TS; Cohen, A; Andrews, JR</t>
  </si>
  <si>
    <t>Anz, Adam W.; Jordan, Steve E.; Ostrander III, Roger V.; Branch, Eric A.; Denney, Thomas S.; Cohen, Achraf; Andrews, James R.</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</si>
  <si>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</si>
  <si>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WOS:001103832400001</t>
  </si>
  <si>
    <t>Fithian, DC; Paxton, EW; Stone, ML; Luetzow, WF; Csintalan, RP; Phelan, D; Daniel, DM</t>
  </si>
  <si>
    <t>Prospective trial of a treatment algorithm for the management of the anterior cruciate ligament-injured knee</t>
  </si>
  <si>
    <t>Background: Specific guidelines for operative versus nonoperative management of anterior cruciate ligament injuries do not yet exist. Hypothesis: Surgical risk factors can be used to indicate whether reconstruction or conservative management is best for an individual patient. Study Design: Prospective nonrandomized controlled clinical trial; Level of evidence, 2. Methods: Patients were classified as high, moderate, or low risk using preinjury sports participation and knee laxity measurements. Early anterior cruciate ligament reconstruction (within 3 months of injury) was recommended to high-risk patients and conservative care to low-risk patients. It was recommended that moderate-risk patients have either early reconstruction or conservative care, according to the day of presentation. Assessment of subjective outcomes, activity, physical measurements, and radiographs was performed at mean follow-up of 6.6 years. Results: Early phase conservative management resulted in more late phase meniscus surgery than did early phase reconstruction at all risk levels (high risk, 25% vs 6.5%; moderate risk, 37% vs 7.7%, P = .01; low risk, 16% vs 0%). Early- and late-reconstruction patients' Tegner scores increased from presurgery to follow-up (P &lt; .001) but did not return to preinjury levels. Early-reconstruction patients had higher rates of degenerative change on radiographs than did nonreconstruction patients (P &lt; .05). Conclusions: Early phase reconstruction reduced late phase knee laxity, risk of symptomatic instability, and the risk of late meniscus tear and surgery. Moderate- and high-risk patients had similar rates of late phase injury and surgery. Reconstruction did not prevent the appearance of late degenerative changes on radiographs. Relationship between bone contusion on initial magnetic resonance images and the finding of degenerative changes on follow-up radiographs were not detected. The treatment algorithm used in this study was effective in predicting risk of late phase knee surgery.</t>
  </si>
  <si>
    <t>10.1177/0363546504269590</t>
  </si>
  <si>
    <t>http://dx.doi.org/10.1177/0363546504269590</t>
  </si>
  <si>
    <t>WOS:000227109000002</t>
  </si>
  <si>
    <t>Feil, S; Newell, J; Minogue, C; Paessler, HH</t>
  </si>
  <si>
    <t>Feil, Sven; Newell, John; Minogue, Conor; Paessler, Hans H.</t>
  </si>
  <si>
    <t>The Effectiveness of Supplementing a Standard Rehabilitation Program With Superimposed Neuromuscular Electrical Stimulation After Anterior Cruciate Ligament Reconstruction A Prospective, Randomized, Single-Blind Study</t>
  </si>
  <si>
    <t>Background: Rehabilitation after anterior cruciate ligament reconstruction is a key determinant affecting patient return to usual activity levels. Neuromuscular electrical stimulation is a treatment that can counteract strength loss and serve as an adjunct to conventional therapy. Purpose: To compare the effect of adding traditional neuromuscular electrical stimulation (Polystim) or a novel garment-integrated neuromuscular electrical stimulation (Kneehab) to a standard postoperative rehabilitation program (control). Study Design: Randomized controlled trial; Level of evidence, 1. Methods: Ninety-six patients, of a total enrolled cohort of 131 patients randomized to 1 of 3 intervention groups, completed a standard rehabilitation program. In addition, the 2 neuromuscular electrical stimulation groups underwent 20-minute sessions of neuromuscular electrical stimulation 3 times a day, 5 days a week, for 12 weeks, in which stimulation was superimposed on isometric volitional contractions. Outcome measures including isokinetic strength of the knee extensors of the injured and uninjured leg at 90 and 180 deg/s, along with functional tests of proprioception, were assessed at baseline and at 6 weeks, 12 weeks, and 6 months postoperatively. Results: The Kneehab group achieved significantly better results at each time point compared with the Polystim and control groups (P&lt;.001). Extensor strength of the Kneehab group at speeds of 90 and 180 deg/s increased by 30.2% and 27.8%, respectively, between the preoperative measurements and the 6-month follow-up point in the injured leg. The corresponding changes for Polystim were 5.1% and 5%, whereas for the control group they were 6.6% and 6.7%, respectively. The mean single-legged hop test hop score of the Kneehab group improved by 50% between the 6-week and 6-month follow-up, whereas the corresponding changes for the Polystim and control groups were 26.3% and 26.2%, respectively. Although there was no significant difference between the groups with respect to the Tegner score and the International Knee Documentation Committee 2000 knee examination score, the Kneehab group showed a significant difference in mean improvement for the baseline corrected Lysholm score compared with the control group (P =.01; 95% confidence interval, 1.12-8.59) and with the Polystim group (P&lt;.001; 95% confidence interval, 1.34-9.09) with no significant difference evident between Polystim and control groups (P =.97; 95% confidence interval, -4.23 to 3.51). Conclusion: Intensive garment-integrated stimulation combined with standard rehabilitation is effective at accelerating recovery after knee surgery.</t>
  </si>
  <si>
    <t>10.1177/0363546510396180</t>
  </si>
  <si>
    <t>http://dx.doi.org/10.1177/0363546510396180</t>
  </si>
  <si>
    <t>WOS:000291204200022</t>
  </si>
  <si>
    <t>Fleming, BC; Fadale, PD; Hulstyn, MJ; Shalvoy, RM; Oksendahl, HL; Badger, GJ; Tung, GA</t>
  </si>
  <si>
    <t>Fleming, Braden C.; Fadale, Paul D.; Hulstyn, Michael J.; Shalvoy, Robert M.; Oksendahl, Heidi L.; Badger, Gary J.; Tung, Glenn A.</t>
  </si>
  <si>
    <t>The Effect of Initial Graft Tension After Anterior Cruciate Ligament Reconstruction A Randomized Clinical Trial With 36-Month Follow-up</t>
  </si>
  <si>
    <t>Background: The initial graft tension applied at the time of anterior cruciate ligament (ACL) reconstruction alters joint contact and may influence cartilage health. The objective was to compare outcomes between 2 commonly used laxity-based initial graft tension protocols. Hypotheses: (1) The high-tension group would have less knee laxity, improved clinical and patient-oriented outcomes, and less cartilage damage than would the low-tension group after 36 months of healing. (2) The outcomes of the high-tension group would be equivalent to those of a matched control group. Study Design: Randomized controlled trial; Level of evidence, 1. Methods: Ninety patients with isolated unilateral ACL injuries were randomized to undergo ACL reconstruction using 1 of 2 initial graft tension protocols: (1) autografts tensioned to restore normal anterior-posterior (AP) laxity at the time of surgery (ie, low tension; n = 46) and (2) autografts tensioned to overconstrain AP laxity by 2 mm (ie, high tension; n = 44). Sixty matched healthy patients formed the control group. Outcomes were assessed preoperatively, intraoperatively, and at 6, 12, and 36 months after surgery. Results: No significant differences were found between the 2 initial graft tension protocols for any of the outcome measures at 36 months. However, there were differences when comparing the 2 treatment groups to the control group. On average, AP laxity was 2 mm greater in the ACL-reconstructed groups than in the control group (P &lt; .007). International Knee Documentation Committee (IKDC) knee evaluation scores, peak isokinetic knee extension torques, and 4 of 5 Knee Osteoarthritis Outcome Scores (KOOS) were significantly worse than the control group (P &lt; .001, P &lt; .027, and P &lt; .05, respectively). Short Form-36 Health Survey (SF-36) scores and reinjury rates were similar between groups at 36 months. Although there were significant changes in radiography and magnetic resonance imaging present in the ACL-reconstructed knees of both treatment groups, the magnitude was relatively small and likely clinically insignificant at 36 months. Conclusion: Both laxity-based initial graft tension protocols produced similar outcomes without fully restoring joint function or patient-oriented outcomes (KOOS) when compared with the control group. There was minimal evidence of cartilage damage 36 months after surgery.</t>
  </si>
  <si>
    <t>10.1177/0363546512464200</t>
  </si>
  <si>
    <t>http://dx.doi.org/10.1177/0363546512464200</t>
  </si>
  <si>
    <t>WOS:000313008300004</t>
  </si>
  <si>
    <t>Costa, MQ; Badger, GJ; Chrostek, CA; Carvalho, OD; Faiola, SL; Fadale, PD; Hulstyn, MJ; Gil, HC; Shalvoy, RM; Fleming, BC</t>
  </si>
  <si>
    <t>Costa, Meggin Q.; Badger, Gary J.; Chrostek, Cynthia A.; Carvalho, Orianna D.; Faiola, Stacy L.; Fadale, Paul D.; Hulstyn, Michael J.; Gil, Holly C.; Shalvoy, Robert M.; Fleming, Braden C.</t>
  </si>
  <si>
    <t>Effects of Initial Graft Tension and Patient Sex on Knee Osteoarthritis Outcomes After ACL Reconstruction: A Randomized Controlled Clinical Trial With 10-to 12-Year Follow-up</t>
  </si>
  <si>
    <t>Background: The initial graft tension applied during anterior cruciate ligament (ACL) graft fixation may promote posttraumatic osteoarthritis (PTOA). Purpose/Hypothesis: This study sought to assess the effect of initial graft tension and patient sex on PTOA outcomes at 10 to 12 years after ACL reconstruction (ACLR). The hypothesis was that there would be no group- or sex-based differences in outcomes. Study Design: Randomized controlled trial; Level of evidence, 1. Methods: Patients were randomized to receive ACLR with a low or high initial graft tension. Outcomes were evaluated at 10 to 12 years postoperatively and compared with a matched, uninjured control group. Outcomes included clinical assessments (anteroposterior [AP] knee laxity measurement, International Knee Documentation Committee [IKDC] examination score), a functional assessment (single-leg hop for distance), patient-reported outcomes (Knee injury and Osteoarthritis Outcome Score [KOOS], 36-Item Short Form Health Survey, Tegner activity level, patient satisfaction), and PTOA imaging (Osteoarthritis Research Society International [OARSI] radiographic score and Whole-Organ Magnetic Resonance Imaging Score [WORMS]). Two-way mixed-model analyses of variance were used to evaluate differences in outcomes between tension groups and the control group and between female and male patients. Results: Both tension groups scored worse than the control group for the IKDC examination (P &lt;= .021), KOOS (Pain, Activities of Daily Living, Sport/Recreation, and Quality of Life subscales) (P &lt;= .049), and WORMS difference score (P &lt;= .042). The low-tension group scored worse than the control group for KOOS Symptoms (P = .016) and the OARSI difference score (P = .015). The index limb had worse scores than the contralateral limb within the high-tension group for AP laxity (P = .030) and hop deficit (P = .011). This result was also observed within both tension groups for the WORMS (P &lt;= .050) and within the low-tension group for the OARSI score (P = .001). Male patients had higher Tegner scores (mean +/- SE) relative to female patients (male, 5.49 +/- 1.88; female, 4.45 +/- 1.65) and worse OARSI difference scores (male, 1.89 +/- 5.38; female, 0.244 +/- 0.668) (P = .007 and .034, respectively). However, no significant differences were detected between tension groups for any of the outcomes measured. Conclusion: Overall, ACLR failed to prevent PTOA regardless of initial graft tension. However, male patients treated with a low initial graft tension may be at greater risk for PTOA. These results do not support the hypothesis of no sex differences in outcomes at 10 to 12 years after ACLR.</t>
  </si>
  <si>
    <t>10.1177/03635465221124917</t>
  </si>
  <si>
    <t>http://dx.doi.org/10.1177/03635465221124917</t>
  </si>
  <si>
    <t>WOS:000870452700001</t>
  </si>
  <si>
    <t>Chen, TW; Zhang, P; Li, YX; Webster, K; Zhang, J; Yao, W; Yin, Y; Ai, CC; Chen, SY</t>
  </si>
  <si>
    <t>Chen, Tianwu; Zhang, Peng; Li, Yunxia; Webster, Kate; Zhang, Jian; Yao, Wei; Yin, Yue; Ai, Chingchong; Chen, Shiyi</t>
  </si>
  <si>
    <t>Translation, cultural adaptation and validation of simplified Chinese version of the anterior cruciate ligament return to sport after injury (ACL-RSI) scale</t>
  </si>
  <si>
    <t>PLOS ONE</t>
  </si>
  <si>
    <t>Purpose To translate and cross-culturally adapt the anterior cruciate ligament-return to sport after injury (ACL-RSI) into simplified Chinese [ACL-RSI (Cn)]. Method In this diagnostic study, the translation, cross-culturally adaptation, and validation of the ACL-RSI was performed according to international guidelines. A total of 112 patients with ACL reconstruction participated in this study. All were capable of competitive sports before the injury and completed the Knee Injury and Osteoarthritis Outcome (KOOS), the International Knee Documentation Committee (IKDC), the Tampa Scale of Kinesiophobia (TSK), and the Tegner activity score. Forty-eight patients completed the ACL-RSI (Cn) twice within two weeks. The validity was tested using seven premade hypotheses. Internal consistency, reliability, and measurement error was assessed. Result At meanly 15.6 months postoperative, 81 (72.3%) patients returned to sport, with 57 (50.9%) to competitive sport and 24 (21.4%) to recreational sport. Thirty-one (27.7%) patients didn't return to any sport, with 19 (17.0%) still had planned to return, and 12 (10.7%) gave up sport. The ACL-RSI (Cn) demonstrated excellent validity with all hypotheses confirmed. The outcome of ACL-RSI (Cn) was strongly correlated the KOOS subscale quality of life (r = 0.66, p &lt; 0.001), the TSK (r = -0.678, p &lt; 0.001), the Tegner score (r = 0.695, p &lt; 0.001). There was statistic difference between cases returned (68.6 +/- 10.1) and didn't return to sport (41.3 +/- 17.7), p &lt; 0.001; between cases returned to competitive (71.1 +/- 8.9) and recreational sport (62.9 +/- 10.5), (P = 0.002); between cases who planned to return (50.7 +/- 14.1) and gave up sport (26.5 +/- 11.7), (P &lt; 0.001). The internal consistency (Cronbach's a = 0.96) and test-retest reliability [intra-class correlation coefficient (ICC) = 0.90] was excellent. The measurement error, floor and ceiling effect was satisfactory. Administration time was 3.2 minutes, and no item was missed. Conclusions The ACL-RSI (Cn) scale was confirmed as a valid, reliable, and feasible tool for evaluating psychological factors influencing return to sport.</t>
  </si>
  <si>
    <t>e0183095</t>
  </si>
  <si>
    <t>10.1371/journal.pone.0183095</t>
  </si>
  <si>
    <t>http://dx.doi.org/10.1371/journal.pone.0183095</t>
  </si>
  <si>
    <t>WOS:000407856600065</t>
  </si>
  <si>
    <t>Mayr, HO; Hochrein, A; Hein, W; Hube, R; Bernstein, A</t>
  </si>
  <si>
    <t>Mayr, Hermann Otto; Hochrein, Alfred; Hein, Werner; Hube, Robert; Bernstein, Anke</t>
  </si>
  <si>
    <t>Rehabilitation results following anterior cruciate ligament reconstruction using a hard brace compared to a fluid-filled soft brace</t>
  </si>
  <si>
    <t>The purpose of this study was to compare the clinical Outcomes of rehabilitation after ACL reconstruction using a water-filled soft brace to those using a hard brace. The method used in this Study was a prospective randomised clinical trial including 36 patients wearing a hard brace and 37 patients wearing a water-filled Soft brace for 6 weeks after surgery. Preoperative and postoperative (seven examinations) clinical evaluation within a follow-up period of I year including effusion status, swelling and range of motion (ROM), IKDC 2000, KT1000 Arthrometer TM, Lysholm knee scoring scale and Tegner activity score. Mean values are presented with standard deviations. Data was analysed using descriptive statistics and Student's t-test for Unpaired samples. Significantly less effusion was found in the soft brace group from 5 days (p = 0.002) to 12 weeks (p &lt; 0.024) postoperative. Hard brace patients presented with significantly more extension deficit from 5 days (p = 0.036) to 12 months (p = 0.014) postoperative but no significant difference was detected in complete ROM, laxity or thigh atrophy at any follow-up examination. Patients treated with a soft brace had significantly higher IKDC subjective ratings at 6 weeks (p = 0.02) up to 12 months after operation (p = 0.002) and rated significantly higher in Tegner activity score (p = 0.004) and Lysholm knee scoring scale (p = 0.006) 6 and 12 months (p &lt; 0.001 for both scores) postoperatively. The water-filled soft brace was superior regarding effusion, swelling, extension deficit and patient-measured midterm outcome. The soft brace presents a safe. easy-to-use and effective alternative to the hard brace. (C) 2009 Elsevier B.V. All rights reserved.</t>
  </si>
  <si>
    <t>10.1016/j.knee.2009.07.002</t>
  </si>
  <si>
    <t>http://dx.doi.org/10.1016/j.knee.2009.07.002</t>
  </si>
  <si>
    <t>WOS:000275263000005</t>
  </si>
  <si>
    <t>Frobell, RB; Roos, EM; Roos, HP; Ranstam, J; Lohmander, LS</t>
  </si>
  <si>
    <t>Frobell, Richard B.; Roos, Ewa M.; Roos, Harald P.; Ranstam, Jonas; Lohmander, L. Stefan</t>
  </si>
  <si>
    <t>A Randomized Trial of Treatment for Acute Anterior Cruciate Ligament Tears</t>
  </si>
  <si>
    <t>NEW ENGLAND JOURNAL OF MEDICINE</t>
  </si>
  <si>
    <t>BACKGROUND The optimal management of a torn anterior cruciate ligament (ACL) of the knee is unknown. METHODS We conducted a randomized, controlled trial involving 121 young, active adults with acute ACL injury in which we compared two strategies: structured rehabilitation plus early ACL reconstruction and structured rehabilitation with the option of later ACL reconstruction if needed. The primary outcome was the change from baseline to 2 years in the average score on four subscales of the Knee Injury and Osteoarthritis Outcome Score (KOOS) - pain, symptoms, function in sports and recreation, and knee-related quality of life (KOOS4; range of scores, 0 [worst] to 100 [best]). Secondary outcomes included results on all five KOOS subscales, the Medical Outcomes Study 36-Item Short-Form Health Survey, and the score on the Tegner Activity Scale. RESULTS Of 62 subjects assigned to rehabilitation plus early ACL reconstruction, 1 did not undergo surgery. Of 59 assigned to rehabilitation plus optional delayed ACL reconstruction, 23 underwent delayed ACL reconstruction; the other 36 underwent rehabilitation alone. The absolute change in the mean KOOS4 score from baseline to 2 years was 39.2 points for those assigned to rehabilitation plus early ACL reconstruction and 39.4 for those assigned to rehabilitation plus optional delayed reconstruction (absolute between-group difference, 0.2 points; 95% confidence interval, -6.5 to 6.8; P=0.96 after adjustment for the baseline score). There were no significant differences between the two treatment groups with respect to secondary outcomes. Adverse events were common in both groups. The results were similar when the data were analyzed according to the treatment actually received. CONCLUSIONS In young, active adults with acute ACL tears, a strategy of rehabilitation plus early ACL reconstruction was not superior to a strategy of rehabilitation plus optional delayed ACL reconstruction. The latter strategy substantially reduced the frequency of surgical reconstructions. (Funded by the Swedish Research Council and the Medical Faculty of Lund University and others; Current Controlled Trials number, ISRCTN84752559.)</t>
  </si>
  <si>
    <t>10.1056/NEJMoa0907797</t>
  </si>
  <si>
    <t>http://dx.doi.org/10.1056/NEJMoa0907797</t>
  </si>
  <si>
    <t>WOS:000280139300006</t>
  </si>
  <si>
    <t>Jagodzinski, M; Geiges, B; von Falck, C; Knobloch, K; Haasper, C; Brand, J; Hankemeier, S; Krettek, C; Meller, R</t>
  </si>
  <si>
    <t>Jagodzinski, Michael; Geiges, Bjoern; von Falck, Christian; Knobloch, Karsten; Haasper, Carl; Brand, Juergen; Hankemeier, Stefan; Krettek, Christian; Meller, Rupert</t>
  </si>
  <si>
    <t>Biodegradable Screw Versus a Press-Fit Bone Plug Fixation for Hamstring Anterior Cruciate Ligament Reconstruction A Prospective Randomized Study</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</si>
  <si>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(1)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+/- 10.9% for group P and 121.9% +/- 9.0% for group I (P &lt; .02) in the anteroposterior (AP) plane and 102.8% +/- 15.2% versus 121.5% +/- 10.1 % in the coronal plane (P &lt; .01). The IKDC, Tegner, and Lysholm scores improved in both groups from preoperatively to postoperatively without significant differences between the 2 groups. There was a trend to higher knee stability in group P after 3 months (0.6 +/- 1.4 mm vs 1.8 +/- 1.5 mm; P = .08). Conclusion: Both interference screw and a press-fit fixation lead to a high number of good or very good outcomes after ACL reconstruction. Tibial press-fit fixation decreases the amount of proximal bone tunnel enlargement.</t>
  </si>
  <si>
    <t>http://dx.doi.org/10.1177/0363546509350325</t>
  </si>
  <si>
    <t>WOS:000274803800009</t>
  </si>
  <si>
    <t>Kostogiannis, L; Ageberg, E; Neuman, P; Dahlberg, L; Fridén, T; Roos, H</t>
  </si>
  <si>
    <t>Kostogiannis, Loannis; Ageberg, Eva; Neuman, Paul; Dahlberg, Leif; Friden, Thomas; Roos, Harald</t>
  </si>
  <si>
    <t>Activity level and subjective knee function 15 years after anterior Cruciate ligament injury -: A prospective, longitudinal study of non reconstructed patients</t>
  </si>
  <si>
    <t>Background: The activity level and subjective knee function after an anterior cruciate ligament (ACL) injury treated without reconstruction have not been well elucidated. Hypothesis: Patients with ACL injury can achieve good knee function and satisfactory long-term activity level when treated by early activity modification combined with rehabilitation. Study Design: Cohort study (prognosis); Level of evidence, 2. Materials and Methods: One hundred patients with an acute total ACL injury were observed for 15 years. All patients initially underwent arthroscopic surgery and a rehabilitation program. They were advised to modify their activity level, especially by avoiding contact sports. Patients with recurrent giving-way episodes and/or secondary meniscal injuries that required fixation (n = 6) were subsequently excluded and underwent reconstruction (n = 22). Sixty-seven patients with unilateral nonreconstructed ACL injury remained at the 15-year follow-up. The Lysholm knee score, Tegner activity level, and a visual analog score for global knee function were recorded at regular intervals. At the final follow-up, patients were further evaluated with the Knee injury and Osteoarthritis Outcome Score (KOOS) and International Knee Documentation Committee (IKDC) subjective knee evaluation form. Results: Forty patients resumed their preinjury activity level or higher within 3 years. The median activity level 15 years after injury had decreased from 7 to 4 according to Tegner activity scale (P &lt; .001). The mean Lysholm knee score was 96 and 95, 1 and 3 years after injury, respectively, but declined to 86 after 15 years (P &lt; .001). Forty-nine patients had good/excellent results, and 14 had fair (n = 6) or poor function (n = 8) at 15 years. Patients injured in contact sports scored lower in the quality of life subscale of KOOS than those injured in noncontact sports (P &lt; .05). Thirteen of the 67 patients (19%) were reoperated with an arthroscopic procedure because of knee symptoms. Conclusion: Early activity modification and neuromuscular rehabilitation resulted in a good knee function and an acceptable activity level in the majority of the non reconstructed patients. The decline in activity level of patients engaged in contact sports at the time of injury affected their subjective quality of life more than patients involved in noncontact sports.</t>
  </si>
  <si>
    <t>10.1177/0363546507299238</t>
  </si>
  <si>
    <t>http://dx.doi.org/10.1177/0363546507299238</t>
  </si>
  <si>
    <t>WOS:000247813200013</t>
  </si>
  <si>
    <t>Darabos, N; Haspl, M; Moser, C; Darabos, A; Bartolek, D; Groenemeyer, D</t>
  </si>
  <si>
    <t>Darabos, Nikica; Haspl, Miroslav; Moser, Carsten; Darabos, Anela; Bartolek, Dubravka; Groenemeyer, Dietrich</t>
  </si>
  <si>
    <t>Intraarticular application of autologous conditioned serum (ACS) reduces bone tunnel widening after ACL reconstructive surgery in a randomized controlled trial</t>
  </si>
  <si>
    <t>Purpose Pro-inflammatory cytokines play a pivotal role in osteoarthritis, as well as in bone tunnel widening after ACL reconstructive surgery. A new treatment option is to administer autologous conditioned serum (ACS) containing endogenous anti-inflammatory cytokines including IL-1Ra and growth factors (IGF-1, PDGF, and TGF-beta 1, among others) in the liquid blood phase. The purpose of this trial was to establish whether the postoperative outcome could be affected by intraarticular application of ACS. Methods In a prospective, randomized, double-blinded, placebo-controlled trial with two parallel groups, 62 patients were treated. Bone tunnel width was measured by CT scans, while clinical efficacy was assessed by patient-administered outcome instruments (WOMAC, IKDC 2000) up to 1 year following the ACL reconstruction in patients receiving either ACS (Group A) or placebo (Group B). We compared the levels and dynamics of IL-1 beta concentrations in the synovial liquid and examined the correlation between the levels of IL-1 beta at three different postoperative points. Results Bone tunnel enlargement was significantly less (6 months: 8%, 12 months: 13%) in Group A than in Group B (6 months: 31%, 12 months: 38%). Clinical outcomes (WOMAC, IKDC 2000) were consistently better in patients treated with ACS at all data points and for all outcome parameters, and there were statistically significant differences in the WOMAC stiffness subscale after 1 year. The decrease in IL-1 beta synovial fluid concentration was more pronounced in the ACS group, and values were lower, to a statistically significant degree, in the ACS group at day 10. Conclusion The intraarticular administration/injection of ACS results in decreased bone tunnel widening after ACL reconstructive surgery.</t>
  </si>
  <si>
    <t>S46</t>
  </si>
  <si>
    <t>10.1007/s00167-011-1458-4</t>
  </si>
  <si>
    <t>http://dx.doi.org/10.1007/s00167-011-1458-4</t>
  </si>
  <si>
    <t>WOS:000297736600007</t>
  </si>
  <si>
    <t>Fukuda, TY; Fingerhut, D; Moreira, VC; Camarini, PMF; Scodeller, NF; Duarte, A; Martinelli, M; Bryk, FF</t>
  </si>
  <si>
    <t>Fukuda, Thiago Yukio; Fingerhut, Deborah; Moreira, Viviane Coimbra; Ferreira Camarini, Paula Maria; Scodeller, Nathalia Folco; Duarte, Aires, Jr.; Martinelli, Mauro; Bryk, Flavio Fernandes</t>
  </si>
  <si>
    <t>Open Kinetic Chain Exercises in a Restricted Range of Motion After Anterior Cruciate Ligament Reconstruction A Randomized Controlled Clinical Trial</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</si>
  <si>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(P&lt;.05) was noted between groups with respect to demographic data. Both groups (EOKC and LOKC) had a higher level of function and less pain at the 19-week, 25-week, and 17-month assessments when compared with 12 weeks postoperatively (P&lt;.05). The EOKC group had improved quadriceps muscle strength at the 19-week, 25-week, and 17-month follow-up when compared with 12 weeks postoperatively (P&lt;.05); the LOKC group showed improvement only at the 17-month postoperative assessment. However, the analysis between groups showed no difference for all pain and functional assessments, including anterior knee laxity (P&gt;.05).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</si>
  <si>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WOS:000318295500018</t>
  </si>
  <si>
    <t>Porter, M; Shadbolt, B; Ye, X; Stuart, R</t>
  </si>
  <si>
    <t>Porter, Mark; Shadbolt, Bruce; Ye, Xuan; Stuart, Robert</t>
  </si>
  <si>
    <t>Ankle Lateral Ligament Augmentation Versus the Modified Brostrom-Gould Procedure: A 5-Year Randomized Controlled Trial</t>
  </si>
  <si>
    <t>Background: Ankle sprain is a common injury, and &gt;20% of patients may develop chronic instability for which surgery is indicated. The modified Brostrom-Gould (MBG) procedure remains the gold standard; however, there are a number of relative contraindications to this procedure, and the longer-term outcomes after the MBG have been questioned. An alternative procedure is augmentation of a primary repair with a ligament augmentation reconstruction system (LARS). Purpose: To conduct a randomized controlled trial testing the null-hypothesis that there is no difference in patient scored outcomes and activity levels, between patients undergoing a MBG procedure compared with those undergoing a primary repair with LARS augmentation, for lateral ligament instability of the ankle. Study Design: Randomized controlled trial; Level of evidence, 1. Methods: Patients who satisfied the inclusion criteria were invited to take part in the study. Patients were randomly allocated to undergo the LARS or MBG procedure. Both groups followed similar postoperative rehabilitation. Patients completed the Foot and Ankle Outcome Score (FAOS) before surgery and then at 1, 2, and 5 years after surgery. Tegner activity scores were recorded at 5years. The scores in the 2 groups were compared via statistical analysis (P &lt; .05). Results: Of the 50 patients satisfying the inclusion criteria, 47 agreed to take part in the study. Twenty-two were randomized to the LARS group and 25 to the MBG group. At 5 years, follow-up data were complete for 20 patients in the LARS group and 21 in the MBG. There were 2 failures in the MBG group and 0 in the LARS group. The LARS group had significantly better improvement in total FAOS at 1 year (mean +/- SD, 92.4 +/- 2.5 vs 78.2 +/- 3.4, P = .005), 2 years (94.0 +/- 3.0 vs 78.0 +/- 5.2, P = .003), and 5 years (93.7 +/- 6.0 vs 75.1 +/- 5.5, P = .002) after surgery. The 5-year Tegner activity scores were higher in the LARS group (8.25 +/- 1.1 vs 7.2 +/- 0.9, P = .03). Conclusion: Among physically active patients with chronic lateral ligament instability, primary repair combined with LARS results in better total FAOS at 5-year follow-up and higher Tegner activity scores as compared with the MBG procedure. Registration: ACTRN12618000906257 (Australia New Zealand Clinical Trial Registry).</t>
  </si>
  <si>
    <t>10.1177/0363546518820529</t>
  </si>
  <si>
    <t>http://dx.doi.org/10.1177/0363546518820529</t>
  </si>
  <si>
    <t>WOS:000460055500021</t>
  </si>
  <si>
    <t>Beaudoin, A; Ogborn, D; McRae, S; Larose, G; Brown, H; McCormack, R; MacDonald, P</t>
  </si>
  <si>
    <t>Beaudoin, Alisha; Ogborn, Dan; McRae, Sheila; Larose, Gabriel; Brown, Holly; McCormack, Robert; MacDonald, Peter</t>
  </si>
  <si>
    <t>Purpose Contralateral graft harvest in primary ACL reconstruction is relatively uncommon and the long-term comparative of this approach relative to ipsilateral harvest has not been described. The purpose of this study was to evaluate ACL graft and contralateral rupture following ipsilateral or contralateral semitendinosus and gracilis (STG) graft harvest at follow-up of a minimum 10 years post-reconstruction in the treatment of a complete ACL tear. Methods Patients from a previous randomized trial were evaluated. The primary outcome measures were ipsilateral and contralateral reinjury as well as the International Knee Documentation Committee (IKDC) knee assessment form, the ACL Quality of Life questionnaire (ACL-QoL) and the Tegner activity scale. Participants completed four different single-leg hop tests and concentric knee flexion and extension strength were assessed on an isokinetic dynamometer. Results Of the original 100 patients, 50 patients (41.3 +/- 9.5 years of age, 31 males, 19 females) reported on re-injury at 12.6 +/- 1.4 years post-operative. Thirty-eight patients returned for full assessment and 12 responded by mail or phone survey. There were no differences between groups for graft rupture, contralateral injury, ACL-QoL score, IKDC categorization, or anterior tibial translation, though both groups experienced a reduction in the Tegner Activity Scale from their preinjury scores. There was no difference in knee flexor and extensor isokinetic concentric strength, or single leg hop test performance. Knee flexor strength limb symmetry index was reduced when measured in the supine relative to the seated position in both groups, indicating persistent deficits in knee flexor strength when measured in the supine position. Conclusion Contralateral hamstring harvest does not put patients at an increased risk of a contralateral ACL tear and long-term outcomes of ACL reconstruction do not differ based on the side of graft harvest. Contralateral STG harvest may provide a safe alternative surgical option for select patients.</t>
  </si>
  <si>
    <t>WOS:000790611800001</t>
  </si>
  <si>
    <t>Arneja, S; Froese, W; MacDonald, P</t>
  </si>
  <si>
    <t>Augmentation of femoral fixation in hamstring anterior cruciate ligament reconstruction with a bioabsorbable bead - A prospective single-blind randomized clinical trial</t>
  </si>
  <si>
    <t>WOS:000220711300021</t>
  </si>
  <si>
    <t>Matsumoto, T; Kuroda, R; Matsushita, T; Araki, D; Hoshino, Y; Nagamune, K; Kurosaka, M</t>
  </si>
  <si>
    <t>Matsumoto, Tomoyuki; Kuroda, Ryosuke; Matsushita, Takehiko; Araki, Daisuke; Hoshino, Yuichi; Nagamune, Kouki; Kurosaka, Masahiro</t>
  </si>
  <si>
    <t>Reduction of Tunnel Enlargement With Use of Autologous Ruptured Tissue in Anterior Cruciate Ligament Reconstruction: A Pilot Clinical Trial</t>
  </si>
  <si>
    <t>Purpose: To compare the tunnel enlargement of double-bundle (DB) anterior cruciate ligament reconstruction (ACLR) with and without suturing of autologous ruptured tissue to hamstring graft in patients with subacute anterior cruciate ligament injury. Methods: Ten patients with subacute (&lt;= 3 months after injury) anterior cruciate ligament rupture were randomly allocated to undergo DB ACLR with suturing of the ruptured tissue to hamstring graft (n = 5) or conventional DB ACLR (n 5). When autologous ruptured tissue was used, remnant ruptured tissue was then harvested, divided into 4 pieces, placed between the loops at the distal and proximal portions of the graft, and secured with the suture. As the primary endpoint, tunnel volume assessment by 3-dimensional multie-detector row computed tomography (MDCT) was performed 1 year after ACLR. To assess the efficacy of these procedures, the Lysholm score, anterior tibial translation (measured with a KT-1000 arthrometer [MEDmetric, San Diego, CA]), and rotational instability (measured by the pivot-shift test) were evaluated after 2 years. Results: Tunnel volume enlargement between 3 weeks and 1 year after ACLR as assessed by 3-dimensional MDCT was significantly less for ACLR using ruptured tissue than for conventional ACLR, especially at the femoral site (P&lt;.05). However, the postoperative Lysholm score, anterior stability of the knee measured with the KT-1000 arthrometer, and rate of negative manual pivot-shift test results did not differ significantly between the 2 groups. There was no correlation to the clinical outcomes in terms of tunnel size. Conclusions: The Lysholm score, anterior laxity measured with the KT-1000 arthrometer, and rotational instability according to the pivot-shift test did not differ significantly between ACLR using ruptured tissue and the conventional technique. However, ACLR using ruptured tissue produced less femoral tunnel enlargement as assessed by MDCT, warranting further long-term follow-up to elucidate its effectiveness. Level of Evidence: Level II, prospective comparative study.</t>
  </si>
  <si>
    <t>WOS:000334049500013</t>
  </si>
  <si>
    <t>Effect of Posterolateral Bundle Graft Fixation Angles on Clinical Outcomes in Double-Bundle Anterior Cruciate Ligament Reconstruction A Randomized Controlled Trial</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</si>
  <si>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 = 30), 20 degrees (P20; n = 30), and 45 degrees (P45; n = 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 = 25; P20, n = 26; P45, n = 24) who were followed for 2 years were evaluated. Preoperatively, there were no differences among the groups. Postoperatively, pivot-shift test results in the P0 and P20 groups were better than those in the P45 group (P0, n = 23 graded negative and 2 graded 1+; P20, n = 23 and 2; P45, n = 15 and 7, respectively; P0 vs P45: P = .038 and P20 vs P45: P = .038). Average KT-1000 arthrometer laxity measurements were better in the P20 group than in the P45 group (P0, 0.4 mm; P20, 0.3 mm; P45, 1.3 mm; P20 vs P45: P = .048), and there were more patients with graft failure (KT-1000 measurement, 4 mm) in the P45 group (n = 3) than the P0 and P20 groups (each, n = 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</si>
  <si>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WOS:000353980000022</t>
  </si>
  <si>
    <t>Birmingham, TB; Bryant, DM; Giffin, JR; Litchfield, RB; Kramer, JF; Donner, A; Fowler, PJ</t>
  </si>
  <si>
    <t>Birmingham, Trevor B.; Bryant, Dianne M.; Giffin, J. Robert; Litchfield, Robert B.; Kramer, John F.; Donner, Allan; Fowler, Peter J.</t>
  </si>
  <si>
    <t>Background: Despite a lack of evidence for their effectiveness, functional knee braces are commonly prescribed to patients after anterior cruciate ligament ( ACL) reconstruction. Purpose: This trial was conducted to compare postoperative outcomes in patients using an ACL functional knee brace and patients using a neoprene knee sleeve. Hypothesis: Patients using a brace will have superior outcomes than those using a sleeve. Study Design: Randomized controlled clinical trial; Level of evidence, 1. Methods: One hundred fifty patients were randomized to receive a brace (n = 76) or neoprene sleeve ( n = 74) at their 6-week postoperative visit after primary ACL reconstruction with hamstring autograft. Patients were assessed preoperatively, then 6 weeks and 6, 12, and 24 months postoperatively. Outcome measures included disease-specific quality of life (Anterior Cruciate Ligament-Quality of Life [ACL-QOL] Questionnaire), anterior tibial translation (KT-1000 arthrometer side-to-side difference), the single-limb forward hop test ( limb symmetry index), and Tegner Activity Scale. Outcomes at 1 and 2 years were compared after adjusting for baseline scores. Subjective ratings of how patients felt while using the brace/sleeve were also collected for descriptive purposes using a questionnaire. Four a priori directional subgroup hypotheses were evaluated using tests for interactions. Results: There were no significant differences between brace (n = 62) and sleeve ( n = 65) groups for any of the outcomes at 1-and 2-year follow-ups. Adjusted mean differences at 2 years were as follows: -0.94 (95% confidence interval [CI], -7.52 to 5.64) for the ACL-QOL Questionnaire, -0.10 mm ( 95% CI, -0.99 to 0.81) for KT-1000 arthrometer side-to-side difference, -0.87% ( 95% CI, -8.89 to 7.12) for hop limb symmetry index, and -0.05 ( 95% CI, -0.72 to 0.62) for the Tegner Activity Scale. Subjective ratings of confidence in the knee provided by the brace/ sleeve were higher for the brace group than the sleeve group. Subgroup findings were minimal. Adverse events were few and similar between groups. Conclusions: A functional knee brace does not result in superior outcomes compared with a neoprene sleeve after ACL reconstruction. Current evidence does not support the recommendation of using an ACL functional knee brace after ACL reconstruction.</t>
  </si>
  <si>
    <t>WOS:000254679500003</t>
  </si>
  <si>
    <t>Kulinski, K; Wasko, MK; Trams, E; Malesa, K; Pomianowski, S; Kaminski, R</t>
  </si>
  <si>
    <t>Kulinski, Krzysztof; Wasko, Marcin K.; Trams, Ewa; Malesa, Kamila; Pomianowski, Stanislaw; Kaminski, Rafal</t>
  </si>
  <si>
    <t>Background:Hamstring tendon grafts are the most common choice for anterior cruciate ligament (ACL) reconstruction (ACLR). Previous studies have provided evidence that offers conflicting opinions concerning the most favorable graft choice. Purpose:To identify whether the use of a quadrupled semitendinosus tendon (ST) or doubled semitendinosus tendon and gracilis tendon (ST/G) graft provides comparable anterior tibial translation (ATT) with similar functional results and similar donor site morbidity. Study Design:Randomized controlled trial; Level of evidence, 1. Methods:This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t>
  </si>
  <si>
    <t>WOS:000942491200008</t>
  </si>
  <si>
    <t>MacDonald, P; Kim, C; McRae, S; Leiter, J; Khan, R; Whelan, D</t>
  </si>
  <si>
    <t>MacDonald, Peter; Kim, Chris; McRae, Sheila; Leiter, Jeff; Khan, Ryan; Whelan, Daniel</t>
  </si>
  <si>
    <t>The anteromedial (AMP) portal technique was introduced to position the femoral tunnel in anterior cruciate ligament (ACL) reconstruction to more closely replicate the original ACL footprint compared to the transtibial (TT) approach. Few randomized trials have evaluated differences in these techniques with respect to clinical outcomes. The purpose of this study was to determine if there are any differences in clinical outcome between the AMP and TT approaches. This is a single-blinded, prospective, randomized controlled trial. Participants were randomized to undergo ACL reconstruction using the AMP or TT approach. The primary outcome measure was the ACL quality of life (ACL-QOL), and secondary outcomes were the IKDC knee assessment, side-to-side difference in anterior-posterior knee laxity (KT-1000) and tunnel orientation (X-ray findings) at preoperative, 3, 6, 12, and 24 months postoperative. Statistical comparisons were performed using a series of t tests for independent groups with equal variance. Ninety-six participants were consented and randomized between 2007 and 2011 with eight excluded postrandomization. Mean (SD) preoperative ACL-QOL was 33 (13) for TT and 36 (17) for AMP and improved significantly (p &lt; 0.001) in both groups to 79 (18) and 78 (18) at 24 months postoperative, respectively. The preoperative median IKDC grade for both groups was C and improved similarly in both groups at 24 months (n.s.). There was no side-to-side difference in knee laxity based on KT-1000 measurements with a mean (SD) 1 (3) mm between affected and unaffected limbs in the TT group compared to 1 (3) mm for the AMP group. A significant difference was found in femoral tunnel orientation with the AMP group at 43A degrees (7) and the TT group 58A degrees (8) in the coronal plane (p &lt; 0.001). No differences in clinical outcome were found when comparing AMP to TT in primary ACL reconstruction using a STG graft. This prospective randomized controlled trial suggests surgeons can use either method without significantly compromising clinical outcome. I.</t>
  </si>
  <si>
    <t>http://dx.doi.org/10.1007/s00167-017-4664-x</t>
  </si>
  <si>
    <t>WOS:000430469400006</t>
  </si>
  <si>
    <t>Karikis, I; Desai, N; Sernert, N; Rostgard-Christensen, L; Kartus, J</t>
  </si>
  <si>
    <t>Karikis, Ioannis; Desai, Neel; Sernert, Ninni; Rostgard-Christensen, Lars; Kartus, Juri</t>
  </si>
  <si>
    <t>Comparison of Anatomic Double- and Single-Bundle Techniques for Anterior Cruciate Ligament Reconstruction Using Hamstring Tendon Autografts A Prospective Randomized Study With 5-Year Clinical and Radiographic Follow-up</t>
  </si>
  <si>
    <t>Background:The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</si>
  <si>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WOS:000375599600019</t>
  </si>
  <si>
    <t>Bohn, MB; Sorensen, H; Petersen, MK; Soballe, K; Lind, M</t>
  </si>
  <si>
    <t>Bohn, Marie Bagger; Sorensen, Henrik; Petersen, Mette Krintel; Soballe, Kjeld; Lind, Martin</t>
  </si>
  <si>
    <t>Rotational laxity after anatomical ACL reconstruction measured by 3-D motion analysis: a prospective randomized clinical trial comparing anatomic and nonanatomic ACL reconstruction techniques</t>
  </si>
  <si>
    <t>To compare the ability of three different anterior cruciate ligament (ACL) reconstruction techniques to normalize rotational knee stability 1 year after ACL reconstruction. Two of these techniques are so-called anatomic techniques. Three different ACL reconstruction techniques were tested for their ability to normalize rotational knee stability in a prospective randomized study. Forty-seven ACL-deficient (ACLD) patients were randomized to transtibial single-bundle (SB), anatomic SB, and double-bundle ACL reconstruction. Three-dimensional motion analysis was performed preoperatively and at 1-year follow-up to evaluate tibial rotation and rotational stiffness. Motion data were captured using an eight-camera motion analysis system. Tibial rotation was determined during walking, running, and a pivoting task. Other outcome parameters were KT-1000 knee laxity measurements and the subjective outcome scores KOOS and IKDC. Three-dimensional motion analysis demonstrated that the tibial internal rotation and the rotational stiffness did not differ between the ACL reconstruction techniques during walking, running, and pivoting at 1-year follow-up. Objective knee stability and subjective outcome scores did not differ between the reconstruction groups. No significant difference in rotational stability walking, running, and pivoting was seen between anatomic and nonanatomic ACL reconstruction techniques at 1-year follow-up. Therapeutic study, Level I.</t>
  </si>
  <si>
    <t>10.1007/s00167-014-3156-5</t>
  </si>
  <si>
    <t>http://dx.doi.org/10.1007/s00167-014-3156-5</t>
  </si>
  <si>
    <t>WOS:000365715800004</t>
  </si>
  <si>
    <t>Muneta, T; Koga, H; Mochizuki, T; Ju, YJ; Hara, K; Nimura, A; Yagishita, K; Sekiya, I</t>
  </si>
  <si>
    <t>Muneta, Takeshi; Koga, Hideyuki; Mochizuki, Tomoyuki; Ju, Young-Jin; Hara, Kenji; Nimura, Akimoto; Yagishita, Kazuyoshi; Sekiya, Ichiro</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</si>
  <si>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</si>
  <si>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WOS:000247412900007</t>
  </si>
  <si>
    <t>Drocco, L; Camazzola, D; Ferracini, R; Lustig, S; Ravera, L; Graziano, E; Massè, A; Bistolfi, A</t>
  </si>
  <si>
    <t>Drocco, Luca; Camazzola, Daniele; Ferracini, Riccardo; Lustig, Sebastien; Ravera, Laura; Graziano, Eugenio; Masse, Alessandro; Bistolfi, Alessandro</t>
  </si>
  <si>
    <t>Tripled semitendinosus with single harvesting is as effective but less invasive compared to standard gracilis-semitendinosus harvesting</t>
  </si>
  <si>
    <t>MLTJ-MUSCLES LIGAMENTS AND TENDONS JOURNAL</t>
  </si>
  <si>
    <t>Introduction: The anterior cruciate ligament (ACL) reconstruction with pes anserinus tendons has been increasingly used throughout the last years. Although less invasive compared to other autologous grafts, a reduction of internal rotation and flexion strength after gracilis and semitendinosus harvesting has been reported. Harvesting one tendon instead of two from the pes anserinus can reduce the deficit of the knee flexor strength and improve the functional recover without weakening the reconstructed ligament. Methods: Forty-five (45) patients who had ACL reconstruction with triple semitendinosus graft (ST3) have been compared with other 45 similar patients who had ACL reconstruction with double gracilis-semitendinosus tendons (GST). Patients have been evaluated at a minimum of 12 months after surgery: IKDC scale, KT-1000, One Leg Hop Test for the objective stability; Isokinetic test for the strength; Tegner scale, Lysholm and IKDC subjective evaluation form for the function. Results: No differences have been detected between the groups for the objective item assessed. Male patients' subjective IKDC score was statistically better for the ST3 group. Recreational soccer players showed a higher Lysholm and subjective IKDC score in ST3 group compared to GST group. There was no difference regarding the return to sport. Conclusion: ST3 guarantees the same objective knee stability compared to a GST. It is a viable option for ACL reconstruction that allows a better preservation of patient's anatomy and a less invasive harvesting surgery.</t>
  </si>
  <si>
    <t>OCT-DEC</t>
  </si>
  <si>
    <t>10.11138/mltj/2017.7.4.564</t>
  </si>
  <si>
    <t>http://dx.doi.org/10.11138/mltj/2017.7.4.564</t>
  </si>
  <si>
    <t>WOS:000430823600011</t>
  </si>
  <si>
    <t>Liu, YL; Cui, GQ; Yan, H; Yang, YP; Ao, YF</t>
  </si>
  <si>
    <t>Liu, Yulei; Cui, Guoqing; Yan, Hui; Yang, Yuping; Ao, Yingfang</t>
  </si>
  <si>
    <t>Comparison Between Single- and Double-Bundle Anterior Cruciate Ligament Reconstruction With 6-to 8-Stranded Hamstring Autograft: A Prospective, Randomized Clinical Trial</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</si>
  <si>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</si>
  <si>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WOS:000383019300021</t>
  </si>
  <si>
    <t>Kim, JG; Kang, SH; Kim, JH; Lim, CO; Wang, JH</t>
  </si>
  <si>
    <t>Kim, Jae Gyoon; Kang, Seung Hoon; Kim, Jun Ho; Lim, Chae Ouk; Wang, Joon Ho</t>
  </si>
  <si>
    <t>Comparison of Clinical Results, Second-Look Arthroscopic Findings, and MRI Findings Between the Transportal and Outside-In Techniques for Double-Bundle Anatomic Anterior Cruciate Ligament Reconstruction A Prospective, Randomized Controlled Trial With a Minimum 2-Year Follow-up</t>
  </si>
  <si>
    <t>Background: Although image analysis has shown that the outside-in (OI) technique is associated with different femoral tunnel geometry than the transportal (TP) technique in anatomic anterior cruciate ligament (ACL) reconstruction, it is not known whether clinical results differ between the 2 techniques. Purpose: To compare clinical results, second-look arthroscopic findings, and magnetic resonance imaging (MRI) findings between the TP and 01 techniques in anatomic double-bundle (DB) ACL reconstruction. Study Design: Randomized controlled trial; Level of evidence, 2. Methods: From November 2010 to March 2013, 128 patients were enrolled in this study and were randomly assigned to either the TP group (64 patients) or the 01 group (64 patients), and DB ACL reconstructions were performed. At the minimum 2-year follow-up (34.9 +/- 10.9 months), 111 patients (86.7%) were evaluated with multiple clinical scores and stability tests (KT-2000 arthrometer, Lachman test, and pivot-shift test). Ninety-three knees were evaluated for graft continuity, graft tension, and synovialization by use of second-look arthroscopy. Seventy-eight knees were evaluated on MRI for graft continuity, femoral graft tunnel healing, and graft signal/noise quotient (SNQ). The primary outcome was KT-2000 arthrometer results. Results were compared between the TP and 01 groups. Results: No significant differences were found between the 2 groups in terms of KT-2000 arthrometer results, which was the primary outcome, and other clinical results, with the exception of the postoperative functional test of International Knee Documentation Committee (IKDC) objective score. The ratio of grade A and B on the postoperative functional test of IKDC objective score was significantly larger for the 01 group (51/58) than the TP group (36/53) (P = .005). The second-look arthroscopic findings were not significantly different between the 2 groups in either bundle (P &gt; .05). In addition, MRI findings did not differ significantly between the 2 groups (P &gt; .05). Conclusion: With the exception of the functional test of IKDC objective score, we found that clinical results, second-look arthroscopic findings, and MRI findings did not differ significantly between the OI and TP techniques for anatomic ACL reconstruction, although femoral tunnel geometries differed significantly between the 2 techniques.</t>
  </si>
  <si>
    <t>10.1177/0363546517744535</t>
  </si>
  <si>
    <t>http://dx.doi.org/10.1177/0363546517744535</t>
  </si>
  <si>
    <t>WOS:000429453800004</t>
  </si>
  <si>
    <t>Sundaraj, K; Salmon, LJ; Heath, EL; Winalski, CS; Colak, C; Vasanji, A; Roe, JP; Pinczewski, LA</t>
  </si>
  <si>
    <t>Sundaraj, Keran; Salmon, Lucy J.; Heath, Emma L.; Winalski, Carl S.; Colak, Ceylan; Vasanji, Amit; Roe, Justin P.; Pinczewski, Leo A.</t>
  </si>
  <si>
    <t>Background: Bioabsorbable screws for anterior cruciate ligament reconstruction (ACLR) have been a popular choice, with theoretical advantages in imaging and surgery. Titanium and poly-L-lactic acid with hydroxyapatite (PLLA-HA) screws have been compared, but with less than a decade of follow-up. Purpose/Hypothesis: The purpose was to compare long-term outcomes of hamstring autograft ACLR using either PLLA-HA screws or titanium screws. We hypothesized there would be no difference at 13 years in clinical scores or tunnel widening between PLLA-HA and titanium screw types, along with high-grade resorption and ossification of PLLA-HA screws. Study Design: Randomized controlled trial; Level of evidence, 1. Methods: Forty patients undergoing ACLR were randomized to receive either a PLLA-HA screw or a titanium screw for ACL hamstring autograft fixation. Blinded evaluation was performed at 2, 5, and 13 years using the International Knee Documentation Committee score, Lysholm knee score, and KT-1000 arthrometer. Magnetic resonance imaging (MRI) was performed at 2 or 5 years and 13 years to evaluate tunnel volumes, ossification around the screw, graft integration, and cyst formation. Computed tomography (CT) of patients with PLLA-HA was performed at 13 years to evaluate tunnel volumes and intratunnel ossification. Results: No differences were seen in clinical outcomes at 2, 5, or 13 years between the 2 groups. At 13 years, tibial tunnel volumes were smaller for the PLLA-HA group (2.17 cm(3)) compared with the titanium group (3.33 cm(3); P = .004). By 13 years, the PLLA-HA group had complete or nearly complete resorption on MRI or CT scan. Conclusion: Equivalent clinical results were found between PLLA-HA and titanium groups at 2, 5, and 13 years. Although PLLA-HA screws had complete or nearly complete resorption by 13 years, tunnel volumes remained largely unchanged, with minimal ossification.</t>
  </si>
  <si>
    <t>WOS:000527754400001</t>
  </si>
  <si>
    <t>Fu, CLA; Yung, SHP; Law, KYB; Leung, KHH; Lui, PYP; Siu, HK; Chan, KM</t>
  </si>
  <si>
    <t>Fu, Chak Lun Allan; Yung, Shu Hang Patrick; Law, Kan Yip Billy; Leung, King Ho Holly; Lui, Po Yee Pauline; Siu, Hon Kit; Chan, Kai Ming</t>
  </si>
  <si>
    <t>The Effect of Early Whole-Body Vibration Therapy on Neuromuscular Control After Anterior Cruciate Ligament Reconstruction A Randomized Controlled Trial</t>
  </si>
  <si>
    <t>Background: Despite rehabilitation training, deficiency in knee joint position sense, muscular performance, postural control, and functional ability is common after anterior cruciate ligament reconstruction (ACLR). Whole-body vibration therapy (WBVT), which is initiated from 3 months postoperatively, has proven benefits. However, the effect of earlier WBVT is unknown. Purpose: To investigate the effect of early WBVT on neuromuscular control after ACLR. Study Design: Randomized controlled trial; Level of evidence, 1. Methods: A total of 48 patients with unilateral complete isolated ACL tears were recruited. Single-bundle hamstring ACLR was performed in all patients. After surgery, they were randomly assigned to either the reference or treatment group. Reference group patients received conventional ACL rehabilitation, while treatment group patients received 8 weeks of WBVT in addition to conventional rehabilitation, starting from 1 month postoperatively. Joint position sense, postural control, and knee isokinetic performance were assessed before surgery and at 1, 3, and 6 months postoperatively using the Biodex dynamometer, Biodex Stability System, and Cybex NORM, respectively. Knee range of motion (ROM), stability (manual testing and KT-1000 arthrometer), and functional ability (single-legged hop test, triple hop test, shuttle run test, and carioca test) were also examined. Two-way repeated-measures analysis of variance and the Mann-Whitney U test were used for statistical analysis. Results: There was no complication throughout the rehabilitation. All patients achieved full knee ROM and stable knee joints at 6 months after surgery. The WBVT group demonstrated significantly better postural control, muscle performance, single-legged hop, and shuttle run (P&lt;.05) than the reference group, but there was no significant difference in knee joint position sense, triple hop, carioca, ROM, and stability (P&gt;.05). Conclusion: Early WBVT started from 1 month postoperatively was an effective training method without compromising knee ROM and stability. It improved postural control, isokinetic performance, single-legged hop, and shuttle run but not knee joint position sense, triple hop, and carioca.</t>
  </si>
  <si>
    <t>WOS:000318295500020</t>
  </si>
  <si>
    <t>Krishna, L; Chan, CX; Lokaiah, L; Chinnasamy, D; Goyal, S; Wang, MC; Singh, A</t>
  </si>
  <si>
    <t>Krishna, Lingaraj; Chan, Chloe Xiaoyun; Lokaiah, Lakshmipathi; Chinnasamy, Duraimurugan; Goyal, Saumitra; Wang, Mingchang; Singh, Amritpal</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</si>
  <si>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</si>
  <si>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WOS:000631872100033</t>
  </si>
  <si>
    <t>Grunau, PD; Arneja, S; Leith, JM</t>
  </si>
  <si>
    <t>Grunau, Peter David; Arneja, Shalinder; Leith, Jordan Michael</t>
  </si>
  <si>
    <t>Background: Soft tissue grafts are commonly used in surgical reconstruction of the anterior cruciate ligament (ACL). Applying the appropriate tension to the final graft reconstruction has traditionally been performed by the surgeon and is based on the surgeon's experience and perception of applied tension. Problems with manual application of tension to the ACL reconstruction include under- or overtightening the reconstruction, inconsistent tension application among subjects, and variable load application to each strand. Purpose: To assess whether measured tensioning of hamstring ACL grafts during fixation improves clinical outcome or knee laxity postoperatively when compared with conventional tensioning maneuvers. Study Design: Randomized controlled trial; Level of evidence, 1. Methods: This was a prospective randomized controlled trial of consecutive primary ACL patients. The device group included patients in whom a measured tensioning device was used for graft tensioning (80 N), and the physician group did not use a tensioning device. The primary outcome was KT-1000 arthrometer side-to-side laxity differences between knees at 6, 12, and 18 months postoperatively. Secondary outcomes included the International Knee Documentation Committee (IKDC) Subjective Knee Evaluation Form and Anterior Cruciate Ligament Quality of Life Questionnaire (ACL-QoL) at those intervals. Chi-square and t tests were used for analysis. The study had 90% power to detect a difference of 2 mm between groups. Results: A sample of 127 patients was randomized. Of those, 14 did not have follow-up data and were excluded from this analysis, resulting in a final sample of 113 (55 patients in the device group and 58 in the physician group). No significant differences were found in baseline demographics or comorbidities. There were no significant differences between the groups (physician vs device) at baseline and at 6, 12, and 18 months in side-to-side laxity (4.6 vs 4.7 mm, 1.6 vs 1.3 mm, 1.5 vs 1.3 mm, and 1.1 vs 1.0 mm, respectively), IKDC score (58.2 vs 56.4, 72.0 vs 67.9, 79.9 vs 76.0, and 81.3 vs 78.5, respectively), or ACL-QoL score (998.2 vs 901.2, 1846.4 vs 1647.5, 2150.4 vs 2268.3, and 2436.9 vs 2231.8, respectively). Conclusion: Measured tensioning of hamstring ACL grafts during fixation does not improve clinical outcome or knee laxity postoperatively when compared with conventional tensioning maneuvers.</t>
  </si>
  <si>
    <t>WOS:000377821700023</t>
  </si>
  <si>
    <t>Arama, Y; Salmon, LJ; Sri-Ram, K; Linklater, J; Roe, JP; Pinczewski, LA</t>
  </si>
  <si>
    <t>Arama, Yuval; Salmon, Lucy J.; Sri-Ram, Kesavan; Linklater, James; Roe, Justin P.; Pinczewski, Leo A.</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</si>
  <si>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</si>
  <si>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WOS:000358892400014</t>
  </si>
  <si>
    <t>Zhang, SR; Wen, AZ; Li, SK; Yao, W; Liu, C; Lin, ZF; Jin, ZB; Chen, JW; Hua, YH; Chen, SY; Li, YX</t>
  </si>
  <si>
    <t>Zhang, Shurong; Wen, Aizhen; Li, Shengkun; Yao, Wei; Liu, Chang; Lin, Zifan; Jin, Zhengbiao; Chen, Jiwu; Hua, Yinghui; Chen, Shiyi; Li, Yunxia</t>
  </si>
  <si>
    <t>Background: Graft maturation is an important prognostic factor for hamstring autograft anterior cruciate ligament reconstruction (ACLR). It remains unclear whether extracorporeal shock wave therapy (ESWT) can promote graft healing after ACLR. Purpose: To evaluate the therapeutic and graft maturation effects of ESWT in hamstring autograft ACLR. Study Design: Randomized controlled trial; Level of evidence, 1. Methods: Between May 18, 2019, and September 20, 2019, we randomly assigned 30 patients who met study inclusion criteria to 2 groups. Patients in the control group followed a 5-week advanced rehabilitation training program (30 minutes/session, 5 times/week) starting at 3 months postoperatively. In the ESWT group, together with the 5-week advanced rehabilitation training, radial ESWT was applied once a week for 5 weeks. Functional scores (Lysholm, International Knee Documentation Committee, and Tegner scores), KT-1000 arthrometer knee laxity measurement, and magnetic resonance imaging scans were assessed at 3 months (baseline), 6 months, and 24 months postoperatively. To evaluate graft maturation, we assessed the graft signal-to-noise quotients (SNQs) of the tibial, intra-articular, and femoral sides on magnetic resonance imaging scans. Data were compared between the ESWT and control groups. Results: In total, 26 patients (13 with ESWT, 13 controls) were assessed. There were no significant between-group differences on any assessment at baseline, and no significant within-group or between-group differences were found in knee laxity at any point. At 24-month follow-up, the ESWT group had significantly higher Lysholm and Tegner scores compared with the controls (P = .012 and .017, respectively). Regarding graft maturation, at 6-month follow-up, the SNQ of the tibial intraosseous graft was significantly lower in the ESWT group versus controls (P = .006), but no differences were detected at the femoral intraosseous graft (P = .321) or the intra-articular graft (P = .314). At 24-month follow-up, the SNQs of the femoral intraosseous graft and intra-articular graft were significantly lower in the ESWT group versus controls (P = .020 and .044, respectively) but no difference was found at the tibial intraosseous graft (P = .579). Conclusion: Both enhanced graft maturation and improved functional scores at 24-month follow-up were seen in patients who received radial ESWT during rehabilitation after hamstring autograft ACLR. Registration: ChiCTR1900022853 (Chinese Clinical Trial Registry).</t>
  </si>
  <si>
    <t>WOS:001161554300001</t>
  </si>
  <si>
    <t>Karimi-Mobarakeh, M; Mardani-Kivi, M; Mortazavi, A; Saheb-Ekhtiari, K; Hashemi-Motlagh, K</t>
  </si>
  <si>
    <t>Karimi-Mobarakeh, Mahmoud; Mardani-Kivi, Mohsen; Mortazavi, Ahmad; Saheb-Ekhtiari, Khashayar; Hashemi-Motlagh, Keyvan</t>
  </si>
  <si>
    <t>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The study included 21 (17.6 %) female and 99 (82.4 %) male patients with a mean age of 29.9 +/- A 7.8 in the ST group and 32.4 +/- A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 3 mm (n.s.).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t>
  </si>
  <si>
    <t>WOS:000351611700024</t>
  </si>
  <si>
    <t>Buda, R; Verni, E; Ferruzzi, A; Di Caprio, F; Giannini, S</t>
  </si>
  <si>
    <t>Buda, R.; Verni, E.; Ferruzzi, A.; Di Caprio, F.; Giannini, S.</t>
  </si>
  <si>
    <t>Anterior cruciate ligament replacement with distally inserted doubled hamstring graft: prospective clinical and instrumental evaluation</t>
  </si>
  <si>
    <t>MEDICINA DELLO SPORT</t>
  </si>
  <si>
    <t>Background. In ACL reconstruction with gracilis and semitendinous tendons, a relevant problem is the tibial fixation of the graft. Preserving the tibial insertion of the hamstring can assure a stable fixation. Study design: Prospective nonrandomized clinical trial. Methods. 60 patients with chronic unilateral ACL disruption consecutively had a two-incision arthroscopically assisted ACL replacement with four-strand semitendinous and gracilis graft. The graft was left inserted at the tibial attachment and placed proximally in over the top (OTT) fixation. The free end of the graft, carried back to the tibia, was fixed out of the tibial tunnel on the insertion of the pes anserinus. Subjective evaluation was assessed by the Tegner Activity Scale. Objective data were collected following the IKDC form guidelines. Instrumental test was performed by measuring comparative side-to-side arthrometrical difference. Subjective, clinical, arthrometrical and X-ray investigation were taken six months and seven years after surgery. Results. Two patients had a complete traumatic rupture of the graft during sport activity while two subjects demonstrated atraumatic graft failure. IKDC overall scores improved significantly from six months to the final follow-up but differences between the subgroups were not significant over time. The knees rated stable by KT-2000 at six months were stable at seven, but the group rated 3 to 5 mm at six months showed a significant trend toward a greater translation. Return to sport was closely related to Tegner activity scale. A second surgery (four cases) did not affect the final result. Conclusions. Hamstring quadrupled graft is very useful to restore knee stability in ACL chronic insufficiency. The choice to place the graft in OTT fixation, leaving intact the tibial hamstring insertion, does not affect the overall outcome. In particular no patient had problems with the tibial fixation of the tendons.</t>
  </si>
  <si>
    <t>WOS:000237710900006</t>
  </si>
  <si>
    <t>van der List, JP; Vermeijden, HD; Sierevelt, IN; Rademakers, MV; Falke, MLM; Helmerhorst, GTT; Hoogeslag, RAG; van der Wal, WA; van Noort, A; Kerkhoffs, GMMJ</t>
  </si>
  <si>
    <t>van der List, Jelle P.; Vermeijden, Harmen D.; Sierevelt, Inger N.; Rademakers, Maarten V.; Falke, Mark L. M.; Helmerhorst, Gijs T. T.; Hoogeslag, Roy A. G.; van der Wal, Wybren A.; van Noort, Arthur; Kerkhoffs, Gino M. M. J.</t>
  </si>
  <si>
    <t>BMC MUSCULOSKELETAL DISORDERS</t>
  </si>
  <si>
    <t>Background: For active patients with a tear of the anterior cruciate ligament (ACL) who would like to return to active level of sports, the current surgical gold standard is reconstruction of the ACL. Recently, there has been renewed interest in repairing the ACL in selected patients with a proximally torn ligament. Repair of the ligament has (potential) advantages over reconstruction of the ligament such as decreased surgical morbidity, faster return of range of motion, and potentially decreased awareness of the knee. Studies comparing both treatments in a prospective randomized method are currently lacking. Methods: This study is a multicenter prospective block randomized controlled trial. A total of 74 patients with acute proximal isolated ACL tears will be assigned in a 1:1 allocation ratio to either (I) ACL repair using cortical button fixation and additional suture augmentation or (II) ACL reconstruction using an all-inside autologous hamstring graft technique. The primary objective is to assess if ACL repair is non-inferior to ACL reconstruction regarding the subjective International Knee Documentation Committee (IKDC) score at two-years postoperatively. The secondary objectives are to assess if ACL repair is non-inferior with regards to (I) other patient-reported outcomes measures (i.e. Knee Injury and Osteoarthritis Outcome Score, Lysholm score, Forgotten Joint Score, patient satisfaction and pain), (II) objective outcome measures (i.e. failure of repair or graft defined as rerupture or symptomatic instability, reoperation, contralateral injury, and stability using the objective IKDC score and Rollimeter/KT-2000), (III) return to sports assessed by Tegner activity score and the ACL-Return to Sports Index at two-year follow-up, and (IV) long-term osteoarthritis at 10-year follow-up. Discussion: Over the last decade there has been a resurgence of interest in repair of proximally torn ACLs. Several cohort studies have shown encouraging short-term and mid-term results using these techniques, but prospective randomized studies are lacking. Therefore, this randomized controlled trial has been designed to assess whether ACL repair is at least equivalent to the current gold standard of ACL reconstruction in both subjective and objective outcome scores.</t>
  </si>
  <si>
    <t>WOS:000645904900001</t>
  </si>
  <si>
    <t>Mousavi, SH; Radi, M; Kazemi, D; Izadpanah, F; Shahrouzian, A</t>
  </si>
  <si>
    <t>Mousavi, Seyed Hamid; Radi, Mehran; Kazemi, Davoud; Izadpanah, Fatemeh; Shahrouzian, Abbas</t>
  </si>
  <si>
    <t>EUROPEAN JOURNAL OF ORTHOPAEDIC SURGERY AND TRAUMATOLOGY</t>
  </si>
  <si>
    <t>IntroductionJoint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surgery.MethodsIn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surgery.ResultsThere was no difference between two groups in terms of knee dislocation, knee lock, pain, fever, positivity of Lachman test, Anterior drawer test and pivot-shift test, knee swelling, and movement restriction in flection and extension (P &gt; 0.05). No infection was seen in patients.ConclusionsPlacing grafts in vancomycin solution does not have negative effects on graft quality and results of ACL surgery.</t>
  </si>
  <si>
    <t>WOS:000965735300001</t>
  </si>
  <si>
    <t>Ashraf, Y; Senevirathna, SR; Ashraf, T</t>
  </si>
  <si>
    <t>Ashraf, Y.; Senevirathna, S. R.; Ashraf, T.</t>
  </si>
  <si>
    <t>Conventional versus 'all-inside' anterior cruciate ligament reconstruction: a randomized controlled trial comparing hamstring strength and functional outcome</t>
  </si>
  <si>
    <t>BONE &amp; JOINT OPEN</t>
  </si>
  <si>
    <t>10.1302/2633-1462.111.BJO-2020.0012.R1</t>
  </si>
  <si>
    <t>http://dx.doi.org/10.1302/2633-1462.111.BJO-2020.0012.R1</t>
  </si>
  <si>
    <t>WOS:000794217000006</t>
  </si>
  <si>
    <t>DE Melo, RFV; Komatsu, WR; DE Freitas, MS; DE Melo, MEV; Cohen, M</t>
  </si>
  <si>
    <t>Vieira DE Melo, Rafael Francisco; Komatsu, William Ricardo; Sales DE Freitas, Mellissa; Vieira DE Melo, Maria Eduarda; Cohen, Moises</t>
  </si>
  <si>
    <t>COMPARISON OF QUADRICEPS AND HAMSTRING MUSCLE STRENGTH AFTER EXERCISES WITH AND WITHOUT BLOOD FLOW RESTRICTION FOLLOWING ANTERIOR CRUCIATE LIGAMENT SURGERY: A RANDOMIZED CONTROLLED TRIAL</t>
  </si>
  <si>
    <t>JOURNAL OF REHABILITATION MEDICINE</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</si>
  <si>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(n=14) of the participants were allocated to the intervention group and the remaining 50% (n=14)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</si>
  <si>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WOS:000890661700080</t>
  </si>
  <si>
    <t>Zeman, P; Kautzner, J; Havel, O; Matejka, J; Pavelka, T; Havlas, V</t>
  </si>
  <si>
    <t>Zeman, P.; Kautzner, J.; Havel, O.; Matejka, J.; Pavelka, T.; Havlas, V</t>
  </si>
  <si>
    <t>Anatomical All-Inside Anterior Cruciate Ligament Reconstruction Using Quadrupled Semitendinosus Tendon Graft with Posteromedial Harvest - Clinical Results of Prospective Study at a Minimum 12-Months Follow-up</t>
  </si>
  <si>
    <t>ACTA CHIRURGIAE ORTHOPAEDICAE ET TRAUMATOLOGIAE CECHOSLOVACA</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</si>
  <si>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</si>
  <si>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WOS:000431090500003</t>
  </si>
  <si>
    <t>Vilchez-Cavazos, F; Dávila-Martínez, A; de la Garza-Castro, S; Simental-Mendía, M; Garay-Mendoza, D; Tamez-Mata, Y; Peña-Martínez, V; Acosta-Olivo, C</t>
  </si>
  <si>
    <t>Vilchez-Cavazos, Felix; Davila-Martinez, Agustin; de la Garza-Castro, Santiago; Simental-Mendia, Mario; Garay-Mendoza, Domingo; Tamez-Mata, Yadira; Pena-Martinez, Victor; Acosta-Olivo, Carlos</t>
  </si>
  <si>
    <t>CIRUGIA Y CIRUJANOS</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</si>
  <si>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</si>
  <si>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WOS:000596394800012</t>
  </si>
  <si>
    <t>Cai, ZJ; Yang, YT; Liu, D; Lu, WH; Pan, LY; He, M; Xie, WQ; Yu, DJ; Li, HZ; Jin, HF; Li, YS; Xiao, WF</t>
  </si>
  <si>
    <t>Cai, Zijun; Yang, Yuntao; Liu, Di; Lu, Wenhao; Pan, Linyuan; He, Miao; Xie, Wenqing; Yu, Dengjie; Li, Hengzhen; Jin, Hongfu; Li, Yusheng; Xiao, Wenfeng</t>
  </si>
  <si>
    <t>The effect of hamstring donor-site block for functional outcomes and rehabilitation after anterior cruciate ligament reconstruction</t>
  </si>
  <si>
    <t>FRONTIERS IN SURGERY</t>
  </si>
  <si>
    <t>PurposeTo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ConclusionLIA at the donor site can effectively improve the early postoperative pain of patients after ACLR and reduce the use of opioids without affecting the functional outcomes of the surgery.</t>
  </si>
  <si>
    <t>10.3389/fsurg.2023.1003022</t>
  </si>
  <si>
    <t>http://dx.doi.org/10.3389/fsurg.2023.1003022</t>
  </si>
  <si>
    <t>WOS:000928609800001</t>
  </si>
  <si>
    <t>Hoogeslag, RAG; In 't Veld, RH; Brouwer, RW; de Graaff, F; Verdonschot, N</t>
  </si>
  <si>
    <t>Hoogeslag, Roy A. G.; Huis In 't Veld, Rianne; Brouwer, Reinoud W.; de Graaff, Feike; Verdonschot, Nico</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</si>
  <si>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&gt;= 91.6 versus &gt;= 88.2; LSIh, &gt;= 95.1 versus &gt;= 90.7; LSIj, &gt;= 94.2 versus &gt;= 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</si>
  <si>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WOS:000789157400001</t>
  </si>
  <si>
    <t>Song, HY; Dai, XS; Li, JH; Zhu, SN</t>
  </si>
  <si>
    <t>Song, Hongyun; Dai, Xuesong; Li, Jianhua; Zhu, Sunan</t>
  </si>
  <si>
    <t>Hamstring Co-Contraction in the Early Stage of Rehabilitation After Anterior Cruciate Ligament Reconstruction: A Longitudinal Study</t>
  </si>
  <si>
    <t>AMERICAN JOURNAL OF PHYSICAL MEDICINE &amp; REHABILITATION</t>
  </si>
  <si>
    <t>Objective Hamstring co-contraction may affect recovery from anterior cruciate ligament reconstruction. The aim of the study was to evaluate the changes in hamstring co-contraction during the early postoperative stages. Design Twenty-five patients with anterior cruciate ligament reconstruction were followed up for 1-3 mos postoperatively, during which the Lysholm and International Knee Documentation Committee questionnaires were completed and surface electromyograms were assessed during terminal knee extension maximum voluntary contraction and step-up tests. The integrated electromyogram of the tested muscles and co-contraction ratio were analyzed. Results Co-contraction ratio during terminal knee extension maximum voluntary contraction at 3 mos postoperatively was significantly less than that at 1 mo postoperatively (P &lt; 0.0083), and it did not significantly differ from that of the uninvolved knee. In contrast, the co-contraction ratio during step-up was significantly higher at 2 and 3 mos postoperatively than that before surgery (P &lt; 0.0167) and for the uninvolved knee (P &lt; 0.05). Moreover, the postoperative hamstring co-contraction ratio in patients with a chronic injury was significantly higher during the step-up test than in patients with an early injury (P = 0.017). Conclusions Hamstring co-contraction ratio during terminal knee extension maximum voluntary contraction recovers during the early postoperative stages. However, hamstring co-contraction ratio during step-up, which may be related to knee joint proprioception, remains high, particularly for patients with a chronic injury. Clinical Trial ChiCTR-COC-17011167.</t>
  </si>
  <si>
    <t>10.1097/PHM.0000000000000941</t>
  </si>
  <si>
    <t>http://dx.doi.org/10.1097/PHM.0000000000000941</t>
  </si>
  <si>
    <t>WOS:000441907200014</t>
  </si>
  <si>
    <t>Balki, S; Göktas, HE; Öztemur, Z</t>
  </si>
  <si>
    <t>Balki, Selvin; Goktas, Hanim Eda; Oztemur, Zekeriya</t>
  </si>
  <si>
    <t>ACTA ORTHOPAEDICA ET TRAUMATOLOGICA TURCICA</t>
  </si>
  <si>
    <t>Objective: In this study, we aimed on investigating the effects of Kinesio taping (KT) in acute postoperative rehabilitation phase of anterior cruciate ligament (ACL) reconstruction. Methods: Thirty male patients (mean age: 28.1 years) with ACL reconstruction were randomly assigned to two groups: (1) an experimental group to receive a KT treatment through the muscle and lymphatic correction techniques; or (2) a control group for sham KT. Both interventions were applied twice during a 10-day period from the fourth postoperative day. All patients received the same rehabilitation program for three months. The groups were compared according to range of motion (ROM), pain, swelling and muscle strength before treatment and on the fifth and tenth treatment days. Subjective evaluations were made with the Lysholm, modified Cincinnati and Tegner scores on the first and third postoperative months. Results: Intragroup comparisons showed significant improvements in both groups on the fifth and tenth day and first and third month evaluations (p &lt; 0.05). In comparison to the control group, the experimental group showed significant improvements in swelling around the patella, all pain measurements and hamstring muscle strength on the fifth KT day and knee flexion range of motion (ROM), night pain, all swelling measurements and hamstring muscle strength on the tenth KT day (p &lt; 0.05). Conclusion: Our results revealed that KT techniques applied in addition to the acute rehabilitation program of ACL reconstruction are beneficial in treatment of pain, swelling, knee flexion ROM, and hamstring muscle strength. (C) 2016 Turkish Association of Orthopaedics and Traumatology. Publishing services by Elsevier B. V. This is an open access article under the CC BY-NC-ND license.</t>
  </si>
  <si>
    <t>WOS:000392918400007</t>
  </si>
  <si>
    <t>Rips, L; Koovit, T; Luik, M; Saar, H; Kuik, R; Kartus, JT; Rahu, M</t>
  </si>
  <si>
    <t>Rips, Leho; Koovit, Tauno; Luik, Mihkel; Saar, Helena; Kuik, Rein; Kartus, Juri-Toomas; Rahu, Madis</t>
  </si>
  <si>
    <t>In the medium term, more than half of males report kinesiophobia after anterior cruciate ligament reconstruction</t>
  </si>
  <si>
    <t>JOURNAL OF ISAKOS JOINT DISORDERS &amp; ORTHOPAEDIC SPORTS MEDICINE</t>
  </si>
  <si>
    <t>Objectives: Anterior cruciate ligament rupture is a serious trauma with long-term consequences for the patient. Psychological and physiological factors may negatively affect patient recovery after anterior cruciate ligament reconstruction (ACLR), and development of kinesiophobia is possible. The aim of this study was to examine the presence of kinesiophobia and lower-leg muscle strength recovery in both sexes after ACLR. Methods: 140 ACLR patients agreed to participate in the study. Kinesiophobia was assessed using the Tampa Scale of Kinesiophobia (TSK). The Knee injury and Osteoarthritis Outcome Score (KOOS), Oxford Knee Score (OKS) and Tegner Activity Scale (TAS) were used for patient-related outcome measurements. In both legs quadriceps and hamstring muscle strength at 60 degrees/s degrees /s and 180 degrees/s degrees /s were measured with an isokinetic dynamometer. For dynamic balance and leg function, the Y-balance test and single-leg hop test were used. Results: 100 (71%) males and 40 (29%) females-mean age 32.5 (+8.3)-were examined 5.5 (+1.25) years after ACLR. 68/140 patients (48.6%) reported a TSK kinesiophobia score equal to or higher than 37 points: 54/100 (54%) males and 14/40 (35%) females (p = 0.04). Patients with kinesiophobia had significantly lower KOOS values (p &lt; 0.001). In terms of the TAS no significant differences were found between those with or without kinesiophobia. Knee strength deficiency at 180 degrees/sec degrees /sec and 60 degrees/sec degrees /sec was significantly higher in the kinesiophobia group in knee extension in males (p = 0.009) and knee flexion in females (p = 0.001). Normalized body weight isokinetic average peak torque strength tests were significantly better in males compared to females in both groups (p &lt; 0.001). Conclusion: Both sexes reported high rates of kinesiophobia, but males are at higher risk of developing kinesiophobia than females in the medium term after ACLR. Furthermore, patients with kinesiophobia have significantly lower total KOOS scores, and females were significantly weaker than males in knee flexion and extension according to normalized body weight muscle strength tests. Also, a longer time from injury to surgery increases the risk of kinesiophobia in females. Level of evidence: Level IV. Type of study: Retrospective case series study. Clinical trial registration: Trial registration in ClinicalTrials.gov. Identifier: NCT05762809.</t>
  </si>
  <si>
    <t>10.1016/j.jisako.2024.100309</t>
  </si>
  <si>
    <t>http://dx.doi.org/10.1016/j.jisako.2024.100309</t>
  </si>
  <si>
    <t>WOS:001313541800001</t>
  </si>
  <si>
    <t>Sinding, KS; Nielsen, TG; Hvid, LG; Lind, M; Dalgas, U</t>
  </si>
  <si>
    <t>Sinding, Kasper Staghoj; Nielsen, Torsten Gronbech; Hvid, Lars Grondahl; Lind, Martin; Dalgas, Ulrik</t>
  </si>
  <si>
    <t>SPORTS MEDICINE</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</si>
  <si>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</si>
  <si>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WOS:000518056700003</t>
  </si>
  <si>
    <t>López-Vidriero, E; Olivé-Vilas, R; López-Capapé, D; Varela-Sende, L; López-Vidriero, R; Til-Pérez, L</t>
  </si>
  <si>
    <t>Lopez-Vidriero, Emilio; Olive-Vilas, Ramon; Lopez-Capape, David; Varela-Sende, Luisa; Lopez-Vidriero, Rosa; Til-Perez, Luis</t>
  </si>
  <si>
    <t>Background: New biologic strategies are arising to enhance healing and improve the clinical outcome of anterior cruciate ligament (ACL) reconstruction. Purpose: To evaluate the efficacy of a new oral nutritional supplement (Progen) that contains hydrolyzed collagen peptides and plasma proteins, a hyaluronic acid-chondroitin sulfate complex, and vitamin C. Study Design: Randomized controlled trial; Level of evidence, 2. Methods: The study included patients who underwent ACL reconstruction with hamstring autografts using the same fixation method. All patients received the same analgesia and physical therapy (PT) protocol and were randomized to receive either the nutritional supplement (supplemented group) or no additional therapy (control group). Patients were followed up at days 7, 30, 60, and 90. Pain was assessed by use of a visual analog scale (VAS) and by analgesic consumption. Clinical outcome was assessed via International Knee Documentation Committee (IKDC) score and the number of PT sessions. Perceived efficacy and tolerability were rated on a 5-point Likert scale. Graft maturation was assessed by a blinded musculoskeletal radiologist using magnetic resonance imaging. The number of adverse events (AEs) was recorded. Results: The intention-to-treat analysis included 72 patients, 36 allocated to the supplemented group and 36 to the control group, with no significant differences regarding demographic and preoperative characteristics. Both groups showed significant improvement in pain and function (measured by VAS and IKDC scores) during the 90-day follow-up period (P &lt; .001 for both), without significant differences between groups. The supplemented group had fewer patients that needed analgesics (8.5% vs 50.0%; P &lt; .05) and attended fewer PT sessions (38.0 vs 48.4 sessions; P &lt; .001) at 90 days and had a higher IKDC score at 60 days (62.5 vs 55.5; P = .029) compared with the control group. Patient- and physician-perceived efficacy was considered significantly higher in the supplemented group at 60 and 90 days (P &lt; .05). Perceived tolerability of the overall intervention was better in the supplemented group at 30, 60, and 90 days (P &lt; .05). Graft maturation showed more advanced degrees (grades 3 and 4) in the supplemented group at 90 days (61.8% vs 38.2%; P &lt; .01). No intolerance or AEs associated with the nutritional supplement treatment were reported. Conclusion: The combination of the nutritional supplement and PT after ACL reconstruction improved pain, clinical outcome, and graft maturation. Nutritional supplementation showed higher efficacy during the second month of recovery, without causing AEs. Registration: NCT03355651 ( identifier).</t>
  </si>
  <si>
    <t>WOS:000460006700001</t>
  </si>
  <si>
    <t>Shumborski, S; Heath, E; Salmon, LJ; Roe, JP; Linklater, JP; Facek, M; Pinczewski, LA</t>
  </si>
  <si>
    <t>Shumborski, Sarah; Heath, Emma; Salmon, Lucy J.; Roe, Justin P.; Linklater, James P.; Facek, Michael; Pinczewski, Leo A.</t>
  </si>
  <si>
    <t>Background: Graft fixation with interference screws for anterior cruciate ligament (ACL) reconstruction is a highly successful technique. Polyether ether ketone (PEEK) is a novel thermoplastic polymer with high biocompatibility and mechanical properties that mimic native bone, and it can be imaged on computed tomography or magnetic resonance imaging (MRI) without signal flare. Purpose: To compare the clinical performance of ACL reconstruction with PEEK and titanium interference screws at 2 years and to evaluate a novel method of measuring tunnel volume. Study Design: Randomized controlled trial; Level of evidence, 1. Methods: A total of 133 patients underwent arthroscopic ACL reconstruction with 4-strand hamstring autografts and were randomized to have titanium or PEEK interference screws for femoral and tibial tunnel fixation. At 2 years, subjective Lysholm and International Knee Documentation Committee scores were assessed and clinical examination performed. At 12 months, MRI was performed to assess graft incorporation and cyst formation, and a novel technique was employed to measure tunnel volumes. Results: There were no significant differences in graft rerupture rate, contralateral ACL rupture rate, subjective outcomes, or objective outcomes. In the titanium and PEEK groups, MRI demonstrated high overall rates of graft integration (96%-100% and 90%-93%, respectively) and ligamentization (89% and 84%) and low rates of synovitis (22% and 10%) and cyst formation (0%-18% and 13%-15%). There was a higher proportion of patients with incomplete graft integration within the femoral tunnel in the PEEK group as compared with the titanium group (10% vs 0%, P = .03); however, the authors suggest that metal artifact precluded proper assessment of the graft in the titanium group by MRI. Tunnel volumes also appeared to be equivalent in the 2 groups and were measured with a novel technique that was highly reproducible in the PEEK group secondary to the absence of flare. Conclusion: Two-year clinical analysis of PEEK interference screws for femoral and tibial fixation of ACL reconstructions showed equivalent clinical performance to titanium interference screws. Given the excellent mechanical characteristics, biological compatibility, and absence of metal artifact on MRI, PEEK has become our material of choice for interference screw fixation in ACL reconstruction.</t>
  </si>
  <si>
    <t>WOS:000478659700016</t>
  </si>
  <si>
    <t>Vicente-Mampel, J; López-Soler, J; Sevilla-López, P; Ferrer-Torregrosa, J; Martín-Ruíz, J; Jaenada-Carrilero, E; Castillo-Dutor, N; Pascual-Leone, A; Pascual-Leone, N; Baraja-Vegas, L; Muñoz, JMT</t>
  </si>
  <si>
    <t>Vicente-Mampel, J.; Lopez-Soler, J.; Sevilla-Lopez, P.; Ferrer-Torregrosa, J.; Martin-Ruiz, J.; Jaenada-Carrilero, E.; Castillo-Dutor, N.; Pascual-Leone, A.; Pascual-Leone, N.; Baraja-Vegas, L.; Tormos Munoz, J. M.</t>
  </si>
  <si>
    <t>Enhancing functional recovery after ACL injury. A protocol for a randomized control trial of transcranial direct current stimulation over the motor cortex</t>
  </si>
  <si>
    <t>FRONTIERS IN REHABILITATION SCIENCES</t>
  </si>
  <si>
    <t>Introduction Anterior cruciate ligament (ACL) tears are common in athletic and nonathletic populations, often resulting from activities involving rapid directional changes that place stress on the knee. Although advances in surgery and rehabilitation have improved recovery, many patients still struggle to regain pre-injury performance and face increased risk of re-injury. We hypothesize that combining standard rehabilitation with transcranial direct current stimulation (tDCS) may accelerate recovery, improve neuromuscular control, and strengthen key muscles like the hamstrings and hip abductors, reducing reinjury risk. Methods/materials This randomized controlled trial protocol, approved by the Ethics Committee of the Catholic University of Valencia, follows a double-blind, comparative, longitudinal design per SPIRIT guidelines. Elite athletes will be randomized 1:1 into two age- and sex-matched groups: non-invasive brain stimulation (NIBS) + rehabilitation (ProtocolRHB) or sham NIBS + ProtocolRHB. The NIBS intervention uses tDCS to deliver low-intensity direct current to modulate cortical excitability. Data collection spans April 2025 to December 2027 with outcomes assessed at four postsurgical time points. The primary outcome is electromyographic (EMG) activity to evaluate muscle activation, crucial for restoring knee stability and function. Secondary outcomes include knee function (Lysholm Scale) and ACL-specific quality of life. EEG and TMS will assess cortical excitability and plasticity during voluntary muscle contraction. Impact statement This study integrates neurophysiology with rehabilitation, offering a novel approach to enhance functional recovery and lower reinjury risk post-ACL reconstruction, potentially informing future evidence-based sports medicine and neurorehabilitation strategies.</t>
  </si>
  <si>
    <t>10.3389/fresc.2025.1627228</t>
  </si>
  <si>
    <t>http://dx.doi.org/10.3389/fresc.2025.1627228</t>
  </si>
  <si>
    <t>WOS:001605627700001</t>
  </si>
  <si>
    <t>Helal, A; El-Gebaly, O; Hamed, H; Omran, AM; Elforse, E</t>
  </si>
  <si>
    <t>Helal, Ahmed; El-Gebaly, Osama; Hamed, Hany; Omran, Ali M.; Elforse, Elsayed</t>
  </si>
  <si>
    <t>Periosteal wrapping of the hamstring tendon autograft improves graft healing and prevents tunnel widening after anterior cruciate ligament anatomic reconstruction</t>
  </si>
  <si>
    <t>Introduction The periosteum is a readily available tissue at the hamstring harvest site that could be utilized to enhance graft healing and prevent tunnel widening without additional cost or morbidity. This study aimed to compare graft healing using magnetic resonance imaging (MRI) and functional clinical outcome scores in a matched cohort of patients who underwent anterior cruciate ligament (ACL) reconstruction with hamstring autografts with or without periosteal augmentation. Material and methods Forty-eight patients who underwent ACL reconstruction (ACLR) were prospectively enrolled: 25 with standard ACLR (ST-ACLR) and 23 with periosteal augmented grafts (PA-ACLR). The same surgical techniques, fixation methods, and postoperative protocol were used in both groups. Signal-to-noise quotient (SNQ), graft healing at the bone-graft interface, graft signal according to the Howell scale, and femoral tunnel widening were evaluated using MRI after 1 year of follow-up. International knee documentation score (IKDC), Lysholm, Tegner activity scale, and visual analog scale for pain were used for functional evaluation at a minimum of 2 years postoperative. Results The mean SNQ of the proximal part of the graft was 9.6 +/- 9.2 and 2.9 +/- 3.3 for the ST-ACLR and PA-ACLR groups, respectively (P = 0.005). The mean femoral tunnel widening was 30.3% +/- 18.3 and 2.3% +/- 9.9 for the ST-ACLR, PA-ACLR groups, respectively (P &lt; 0.001). Complete graft tunnel healing was observed in 65% and 28% of cases in the PA-ACLR and ST-ACLR groups, respectively. Both groups showed marked improvements in functional scores, with no statistically significant differences. Conclusion Periosteal wrapping of hamstring tendon autografts is associated with better graft healing and maturation and lower incidence of femoral tunnel widening based on MRI analysis 1 year after ACL reconstruction. However, patient-reported outcomes and measured laxity were similar between the two groups at 2 years follow up. Trial registration Trail registration number: PACTR202308594339018, date of registration: 1/5/2023, retrospectively registered at the Pan African Clinical Trial Registry (pactr.samrc.ac.za) database.</t>
  </si>
  <si>
    <t>10.1007/s00402-024-05356-9</t>
  </si>
  <si>
    <t>http://dx.doi.org/10.1007/s00402-024-05356-9</t>
  </si>
  <si>
    <t>WOS:001223883300001</t>
  </si>
  <si>
    <t>Ramakanth, R; Sundararajan, SR; Sujith, BSG; D'Souza, T; Arumugam, P; Rajasekaran, S</t>
  </si>
  <si>
    <t>Ramakanth, Rajagopalakrishnan; Sundararajan, Silvampatti Ramasamy; Sujith, Bandlapally Sreenivasa Guptha; D'Souza, Terence; Arumugam, Palanisamy; Rajasekaran, Shanmuganathan</t>
  </si>
  <si>
    <t>Purpose: To compare various medial collateral ligament (MCL) management strategies (repair vs isolated suture-tape bracing vs no repair) combined with anterior cruciate ligament (ACL) reconstruction and analyze the results of MCL subtypes (femoral-sided, mid-substance, and tibial-sided tears) that occur at distinct levels. Methods: This study was a double-blind, prospective 3-arm randomized controlled trial. Ninety-six consecutive patients with combined ACL and grade III MCL acute &amp; subacute injuries between 2020 and 2022 with minimum 24-month follow-up were included in the study. Chronic MCL injuries and other ligament injuries were excluded, and computer-generated randomization was performed for allotment into 3 MCL management groups. ACL reconstruction with hamstring autograft was performed and the MCL underwent repair in group 1 (n = 33), isolated suture-tape-bracing in group 2 (n = 32), and no repair in group 3 (n = 31). At follow-up, stress radiographs were used to analyze anterior and medial laxity. The International Knee Documentation Committee score, Lysholm score, Knee Injury and Osteoarthritis Outcome Score, duration of surgery, and cost of surgery were compared. In addition, subgroup analysis was performed to assess outcomes based on location of MCL injury. Results: Demographic data, duration of injury, mode of injury, and distinct level of MCL injury were similar across groups. Overall, the incidence rates of MCL tears on the femoral side, at the midsubstance, and on the tibial side were 58.3%, 18.7%, and 23.0%, respectively. Postoperatively, significant improvements in range of motion (ROM) and functional scores were observed in all 3 groups (P &lt;= .05); however, there were no statistically significant differences among the 3 groups at final follow-up in anterior tibial translation (P = .94), medial opening at 0 degrees of flexion (P = .8) and 30 degrees of flexion (P = .64), ROM (P = .39), International Knee Documentation Committee score (P = .17), Lysholm score (P = .14), and Knee Injury and Osteoarthritis Outcome Score (P = .68). Three patients in group 2 had stiffness at 3 months: 2 were treated with continuous passive motion and physiotherapy, and 1 needed arthrolysis. Medial opening (at 0 degrees and at 30 degrees) was greater in group 3 patients with mid-substance MCL tears (P = .042 and P = .043, respectively). On minimal clinically important difference analysis, more than 80% of patients had improvement in ROM and functional scores, as well as medial opening of less than 5 mm, suggestive of successful outcomes in all 3 groups. The duration of surgery was longer in the repair group (P = .001), whereas cost was higher in the suture-tape bracing group (P = .003). Conclusions: MCL treatment with repair, isolated suture-tape-bracing, and no repair results in good radiologic outcomes (medial stress laxity) and functional outcomes when combined with ACL reconstruction. MCL repair or isolated suture-tape-bracing more effectively restores medial-sided stability. Mid-substance MCL tears may need an additional procedure (repair or bracing) to restore medial stability. Level of Evidence: Level I, randomized controlled trial.</t>
  </si>
  <si>
    <t>WOS:001578894300001</t>
  </si>
  <si>
    <t>Ghaderi, M; Letafatkar, A; Thomas, AC; Keyhani, S</t>
  </si>
  <si>
    <t>Ghaderi, Mohamad; Letafatkar, Amir; Thomas, Abbey C.; Keyhani, Sohrab</t>
  </si>
  <si>
    <t>BMC SPORTS SCIENCE MEDICINE AND REHABILITATION</t>
  </si>
  <si>
    <t>Background: Athletes who have undergone anterior cruciate ligament (ACL) reconstruction often exhibit persistent altered biomechanics and impaired function. Neuromuscular training programs appear to be effective for reducing high-risk landing mechanics and preventing primary ACL injuries; however, there have been few attempts to examine their effects in athletes who have undergone ACL reconstruction. The purpose of our study was to examine the effects of a neuromuscular training program that emphasizes external focus of attention cuing on biomechanics, knee proprioception, and patient-reported function in athletes who had undergone ACL reconstruction and completed conventional post-operative rehabilitation. Methods: Twenty-four male athletes who had undergone primary, unilateral, hamstring autograft ACL reconstruction and completed conventional post-operative rehabilitation were randomly allocated to an experimental group (n = 12) who took part in an 8-week neuromuscular training program or a control group (n = 12) who continued a placebo program. The neuromuscular training program included lower extremity strengthening and plyometric exercises, balance training, and movement pattern re-training. Biomechanics during single-leg landing, knee proprioception, and patient-reported function were assessed before and after the 8-week training period. Results: Athletes in the experimental group demonstrated increased trunk, hip, and knee flexion angles and decreased knee abduction, internal rotation angles and knee valgus during landing following the intervention. Further, the experimental group decreased their peak knee extension and abduction moments and vertical ground reaction force on landing post-intervention. International Knee Documentation Committee questionnaire (IKDC) scores increased in the experimental group following training. The control group demonstrated no changes in any variable over the same time period. Conclusions: Neuromuscular training with external focus of attention cueing improved landing biomechanics in patients after ACL reconstruction. Neuromuscular training programs beneficially mitigate second ACL injury risk factors and should be emphasized during and after traditional post-operative rehabilitation.</t>
  </si>
  <si>
    <t>WOS:000648383100001</t>
  </si>
  <si>
    <t>Boer, BC; Hoogeslag, RAG; Brouwer, RW; Demmer, A; 't Veld, RMHAHI</t>
  </si>
  <si>
    <t>Boer, Barbara C.; Hoogeslag, Roy A. G.; Brouwer, Reinoud W.; Demmer, Anna; 't Veld, Rianne M. H. A. Huis In</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</si>
  <si>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</si>
  <si>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WOS:000430822300004</t>
  </si>
  <si>
    <t>Sole, G; Lamb, P; Pataky, T; Klima, S; Navarre, P; Hammer, N</t>
  </si>
  <si>
    <t>Sole, Gisela; Lamb, Peter; Pataky, Todd; Klima, Stefan; Navarre, Pierre; Hammer, Niels</t>
  </si>
  <si>
    <t>Background: Rehabilitation following anterior cruciate ligament (ACL) reconstructions is based mainly on comprehensive progressive exercise programmes using a multi-dimensional approach. Elastic knee sleeves may be useful adjuncts to rehabilitation. The aim of this study was to determine the immediate and 6-week effects of wearing a knee sleeve on person-reported outcomes and function in participants who had undergone an ACL reconstruction and who had residual self-reported functional limitations. Methods: Individuals with ACL reconstruction in the previous 6 months to 5 years were recruited. Immediate effects of a commercially-available elastic knee sleeve on single-leg horizontal hop distance were explored using a cross-over design. Following this first session, participants were randomised into a Control Group and a Sleeve Group who wore the sleeve for 6 weeks, at least 1 h daily. Outcome measures for the randomised clinical trial (RCT) were the International Knee Documentation Classification Subjective Knee Form (IKDC-SKF) score, the single-leg horizontal hop distance, and isokinetic quadriceps and hamstring peak torque. Linear mixed models were used to determine random effects. Where both limbs were measured at multiple time points, a random measurement occasion effect nested within participant was used. Results: Thirty-four individuals (16 women) with ACL reconstruction completed the cross-over trial. Hop distance for the injured side during the sleeve condition increased by 3.6 % (95 % CI 0.4-6.8 %, p = 0.025). There was no evidence of differential changes between groups for the IKDC-SKF (Sleeve Group n = 15; Control Group n = 16; p = 0.327), or relative improvement in the injured side compared to the uninjured side for the physical performance measures (Sleeve Group n = 12, Control Group n = 12; three-way interaction p = 0.533 [hop distance], 0.381 [quadriceps isokinetic peak torque], and 0.592 [hamstring isokinetic peak torque]). Conclusions: Single-leg hop distance of the ACL reconstructed side improved when wearing a knee sleeve. Wearing the knee sleeve over 6 weeks did not lead to enhanced improvements in self-reported knee function, hop distance and thigh muscle strength compared to the control group.</t>
  </si>
  <si>
    <t>WOS:000681303900001</t>
  </si>
  <si>
    <t>Bregenhof, B; Jorgensen, U; Aagaard, P; Nissen, N; Creaby, MW; Thorlund, JB; Jensen, C; Torfing, T; Holsgaard-Larsen, A</t>
  </si>
  <si>
    <t>Bregenhof, Bo; Jorgensen, Uffe; Aagaard, Per; Nissen, Nis; Creaby, Mark W.; Thorlund, Jonas Bloch; Jensen, Carsten; Torfing, Trine; Holsgaard-Larsen, Anders</t>
  </si>
  <si>
    <t>TRIALS</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</si>
  <si>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</si>
  <si>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WOS:000423321100005</t>
  </si>
  <si>
    <t>Butt, U; Vuletic, F; Shaikh, MAA; Amanullah; Rehman, GU; Shah, IA; Stålman, A; Khan, ZA</t>
  </si>
  <si>
    <t>Butt, Umer; Vuletic, Filip; Shaikh, M. Ali Ahmed; Amanullah, Ghufran ur; Rehman, Ghufran ur; Shah, Imran Ali; Stalman, Anders; Khan, Zainab Aqeel</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</si>
  <si>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</si>
  <si>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WOS:001388192900002</t>
  </si>
  <si>
    <t>Harput, G; Ulusoy, B; Yildiz, TI; Demirci, S; Eraslan, L; Turhan, E; Tunay, VB</t>
  </si>
  <si>
    <t>Harput, Gulcan; Ulusoy, Burak; Yildiz, Taha Ibrahim; Demirci, Serdar; Eraslan, Leyla; Turhan, Egemen; Tunay, Volga Bayrakci</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</si>
  <si>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</si>
  <si>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WOS:000460360900010</t>
  </si>
  <si>
    <t>Kiekara, T; Paakkala, A; Suomalainen, P; Huhtala, H; Järvelä, T</t>
  </si>
  <si>
    <t>Kiekara, Tommi; Paakkala, Antti; Suomalainen, Piia; Huhtala, Heini; Jarvela, Timo</t>
  </si>
  <si>
    <t>Femoral and Tibial Tunnel Diameter and Bioabsorbable Screw Findings After Double-Bundle ACL Reconstruction in 5-Year Clinical and MRI Follow-up</t>
  </si>
  <si>
    <t>Background: Tunnel enlargement is frequently seen in short-term follow-up after anterior cruciate ligament reconstruction (ACLR). According to new evidence, tunnel enlargement may be followed by tunnel narrowing, but the long-term evolution of the tunnels is currently unknown. Hypothesis/Purpose: The hypothesis was that tunnel enlargement is followed by tunnel narrowing caused by ossification as seen in follow-up using magnetic resonance imaging (MRI). The purpose of this study was to evaluate the ossification pattern of the tunnels, the communication of the 2 femoral and 2 tibial tunnels, and screw absorption findings in MRI. Study Design: Case series; Level of evidence, 4. Methods: Thirty-one patients underwent anatomic double-bundle ACLR with hamstring grafts and bioabsorbable interference screw fixation and were followed with MRI and clinical evaluation at 2 and 5 years postoperatively. Results: The mean tunnel enlargement at 2 years was 58% and reduced to 46% at 5 years. Tunnel ossification resulted in evenly narrowed tunnels in 44%, in conical tunnels in 48%, and fully ossified tunnels in 8%. Tunnel communication increased from 13% to 23% in the femur and from 19% to 23% in the tibia between 2 and 5 years and was not associated with knee laxity. At 5 years, 54% of the screws were not visible, with 35% of the screws replaced by a cyst and 19% fully ossified. Tunnel cysts were not associated with worse patient-reported outcomes or knee laxity. Patients with a tibial anteromedial tunnel cyst had higher Lysholm scores than patients without a cyst (93 and 84, P = 03). Conclusion: Tunnel enlargement was followed by tunnel narrowing in 5-year follow-up after double-bundle ACLR. Tunnel communication and tunnel cysts were frequent MRI findings and not associated with adverse clinical evaluation results.</t>
  </si>
  <si>
    <t>10.1177/2325967116685525</t>
  </si>
  <si>
    <t>http://dx.doi.org/10.1177/2325967116685525</t>
  </si>
  <si>
    <t>WOS:000394677100015</t>
  </si>
  <si>
    <t>Minzlaff, P; Heidt, T; Feucht, MJ; Plath, JE; Hinterwimmer, S; Imhoff, AB; Saier, T</t>
  </si>
  <si>
    <t>Minzlaff, Philipp; Heidt, Thomas; Feucht, Matthias J.; Plath, Johannes E.; Hinterwimmer, Stefan; Imhoff, Andreas B.; Saier, Tim</t>
  </si>
  <si>
    <t>Patient satisfaction with health is substantially improved following ACL reconstruction</t>
  </si>
  <si>
    <t>Purpose To prospectively monitor health-related quality of life and return to work after arthroscopic anterior cruciate ligament (ACL) reconstruction in patients with isolated ACL tears. Methods Sixty consecutive patients with isolated ACL tears who underwent arthroscopic ACL reconstruction were prospectively monitored using the Questions on Life Satisfaction Modules (FLZ(M)) and  Short-Form 12 (SF-12) quality-of-life outcome measures. The Lysholm score and Tegner activity index were used as functional outcome measures. Additionally, return to work (months) together with level of physical workload was analysed. Outcome measures were assessed the day before surgery and at 6, 12 weeks and 6, 12, and 24 months post-operatively. Qualityof- life outcomes were correlated with functional outcome scores. Results Satisfaction with health (FLZ(M)) significantly improved within the first 2 years (p &lt; 0.05), and the physical component scale (SF12) showed a significantly higher score after 3, 6, 12 and 24 months as compared with preoperative values (p &lt; 0.05). General life satisfaction (FLZ(M)) was initially decreased at 6 weeks (p &lt; 0.05) but increased during the further follow-up period, reaching a score not significantly different from preoperative values. Mean Lysholm score improved from 66 preoperatively to 89 post-operatively (p &lt; 0.05) and the median Tegner activity index improved from four to six points (p &lt; 0.05) at final follow-up. Mean time to return to work was 7 weeks (range 1-34 weeks), and it strongly depended on physical workload. A positive correlation between quality of life and functional outcome (Lysholm score) was observed. Conclusion General life satisfaction is impaired during the early post-operative course, but returns to preoperative values after 2 years. Satisfaction with health reaches higher values after 6, 12 and 24 months post-operatively, and the SF-12 physical component scale was seen to improve during the follow-up period. Improved functional outcomes were observed to correlate with qualityof- life measurements. Thus, patients can preoperatively be informed that they will benefit from ACL reconstruction in terms of an improved knee function and satisfaction with health. Heavy physical workload must be considered as a risk factor for prolonged time lost to return to work. These patients have to be identified and informed about realistic expectations.</t>
  </si>
  <si>
    <t>10.1007/s00167-017-4623-6</t>
  </si>
  <si>
    <t>http://dx.doi.org/10.1007/s00167-017-4623-6</t>
  </si>
  <si>
    <t>WOS:000424056400030</t>
  </si>
  <si>
    <t>Christensen, JC; Goldfine, LR; Barker, T; Collingridge, DS</t>
  </si>
  <si>
    <t>Christensen, Jesse C.; Goldfine, Laura R.; Barker, Tyler; Collingridge, Dave S.</t>
  </si>
  <si>
    <t>What Can the First 2 Months Tell Us About Outcomes After Anterior Cruciate Ligament Reconstruction?</t>
  </si>
  <si>
    <t>Context: Substantial research has been conducted on anterior cruciate ligament reconstruction (ACLR) to evaluate patient outcomes. However, little attention has been given to outcomes during the early phase of recovery and how early deficits affect both short-and long-term outcomes. Objective: To identify relationships between demographic (age, sex, and body mass index [BMI]) and intraoperative (isolated ACLR versus primary ACLR+secondary procedures), and postoperative (range-of-motion [ROM] and peak isometric knee-extension force [PIF]) variables during the first 2 months after ACLR using self-reported outcomes. Design: Cohort study. Setting: Outpatient orthopaedic hospital. Patients or Other Participants: A total of 63 patients (38 men, 25 women; age -33.0 +/- 12.1 years; BMI = 26.3 +/- 6.5 kg/m(2)) who underwent ACLR. Main Outcome Measure(s): Demographic, intraoperative, and postoperative variables were collected at 1 and 2 months after ACLR and were compared with International Knee Documentation Committee (IKDC) Subjective Knee Evaluation Form scores at 1, 2, and &gt;= 12 months. Results: Significant relationships were identified between &gt;= 12-month IKDC scores and the 1-month (Pearson correlation, r = 0.283, r(2) = 0.08; P = .025) and 2-month (r = 0.301, r(2) = 0.09; P = .017) IKDC scores. After controlling for other variables, we found that the PIF ratio measures at 1 and 2 months were positively associated with 1- and 2-month IKDC scores (P&lt;.001) and BMI was negatively associated with both 1- and 2-month IKDC scores (P&lt;.05). One-month IKDC scores were related to the 1-month difference in knee-flexion ROM (P - .04). Conclusions: The IKDC scores during the first 2 months were positively correlated with patients' perceptions of function on long-term IKDC scores. It also appears that improvements in lower extremity strength and flexion ROM deficits were positively associated with short-term IKDC scores. Higher BMI was negatively associated with patients' perceptions of function on short-term IKDC scores.</t>
  </si>
  <si>
    <t>10.4085/1062-6050-49.3.95</t>
  </si>
  <si>
    <t>http://dx.doi.org/10.4085/1062-6050-49.3.95</t>
  </si>
  <si>
    <t>WOS:000365182900007</t>
  </si>
  <si>
    <t>Tagesson, S; Öberg, B; Good, L; Kvist, J</t>
  </si>
  <si>
    <t>Tagesson, Sofi; Oeberg, Birgitta; Good, Lars; Kvist, Joanna</t>
  </si>
  <si>
    <t>A comprehensive rehabilitation program with quadriceps strengthening in closed versus open kinetic chain exercise in patients with anterior cruciate ligament deficiency</t>
  </si>
  <si>
    <t>Background: There is no consensus regarding the optimal rehabilitation regimen for increasing quadriceps strength after anterior cruciate ligament (ACL) injury. Hypothesis: A comprehensive rehabilitation program supplemented with quadriceps strengthening in open kinetic chain (OKC) exercise will increase quadriceps strength and improve knee function without increasing static or dynamic sagittal tibial translation, compared with the same comprehensive rehabilitation program supplemented with quadriceps strengthening in closed kinetic chain (CKC) exercise, in patients with acute ACL deficiency. Study Design: Randomized controlled trial; Level of evidence, 1. Methods: Forty-two patients were tested a mean of 43 days (range, 20-96 days) after an ACL injury. Patients were randomized to rehabilitation with CKC quadriceps strengthening (11 men and 9 women) or OKC quadriceps strengthening (13 men and 9 women). Aside from these quadriceps exercises, the 2 rehabilitation programs were identical. Patients were assessed after 4 months of rehabilitation. Sagittal static translation and dynamic tibial translation were evaluated with a CA-4000 electrogoniometer. Muscle strength, jump performance, and muscle activation were also assessed. Functional outcome was evaluated by determining the Lysholm score and the Knee Injury and Osteoarthritis Outcome Score. Results: There were no group differences in static or dynamic translation after rehabilitation. The OKC group had significantly greater isokinetic quadriceps strength after rehabilitation (P =.009). The hamstring strength, performance on the 1-repetition-maximum squat test, muscle activation, jump performance, and functional outcome did not differ between groups. Conclusions: Rehabilitation with OKC quadriceps exercise led to significantly greater quadriceps strength compared with rehabilitation with CKC quadriceps exercise. Hamstring strength, static and dynamic translation, and functional outcome were similar between groups. Patients with ACL deficiency may need OKC quadriceps strengthening to regain good muscle torque.</t>
  </si>
  <si>
    <t>WOS:000252663900010</t>
  </si>
  <si>
    <t>Christensen, JC; Goldfine, LR; West, HS</t>
  </si>
  <si>
    <t>Christensen, Jesse C.; Goldfine, Laura R.; West, Hugh S.</t>
  </si>
  <si>
    <t>The Effects of Early Aggressive Rehabilitation on Outcomes After Anterior Cruciate Ligament Reconstruction Using Autologous Hamstring Tendon: A Randomized Clinical Trial</t>
  </si>
  <si>
    <t>JOURNAL OF SPORT REHABILITATION</t>
  </si>
  <si>
    <t>Study Design: Prospective randomized clinical trial. Methods and Measures: Thirty-six patients who had a primary anterior cruciate ligament reconstruction (ACL-R) with a semitendinosus-gracilis (STG) autograft from a single orthopedic surgeon were prospectively randomized into 2 groups. Nineteen patients were randomized to the aggressive group (53% male, mean age 30.1 + 10.5 y) and 17 to the nonaggressive group (88% male, mean age 33.1 + 10.9 y). Impairment measures of anteroposterior (A-P) knee laxity, range of motion (ROM), and peak isometric force (PIF) values were obtained 12 wk postoperatively. Subjective response to the International Knee Documentation Committee knee form (IKDC) was collected 1, 12, and 24 wk postoperatively. One-way ANOVA was used to analyze differences between groups at 12 wk for A-P knee laxity, ROM, and PIF. Differences between the groups for the IKDC scores were determined using 1-way ANOVA with repeated measures 1, 12, and 24 wk postoperatively. Bonferroni adjustment was used for multiple comparisons. Results: There were no differences between the groups for the baseline characteristics (P &gt; .05). There was no difference found between the groups in respect to A-P knee laxity, ROM, or PIF at 12 wk (P &gt; .05). Further analysis also showed no significant differences in the IKDC scores between groups at 12 or 24 wk (P &gt; .05). Conclusions: No differences were found between early aggressive and nonaggressive rehabilitation after an isolated ACL-R using STG autografts for the primary outcomes of A-P knee laxity and subjective IKDC score. In addition, no differences were observed for secondary outcomes between groups for differences in ROM and PIF values.</t>
  </si>
  <si>
    <t>WOS:000322365100005</t>
  </si>
  <si>
    <t>Firoozabadi, MA; Nezhadtabrizi, B; Poursalehian, M; Razzaghof, M; Naghizadeh, H; Soleimani, M; Mortazavi, SMJ</t>
  </si>
  <si>
    <t>Firoozabadi, Mohammad Ayati; Nezhadtabrizi, Behzad; Poursalehian, Mohammad; Razzaghof, Mohammadreza; Naghizadeh, Hamed; Soleimani, Mohammad; Mortazavi, S. M. Javad</t>
  </si>
  <si>
    <t>Intra-articular tranexamic acid improves 1-and 3-month functional recovery but does not reduce early post-operative pain after arthroscopic ACL reconstruction: A triple-blind randomised trial</t>
  </si>
  <si>
    <t>Purpose Our aim is to investigate whether an intra-articular injection of tranexamic acid (TXA), administered alongside a standard multimodal analgesic cocktail, improves postoperative pain control and functional recovery. Methods This was a randomised, triple-blind, placebo-controlled clinical trial conducted from April 2022 to October 2023 at a tertiary care center. One hundred patients with isolated, unilateral, chronic ACL tears were randomised 1:1 to receive either an intra-articular injection containing TXA (1 g), morphine sulphate, ketorolac, lidocaine and normal saline (intervention group) or an identical injection without TXA (control group). All surgeries were performed using hamstring autografts and standardised surgical and postoperative protocols. All patients received 15 mg/kg intravenous TXA in addition to intra-articular TXA. The primary outcomes were pain scores (Visual Analogue Scale, VAS) at predefined time points up to 3 months. The secondary outcomes were Knee Injury and Osteoarthritis Outcome Score (KOOS), Lysholm scores, range of motion, swelling and morphine consumption. Results Postoperative pain scores did not differ significantly between groups at any time point (p &gt; 0.05). Both groups demonstrated significant within-group improvements over time in KOOS subscores (p &lt; 0.001) and Lysholm scores (p &lt; 0.001). Postoperative morphine consumption was similar in both groups (p &gt; 0.05). The TXA group had better Lysholm scores at 1 month (85.8 +/- 9.1 vs. 79.6 +/- 13.9; p &lt; 0.01). The TXA group had significantly better KOOS subscores and Lysholm scores at 3 months with moderate effect size (p &lt; 0.01). No serious complications were observed in either group. Conclusion Intra-articular TXA did not significantly reduce early postoperative pain or opioid use when added to a multimodal analgesic regimen and intravenous TXA in arthroscopic ACL reconstruction. However, it was associated with modest improvements in functional recovery at 1 and 3 months postoperatively, as measured by KOOS and Lysholm scores.Level of Evidence Level I.</t>
  </si>
  <si>
    <t>e70460</t>
  </si>
  <si>
    <t>WOS:001591103000001</t>
  </si>
  <si>
    <t>Tang, N; Eren, M; Gurpinar, T; Ozturkmen, Y</t>
  </si>
  <si>
    <t>Tang, Neset; Eren, Murat; Gurpinar, Tahsin; Ozturkmen, Yusuf</t>
  </si>
  <si>
    <t>IntroductionAnterior cruciate ligament (ACL) reconstruction is one of the most common surgical procedures worldwide. However, the ideal graft source is still debatable. This study compared hamstring (HT) and bone-free quadriceps (QT) tendon autografts in terms of muscle strength and patient-reported outcomes.MethodsBetween June 2018 and December 2019, 46 patients were enrolled in the study and randomly assigned to one of two groups for the ACL reconstruction surgery-the HT autograft group or the QT autograft group. An experienced examiner performed preoperative and postoperative examinations. The HUMAC NORM isokinetic machine (Computer Sports Medicine International-CSMI, 2004) was used to assess flexor and extensor thigh muscle strength. Both groups received the same surgical technique and fixation method. All patients were examined after three, six, nine, and 12 months. The final evaluations were performed at the 24-month follow-up. Patients' scores on the International Knee Documentation Committee (IKDC) evaluation form and the Lysholm Knee Scoring Scale were used to evaluate patient-reported outcomes. The two groups were also compared in terms of postoperative complications and activity levels.ResultsThe difference between preoperative and postoperative knee flexor peak torques (FPT) was lower in the QT group than in the HT group. The average difference between preoperative and postoperative knee extensor peak torque (EPT) was higher in the QT group than in the HT group. As a result, the HT group had a lower postoperative H/Q ratio (flexor strength normalized to body mass divided by extensor strength normalized to body mass) than the QT group (p &lt; 0.001). The mean IKDC scores for the HT and QT groups were 90.13 &amp; PLUSMN; 6.99 and 87.12 &amp; PLUSMN; 6.61, respectively. The scores of the two groups postoperatively were close, and both groups showed significant improvement. The average graft size in the QT group was significantly greater than that in the HT group. Saphenous nerve palsy was the most common complication in the HT group (22%). Thigh hematomas were observed in two patients in the QT group and required urgent intervention (12%).ConclusionAfter ACL reconstruction, we found a significant decrease in strength at the donor sites in both techniques, with similar patient-reported measures and stability outcomes. The H/Q strength ratio was higher in the QT group postoperatively, which may have a protective effect on the reconstructed ligament.Level of Evidence I It is a randomized controlled trial.</t>
  </si>
  <si>
    <t>WOS:001032031200001</t>
  </si>
  <si>
    <t>Mutsuzaki, H; Kinugasa, T; Sakane, M</t>
  </si>
  <si>
    <t>Mutsuzaki, Hirotaka; Kinugasa, Tomonori; Sakane, Masataka</t>
  </si>
  <si>
    <t>Safety and feasibility of using calcium phosphate hybridization method for quadriceps tendon-bone graft in anterior cruciate ligament reconstruction</t>
  </si>
  <si>
    <t>JOURNAL OF ORTHOPAEDICS</t>
  </si>
  <si>
    <t>Background: To improve tendon-to-bone healing in anterior cruciate ligament (ACL) reconstruction, a novel technique via the calcium phosphate (CaP) hybridization method for tendon graft using an alternate soaking process was developed. The use of the CaP hybridization method for quadriceps tendon-bone (QTB) graft in ACL reconstruction has not been reported in previous studies. Thus, this clinical trial aimed to clarify the safety and feasibility of using CaP hybridization method for quadriceps tendon-bone (QTB) graft in ACL reconstruction. Methods: Eight patients (average age, 41.6 +/- 10.6 years; 2 men and 6 women) with unilateral ACL injury were included in this study. They underwent ACL reconstruction using QTB graft that hybridized CaP. The follow-up period was from 2 months to 4 years (average, 2.4 +/- 1.5 years). Cases of adverse events, including tumor formation, infection, fracture, contracture, severe pain, and re-rupture, were recorded. Moreover, clinical results (KT-1000 arthrometry, pivot-shift test, International Knee Documentation Committee grade, Lysholm scale, and sports activity level), and images of graft and bone tunnel (magnetic resonance imaging, arthroscopic appearance, and computed tomography) were also evaluated. Results: No adverse events were observed in the follow-up periods. Postoperative clinical results showed improvement compared with the preoperative findings. The sports activity level after the surgery became equivalent to that before injury. There was no progression of bone tunnel enlargement. Conclusions: Using the CaP hybridization method for QTB graft in ACL reconstruction was safe and feasible in the clinical trial. Moreover, this method may improve clinical outcomes. In the future, it is necessary to verify the effect of the CaP hybridization method for QTB graft in ACL reconstruction.</t>
  </si>
  <si>
    <t>SEP-OCT</t>
  </si>
  <si>
    <t>10.1016/j.jor.2019.04.004</t>
  </si>
  <si>
    <t>http://dx.doi.org/10.1016/j.jor.2019.04.004</t>
  </si>
  <si>
    <t>WOS:000489090200019</t>
  </si>
  <si>
    <t>Irrgang, JJ; Tashman, S; Patterson, CG; Musahl, V; West, R; Oostdyk, A; Galvin, B; Poploski, K; Fu, FH</t>
  </si>
  <si>
    <t>Irrgang, James J.; Tashman, Scott; Patterson, Charity G.; Musahl, Volker; West, Robin; Oostdyk, Alicia; Galvin, Bryan; Poploski, Kathleen; Fu, Freddie H. .</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</si>
  <si>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t>
  </si>
  <si>
    <t>WOS:000648820300003</t>
  </si>
  <si>
    <t>Zhang, XY; Huang, HS; Yu, YY; Yang, L; Liang, ZX; Chang, CQ</t>
  </si>
  <si>
    <t>Zhang, Xiaoyuan; Huang, Hongshi; Yu, Yuanyuan; Yang, Lie; Liang, Zixuan; Chang, Cuiqing</t>
  </si>
  <si>
    <t>IMPACT OF WHEY PROTEIN ISOLATE AND ECCENTRIC TRAINING ON QUADRICEPS MASS AND STRENGTH IN PATIENTS WITH ANTERIOR CRUCIATE LIGAMENT RUPTURE: A RANDOMIZED CONTROLLED TRIAL</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</si>
  <si>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=19) or an isokinetic eccentric training + whey protein isolate group (n=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</si>
  <si>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WOS:000531099000013</t>
  </si>
  <si>
    <t>Fu, YP; Tian, Y; Zhao, ZW; Li, Z</t>
  </si>
  <si>
    <t>Fu, Yuping; Tian, Yang; Zhao, ZiWei; Li, Zun</t>
  </si>
  <si>
    <t>Prehabilitation enhances functional and structural recovery following anterior cruciate ligament reconstruction: A randomized controlled trial</t>
  </si>
  <si>
    <t>Purpose: This study aimed to evaluate the effectiveness of an 8-week prehabilitation programme combined with standardized post-operative rehabilitation in improving functional recovery, pain control and structural healing following anterior cruciate ligament reconstruction (ACLR). Methods: A prospective randomized controlled trial was conducted with 90 male patients undergoing primary unilateral ACLR, randomly assigned to either a prehabilitation group (45 patients) or a non-preoperative rehabilitation group (45 patients). The prehabilitation group participated in an 8-week programme including neuromuscular training, strength exercises and education; another group received a home-based exercise programme for 8 weeks, while both groups received identical post-operative rehabilitation. Primary outcomes were measured using the International Knee Documentation Committee (IKDC) score at 12 months, with secondary outcomes including pain levels assessed by the visual analogue scale, Knee injury and Osteoarthritis Outcome Score, functional performance tests and structural assessments through magnetic resonance imaging (MRI). Statistical analyses included repeated-measures analysis of variance, multiple linear regression and Cox proportional hazards models. Results: At 12-month follow-up, the prehabilitation group demonstrated significantly better outcomes compared to the non-preoperative group: IKDC scores improved by 11.3 points (92.4 vs. 77.1), pain scores were lower (0.0 vs. 1.0) and thigh muscle asymmetry was reduced (0.8 cm vs. 1.5 cm). MRI results also showed better structural healing in the preoperative rehabilitation group. The programme was identified as the strongest predictor of improved knee function and reduced recovery time by 2.6 weeks (7.2 weeks vs. 9.8 weeks). Conclusions: Preoperative rehabilitation is essential for better recovery after ACLR. These findings support incorporating preoperative rehabilitation into standard treatment protocols. Further research should investigate these effects in broader patient populations and examine underlying biological mechanisms. Level of Evidence: N/A.</t>
  </si>
  <si>
    <t>2025 NOV 4</t>
  </si>
  <si>
    <t>10.1002/ksa.70170</t>
  </si>
  <si>
    <t>http://dx.doi.org/10.1002/ksa.70170</t>
  </si>
  <si>
    <t>WOS:001607990800001</t>
  </si>
  <si>
    <t>Wang, XJ; Xu, ZJ; Song, ST; Mao, ZM; Huang, XM; Luo, M; Zhou, X; Xu, BB; Ye, J; Song, YF; Yu, JK</t>
  </si>
  <si>
    <t>Wang, Xinjie; Xu, Zijie; Song, Shitang; Mao, Zimu; Huang, Ximeng; Luo, Michael; Zhou, Xiao; Xu, Bingbing; Ye, Jing; Song, Yifan; Yu, Jiakuo</t>
  </si>
  <si>
    <t>CHINESE MEDICAL JOURNAL</t>
  </si>
  <si>
    <t>Background: The achievement of an optimal return to sport (RTS) has remained a key goal after sports-related injuries, with the ongoing debate on the effectiveness of different surgical approaches for anterior cruciate ligament (ACL) rupture. This study aims to assess clinical outcomes and RTS across various surgical methods, such as anatomical single-bundle reconstruction (ASBR), central-axial single-bundle reconstruction (CASBR), and double-bundle reconstruction (DBR). Methods: A randomized clinical trial was conducted, comprising 191 patients who underwent ACL rupture. These patients were divided into three groups based on the ACL reconstruction techniques they received (ASBR, CASBR, DBR). Over the 2-year follow-up period, the study assessed RTS through four single-hop tests, isokinetic extension tests, and limb asymmetry indices. Postoperative graft status was determined using the signal-to-noise quotient (SNQ), while knee function was evaluated using the International Knee Documentation Committee 2000 (IKDC-2000) score, Lysholm score, Tegner score, and degree of knee laxity. A binary logistic regression model was developed to forecast the factors influencing ideal RTS. Results: DBR (67.63%) and CASBR (58.00%) exhibited higher RTS passing rates compared to ASBR (30.39%; chi(2)= 19.57, P &lt;0.05). Quadriceps strength symmetry in the lower limbs was identified as the key determinant of RTS (chi(2) = 17.08, P &lt;0.05). The RTS rate was influenced by SNQs of the graft's tibial site (odds ratio: 0.544) and quadriceps strength of the reconstructed knee joint at 60 degrees/s (odds ratio: 6.346). Notably, the DBR group showed enhanced knee stability, evidenced by superior results in the Lachman test (chi(2)= 13.49, P &lt;0.01), objective IKDC-2000 (chi(2)= 27.02, P = 0.002), and anterior instability test (chi(2)= 9.46, P &lt;0.01). Furthermore, DBR demonstrated superior clinical outcomes based on the Lysholm score (DBR: 89.57 +/- 7.72, CASBR: 83.00 +/- 12.71, ASBR: 83.21 +/- 11.95; F = 10.452, P &lt;0.01) and IKDC-2000 score (DBR: 90.95 +/- 7.00, CASBR: 84.64 +/- 12.68, ASBR: 83.63 +/- 11.41; F = 11.78, P &lt;0.01). Conclusion: For patients with ACL rupture, more ideal RTS rate and clinical outcomes were shown in the DBR group than in the ASBR and CASBR groups. Autograft status and quadriceps strength are postively related to RTS.</t>
  </si>
  <si>
    <t>WOS:001576096200009</t>
  </si>
  <si>
    <t>Vidmar, MF; Baroni, BM; Michelin, AF; Mezzomo, M; Lugokenski, R; Pimentel, GL; Silva, MF</t>
  </si>
  <si>
    <t>Vidmar, Marlon Francys; Baroni, Bruno Manfredini; Michelin, Alexandre Froes; Mezzomo, Marcio; Lugokenski, Ricardo; Pimentel, Gilnei Lopes; Silva, Marcelo Faria</t>
  </si>
  <si>
    <t>BRAZILIAN JOURNAL OF PHYSICAL THERAPY</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</si>
  <si>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=15) or isokinetic group (IG; n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 (C) 2019 Associacao Brasileira de Pesquisa e Pos-Graduacao em Fisioterapia. Published by Elsevier Editora Ltda. All rights reserved.</t>
  </si>
  <si>
    <t>WOS:000577240100007</t>
  </si>
  <si>
    <t>Li, DS; Zhang, Q; Liu, XG; Chen, C; Lu, JN; Ye, DM; Li, YJ; Wang, W; Shen, M</t>
  </si>
  <si>
    <t>Li, Desheng; Zhang, Qi; Liu, Xuguang; Chen, Chen; Lu, Jiani; Ye, Dongmei; Li, Yangjun; Wang, Wei; Shen, Mei</t>
  </si>
  <si>
    <t>Effect of water-based walking exercise on rehabilitation of patients following ACL reconstruction: a prospective, randomised, single-blind clinical trial</t>
  </si>
  <si>
    <t>PHYSIOTHERAPY</t>
  </si>
  <si>
    <t>Objectives To compare water-based treadmill walking training with land-based treadmill walking training following anterior cruciate ligament (ACL) reconstruction. Design Prospective, randomised, single-blind clinical trial. Setting Single-centre study. Participants Sixty patients undergoing rehabilitation following ACL reconstruction were assigned at random into two groups. Interventions Patients in the water-based training group (WBG) underwent treadmill training in water, and patients in the land-based training group (LBG) underwent treadmill training on land. Main outcome measures Muscle strength was evaluated using the ratio of peak torque to body weight (PT/BW) before and after 3 weeks of training. Results After 3 weeks of training, both groups had significantly higher PT/BW ratios, passive position sense (PAPS) and Lysholm scores compared with pre-treatment levels. In the affected leg, the PT/BW ratio for the knee extensor muscles, PAPS and Lysholm scores showed significantly greater improvement in the WBG than in the LBG. No significant differences in the PT/BW ratio, single leg balance index and stability limit index of the knee flexor muscles at different angular velocities were seen between the two groups. Conclusion The results suggest that water-based walking exercise could lead to greater improvements in extensor muscle strength, proprioception and knee performance compared with land-based training following ACL reconstruction.</t>
  </si>
  <si>
    <t>10.1016/j.physio.2021.11.003</t>
  </si>
  <si>
    <t>http://dx.doi.org/10.1016/j.physio.2021.11.003</t>
  </si>
  <si>
    <t>WOS:000783073800003</t>
  </si>
  <si>
    <t>Chmielewski, TL; George, SZ; Tillman, SM; Moser, MW; Lentz, TA; Indelicato, PA; Trumble, TN; Shuster, JJ; Cicuttini, FM; Leeuwenburgh, C</t>
  </si>
  <si>
    <t>Chmielewski, Terese L.; George, Steven Z.; Tillman, Susan M.; Moser, Michael W.; Lentz, Trevor A.; Indelicato, Peter A.; Trumble, Troy N.; Shuster, Jonathan J.; Cicuttini, Flavia M.; Leeuwenburgh, Christiaan</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</si>
  <si>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 Purpose: To compare the immediate effect of low- and high-intensity plyometric exercise during rehabilitation after ACL reconstruction on knee function, articular cartilage metabolism, and other clinically relevant measures. Study Design: Randomized controlled trial; Level of evidence, 2. 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 Results: The groups did not significantly differ in the change of any primary or secondary outcome measure. Of interest, sCPII concentrations tended to change in opposite directions (mean SD: low-intensity group, 28.7 185.5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 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t>
  </si>
  <si>
    <t>WOS:000371658300010</t>
  </si>
  <si>
    <t>Lim, JY; Yu, HJ; Kim, SH; Lee, JI; Lim, JY; Wang, JH; Hwang, JH</t>
  </si>
  <si>
    <t>Lim, Ji Young; Yu, Hee Ju; Kim, Seo Hyun; Lee, Jong In; Lim, Jae-Young; Wang, Joon Ho; Hwang, Ji Hye</t>
  </si>
  <si>
    <t>Effectiveness of In-Home, Augmented Reality-Based Telerehabilitation After Anterior Cruciate Ligament Reconstruction: A Randomized Controlled Trial</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</si>
  <si>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 .05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t>
  </si>
  <si>
    <t>WOS:001333730600001</t>
  </si>
  <si>
    <t>Qiu, J; Ong, MTY; Choi, CY; Cao, MD; Ko, VMC; He, X; Fu, SC; Fong, DTP; Yung, PSH</t>
  </si>
  <si>
    <t>Qiu, Jihong; Ong, Michael Tim-Yun; Choi, Chi-Yin; Cao, Mingde; Ko, Violet Man-Chi; He, Xin; Fu, Sai-Chuen; Fong, Daniel T. P.; Yung, Patrick Shu-Hang</t>
  </si>
  <si>
    <t>SPORTS MEDICINE-OPEN</t>
  </si>
  <si>
    <t>BackgroundGood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period.MethodsA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analyses.ResultsForty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0.007).ConclusionsFive weeks of WBV in prehabilitation enhanced quadriceps strength pre-ACLR and had potential to enhance knee function post-ACLR. WBV can be considered as an adjunct to prehabilitation protocols.Trial RegistrationClinicalTrials.gov, NCT04988828. Registered 3rd August 2021, https://clinicaltrials.gov/study/NCT04988828?cond=anterior%20cruciate%20ligament&amp;term=WBV&amp;locStr=Hong%20Kong&amp;country=Hong%20Kong&amp;rank=3. 1. Patients receiving WBV during prehabilitation showed higher IKDC scores 4 months post-ACLR compared to standard prehabilitation alone.2. Preoperative quadriceps strength improvements and the WBV therapy were positively associated with better knee function following ACL reconstruction, highlighting the importance of effective prehabilitation strategies.3. WBV appears to be a valuable adjunct therapy for enhancing quadriceps function before ACL surgery, potentially establishing a stronger foundation for postoperative recovery.</t>
  </si>
  <si>
    <t>WOS:001558467900001</t>
  </si>
  <si>
    <t>Logerstedt, D; Di Stasi, S; Grindem, H; Lynch, A; Eitzen, I; Engebretsen, L; Risberg, MA; Axe, MJ; Snyder-Mackler, L</t>
  </si>
  <si>
    <t>Logerstedt, David; Di Stasi, Stephanie; Grindem, Hege; Lynch, Andrew; Eitzen, Ingrid; Engebretsen, Lars; Risberg, May Arna; Axe, Michael J.; Snyder-Mackler, Lynn</t>
  </si>
  <si>
    <t>Self-Reported Knee Function Can Identify Athletes Who Fail Return-to-Activity Criteria up to 1 Year After Anterior Cruciate Ligament Reconstruction: A Delaware-Oslo ACL Cohort Study</t>
  </si>
  <si>
    <t>JOURNAL OF ORTHOPAEDIC &amp; SPORTS PHYSICAL THERAPY</t>
  </si>
  <si>
    <t>OBJECTIVES: To determine if self-reported knee-function-assessed with the International Knee Documentation Committee 2000 Subjective Knee Form (IKDC 2000) could discriminate between successful and nonsuccessful performance on-return-to-activity criteria (RTAC) tests after anterior cruciate ligament (ACL) reconstruction. BACKGROUND: Selecting appropriate performance-based and patient-reported tests that can detect side-to-side asymmetries, assess global knee function, and determine a participant's-readiness to return to activity after ACL reconstruction can be a challenge for rehabilitation specialists. A simple tool or questionnaire to identify athletes with neuromuscular impairments or activity limitations could provide rehabilitation specialists with crucial data pertinent to their patients' current knee function and readiness to return to higher-level activities. METHODS: One hundred ninety-four level I and level II athletes-who underwent ACL reconstruction participated in the study. One hundred fifty-eight athletes at 6 months after ACL reconstruction and 141 of the athletes at 12 months after ACL reconstruction completed a battery of functional tests to determine readiness to return to activity and the IKDC 2000 to determine self-reported knee function. For each athlete, status on the RTAC test battery was dichotomized into passed or failed, and status on the IKDC 2000 scores was dichotomized into within or below age- and sex-matched normal ranges. Comparisons were made between status on the RTAC test battery and the IKDC 2000 using chi-square tests. Accuracy statistics were also calculated. RESULTS: Six months after ACL reconstruction, 112 athletes (70.9%) failed RTAC and 76(48.1%) were classified as having self-reported knee function below normal ranges. Among the 76 participants with IKDC 2000 scores below normal ranges, 69(90.8%) failed the RTAC test battery (P&lt;.001). However, among the 82 participants whose IKDC 2000 scores were within normal limits at,6 months, only 39(47.6%) passed the RTAC test battery (P = .74). Twelve months after ACL reconstruction, 67 athletes (47.5%) failed RTAC and 31 (22.0%) had knee function below normal ranges. Among the 31 participants with IKDC 2000 scores below normal ranges,25 (80.6%) failed the RTAC test battery (P&lt;.001). However, among the 110 participants whose IKDC 2000 scores were within normal limits at 12 months, only 68 (61.8%) passed the RTAC test battery (P = .017). CONCLUSION: The IKDC 2000 may be a clinically relevant tool to determine the timeliness or necessity of RTAC testing. For scores obtained 6 and 12 months after ACL reconstruction, low IKDC 2000 scores were reasonably indicative of failure on the RTAC test battery, whereas normal IKDC 2000 scores were not predictive of passing scores on the RTAC test battery. CONCLUSION: The IKDC 2000 may be a clinically relevant tool to determine the timeliness or necessity of RTAC testing. For scores obtained 6 and 12 months after ACL reconstruction, low IKDC 2000 scores were reasonably indicative of failure on the RTAC test battery, whereas normal IKDC 2000 scores were not predictive of passing scores on the RTAC test battery.</t>
  </si>
  <si>
    <t>10.2519/jospt.2014.4852</t>
  </si>
  <si>
    <t>http://dx.doi.org/10.2519/jospt.2014.4852</t>
  </si>
  <si>
    <t>WOS:000346111900002</t>
  </si>
  <si>
    <t>Ogrodzka-Ciechanowicz, K; Glab, G; Slusarski, J; Gadek, A</t>
  </si>
  <si>
    <t>Ogrodzka-Ciechanowicz, Katarzyna; Glab, Grzegorz; Slusarski, Jakub; Gadek, Artur</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</si>
  <si>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3.71), knee circumference (p = 0.039, Es = 1.65), thigh circumference (p = 0.049, Es= 1.26), knee extension (p &lt; 0.001, Es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t>
  </si>
  <si>
    <t>WOS:000721881600010</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</si>
</sst>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b/>
      <color rgb="FF000000"/>
      <name val="Calibri"/>
      <scheme val="minor"/>
    </font>
    <font>
      <color theme="1"/>
      <name val="Calibri"/>
      <scheme val="minor"/>
    </font>
    <font>
      <b/>
      <color theme="1"/>
      <name val="Calibri"/>
      <scheme val="minor"/>
    </font>
    <font>
      <sz val="11.0"/>
      <color theme="1"/>
      <name val="Calibri"/>
    </font>
  </fonts>
  <fills count="3">
    <fill>
      <patternFill patternType="none"/>
    </fill>
    <fill>
      <patternFill patternType="lightGray"/>
    </fill>
    <fill>
      <patternFill patternType="solid">
        <fgColor rgb="FFD1D1D1"/>
        <bgColor rgb="FFD1D1D1"/>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xf>
    <xf borderId="0" fillId="0" fontId="3" numFmtId="0" xfId="0" applyFont="1"/>
    <xf borderId="0" fillId="0" fontId="4" numFmtId="0" xfId="0" applyAlignment="1" applyFont="1">
      <alignment horizontal="center" readingOrder="0" vertical="top"/>
    </xf>
    <xf borderId="0" fillId="0" fontId="3" numFmtId="0" xfId="0" applyAlignment="1" applyFont="1">
      <alignment horizontal="center" readingOrder="0"/>
    </xf>
    <xf borderId="0" fillId="0" fontId="3" numFmtId="0" xfId="0" applyAlignment="1" applyFont="1">
      <alignment readingOrder="0"/>
    </xf>
    <xf borderId="0" fillId="0" fontId="5" numFmtId="14" xfId="0" applyFont="1" applyNumberFormat="1"/>
    <xf borderId="0" fillId="0" fontId="5" numFmtId="0" xfId="0" applyFont="1"/>
    <xf borderId="0" fillId="0" fontId="5" numFmtId="15" xfId="0" applyFont="1" applyNumberFormat="1"/>
    <xf borderId="0" fillId="0" fontId="5" numFmtId="16" xfId="0" applyFont="1" applyNumberFormat="1"/>
    <xf borderId="0" fillId="0" fontId="5" numFmtId="17" xfId="0" applyFont="1" applyNumberFormat="1"/>
    <xf borderId="0" fillId="0" fontId="5" numFmtId="1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29"/>
    <col customWidth="1" min="3" max="3" width="26.14"/>
    <col customWidth="1" min="4" max="4" width="22.86"/>
    <col customWidth="1" min="5" max="5" width="11.0"/>
    <col customWidth="1" min="6" max="6" width="24.0"/>
    <col customWidth="1" min="7" max="7" width="23.57"/>
    <col customWidth="1" min="8" max="8" width="22.86"/>
    <col customWidth="1" min="9" max="9" width="18.86"/>
    <col customWidth="1" min="10" max="26" width="8.71"/>
  </cols>
  <sheetData>
    <row r="1" ht="14.25" customHeight="1">
      <c r="A1" s="1" t="s">
        <v>0</v>
      </c>
      <c r="B1" s="1" t="s">
        <v>1</v>
      </c>
      <c r="C1" s="1" t="s">
        <v>2</v>
      </c>
      <c r="D1" s="1" t="s">
        <v>3</v>
      </c>
      <c r="E1" s="2" t="s">
        <v>4</v>
      </c>
      <c r="F1" s="2" t="s">
        <v>1</v>
      </c>
      <c r="G1" s="2" t="s">
        <v>2</v>
      </c>
      <c r="H1" s="2" t="s">
        <v>3</v>
      </c>
      <c r="I1" s="2" t="s">
        <v>5</v>
      </c>
    </row>
    <row r="2" ht="14.25" customHeight="1">
      <c r="A2" s="3" t="s">
        <v>6</v>
      </c>
      <c r="D2" s="3" t="s">
        <v>7</v>
      </c>
      <c r="E2" s="4" t="s">
        <v>8</v>
      </c>
      <c r="F2" s="5" t="s">
        <v>9</v>
      </c>
      <c r="G2" s="5" t="s">
        <v>10</v>
      </c>
      <c r="H2" s="5" t="s">
        <v>11</v>
      </c>
      <c r="I2" s="5" t="s">
        <v>12</v>
      </c>
    </row>
    <row r="3" ht="14.25" customHeight="1">
      <c r="A3" s="3" t="s">
        <v>13</v>
      </c>
      <c r="B3" s="3" t="s">
        <v>9</v>
      </c>
      <c r="C3" s="3" t="s">
        <v>14</v>
      </c>
      <c r="D3" s="3" t="s">
        <v>15</v>
      </c>
      <c r="E3" s="4" t="s">
        <v>16</v>
      </c>
      <c r="F3" s="5" t="s">
        <v>16</v>
      </c>
      <c r="G3" s="5" t="s">
        <v>16</v>
      </c>
      <c r="H3" s="5" t="s">
        <v>16</v>
      </c>
      <c r="I3" s="5" t="s">
        <v>16</v>
      </c>
    </row>
    <row r="4" ht="14.25" customHeight="1">
      <c r="A4" s="3" t="s">
        <v>17</v>
      </c>
      <c r="B4" s="3" t="s">
        <v>14</v>
      </c>
      <c r="C4" s="3" t="s">
        <v>18</v>
      </c>
      <c r="D4" s="3" t="s">
        <v>19</v>
      </c>
      <c r="E4" s="4" t="s">
        <v>15</v>
      </c>
      <c r="F4" s="5" t="s">
        <v>15</v>
      </c>
      <c r="G4" s="5" t="s">
        <v>20</v>
      </c>
      <c r="H4" s="5" t="s">
        <v>15</v>
      </c>
      <c r="I4" s="5" t="s">
        <v>15</v>
      </c>
    </row>
    <row r="5" ht="14.25" customHeight="1">
      <c r="A5" s="3" t="s">
        <v>21</v>
      </c>
      <c r="B5" s="3" t="s">
        <v>15</v>
      </c>
      <c r="C5" s="3" t="s">
        <v>20</v>
      </c>
      <c r="D5" s="3" t="s">
        <v>22</v>
      </c>
      <c r="E5" s="4" t="s">
        <v>14</v>
      </c>
      <c r="F5" s="5" t="s">
        <v>14</v>
      </c>
      <c r="G5" s="5" t="s">
        <v>14</v>
      </c>
      <c r="H5" s="5" t="s">
        <v>23</v>
      </c>
      <c r="I5" s="5" t="s">
        <v>14</v>
      </c>
    </row>
    <row r="6" ht="14.25" customHeight="1">
      <c r="A6" s="3" t="s">
        <v>24</v>
      </c>
      <c r="B6" s="3" t="s">
        <v>25</v>
      </c>
      <c r="C6" s="3" t="s">
        <v>26</v>
      </c>
      <c r="D6" s="3" t="s">
        <v>27</v>
      </c>
      <c r="E6" s="4" t="s">
        <v>28</v>
      </c>
      <c r="F6" s="5" t="s">
        <v>29</v>
      </c>
      <c r="G6" s="5" t="s">
        <v>29</v>
      </c>
      <c r="H6" s="5" t="s">
        <v>29</v>
      </c>
      <c r="I6" s="5" t="s">
        <v>28</v>
      </c>
    </row>
    <row r="7" ht="14.25" customHeight="1">
      <c r="A7" s="3" t="s">
        <v>30</v>
      </c>
      <c r="B7" s="3" t="s">
        <v>31</v>
      </c>
      <c r="C7" s="3" t="s">
        <v>32</v>
      </c>
      <c r="D7" s="3" t="s">
        <v>33</v>
      </c>
      <c r="E7" s="4" t="s">
        <v>34</v>
      </c>
      <c r="F7" s="5" t="s">
        <v>35</v>
      </c>
      <c r="G7" s="5" t="s">
        <v>4</v>
      </c>
      <c r="H7" s="5" t="s">
        <v>36</v>
      </c>
      <c r="I7" s="5" t="s">
        <v>37</v>
      </c>
    </row>
    <row r="8" ht="14.25" customHeight="1">
      <c r="A8" s="3" t="s">
        <v>38</v>
      </c>
      <c r="B8" s="3" t="s">
        <v>35</v>
      </c>
      <c r="C8" s="3" t="s">
        <v>39</v>
      </c>
      <c r="D8" s="3" t="s">
        <v>40</v>
      </c>
      <c r="E8" s="6" t="s">
        <v>41</v>
      </c>
      <c r="F8" s="3" t="str">
        <f t="shared" ref="F8:I8" si="1">F$1&amp;"['"&amp;F2&amp;"']"</f>
        <v>pubmed['PMID']</v>
      </c>
      <c r="G8" s="3" t="str">
        <f t="shared" si="1"/>
        <v>embase['Embase Link
 PUI']</v>
      </c>
      <c r="H8" s="3" t="str">
        <f t="shared" si="1"/>
        <v>wos['UT (Unique WOS ID)
 Web of Science Record']</v>
      </c>
      <c r="I8" s="3" t="str">
        <f t="shared" si="1"/>
        <v>scopus['EID']</v>
      </c>
      <c r="J8" s="3" t="str">
        <f>IFERROR(__xludf.DUMMYFUNCTION("E8&amp;"" = pd.concat([""&amp;join("", "",F8:I8)&amp;""])"""),"id = pd.concat([pubmed['PMID'], embase['Embase Link
 PUI'], wos['UT (Unique WOS ID)
 Web of Science Record'], scopus['EID']])")</f>
        <v>id = pd.concat([pubmed['PMID'], embase['Embase Link
 PUI'], wos['UT (Unique WOS ID)
 Web of Science Record'], scopus['EID']])</v>
      </c>
    </row>
    <row r="9" ht="14.25" customHeight="1">
      <c r="A9" s="3" t="s">
        <v>42</v>
      </c>
      <c r="B9" s="3" t="s">
        <v>29</v>
      </c>
      <c r="C9" s="3" t="s">
        <v>43</v>
      </c>
      <c r="D9" s="3" t="s">
        <v>44</v>
      </c>
      <c r="E9" s="6" t="s">
        <v>45</v>
      </c>
      <c r="F9" s="3" t="str">
        <f t="shared" ref="F9:I9" si="2">F$1&amp;"['"&amp;F3&amp;"']"</f>
        <v>pubmed['DOI']</v>
      </c>
      <c r="G9" s="3" t="str">
        <f t="shared" si="2"/>
        <v>embase['DOI']</v>
      </c>
      <c r="H9" s="3" t="str">
        <f t="shared" si="2"/>
        <v>wos['DOI']</v>
      </c>
      <c r="I9" s="3" t="str">
        <f t="shared" si="2"/>
        <v>scopus['DOI']</v>
      </c>
      <c r="J9" s="3" t="str">
        <f>IFERROR(__xludf.DUMMYFUNCTION("E9&amp;"" = pd.concat([""&amp;join("", "",F9:I9)&amp;""])"""),"doi = pd.concat([pubmed['DOI'], embase['DOI'], wos['DOI'], scopus['DOI']])")</f>
        <v>doi = pd.concat([pubmed['DOI'], embase['DOI'], wos['DOI'], scopus['DOI']])</v>
      </c>
    </row>
    <row r="10" ht="14.25" customHeight="1">
      <c r="A10" s="3" t="s">
        <v>46</v>
      </c>
      <c r="B10" s="3" t="s">
        <v>47</v>
      </c>
      <c r="C10" s="3" t="s">
        <v>48</v>
      </c>
      <c r="D10" s="3" t="s">
        <v>23</v>
      </c>
      <c r="E10" s="6" t="s">
        <v>49</v>
      </c>
      <c r="F10" s="3" t="str">
        <f t="shared" ref="F10:I10" si="3">F$1&amp;"['"&amp;F4&amp;"']"</f>
        <v>pubmed['Authors']</v>
      </c>
      <c r="G10" s="3" t="str">
        <f t="shared" si="3"/>
        <v>embase['Author Names']</v>
      </c>
      <c r="H10" s="3" t="str">
        <f t="shared" si="3"/>
        <v>wos['Authors']</v>
      </c>
      <c r="I10" s="3" t="str">
        <f t="shared" si="3"/>
        <v>scopus['Authors']</v>
      </c>
      <c r="J10" s="3" t="str">
        <f>IFERROR(__xludf.DUMMYFUNCTION("E10&amp;"" = pd.concat([""&amp;join("", "",F10:I10)&amp;""])"""),"authors = pd.concat([pubmed['Authors'], embase['Author Names'], wos['Authors'], scopus['Authors']])")</f>
        <v>authors = pd.concat([pubmed['Authors'], embase['Author Names'], wos['Authors'], scopus['Authors']])</v>
      </c>
    </row>
    <row r="11" ht="14.25" customHeight="1">
      <c r="A11" s="3" t="s">
        <v>50</v>
      </c>
      <c r="B11" s="3" t="s">
        <v>51</v>
      </c>
      <c r="C11" s="3" t="s">
        <v>4</v>
      </c>
      <c r="D11" s="3" t="s">
        <v>36</v>
      </c>
      <c r="E11" s="6" t="s">
        <v>52</v>
      </c>
      <c r="F11" s="3" t="str">
        <f t="shared" ref="F11:I11" si="4">F$1&amp;"['"&amp;F5&amp;"']"</f>
        <v>pubmed['Title']</v>
      </c>
      <c r="G11" s="3" t="str">
        <f t="shared" si="4"/>
        <v>embase['Title']</v>
      </c>
      <c r="H11" s="3" t="str">
        <f t="shared" si="4"/>
        <v>wos['Article Title']</v>
      </c>
      <c r="I11" s="3" t="str">
        <f t="shared" si="4"/>
        <v>scopus['Title']</v>
      </c>
      <c r="J11" s="3" t="str">
        <f>IFERROR(__xludf.DUMMYFUNCTION("E11&amp;"" = pd.concat([""&amp;join("", "",F11:I11)&amp;""])"""),"title = pd.concat([pubmed['Title'], embase['Title'], wos['Article Title'], scopus['Title']])")</f>
        <v>title = pd.concat([pubmed['Title'], embase['Title'], wos['Article Title'], scopus['Title']])</v>
      </c>
    </row>
    <row r="12" ht="14.25" customHeight="1">
      <c r="A12" s="3" t="s">
        <v>53</v>
      </c>
      <c r="B12" s="3" t="s">
        <v>54</v>
      </c>
      <c r="C12" s="3" t="s">
        <v>37</v>
      </c>
      <c r="D12" s="3" t="s">
        <v>55</v>
      </c>
      <c r="E12" s="6" t="s">
        <v>56</v>
      </c>
      <c r="F12" s="3" t="str">
        <f t="shared" ref="F12:I12" si="5">F$1&amp;"['"&amp;F6&amp;"']"</f>
        <v>pubmed['Publication Year']</v>
      </c>
      <c r="G12" s="3" t="str">
        <f t="shared" si="5"/>
        <v>embase['Publication Year']</v>
      </c>
      <c r="H12" s="3" t="str">
        <f t="shared" si="5"/>
        <v>wos['Publication Year']</v>
      </c>
      <c r="I12" s="3" t="str">
        <f t="shared" si="5"/>
        <v>scopus['Year']</v>
      </c>
      <c r="J12" s="3" t="str">
        <f>IFERROR(__xludf.DUMMYFUNCTION("E12&amp;"" = pd.concat([""&amp;join("", "",F12:I12)&amp;""])"""),"year = pd.concat([pubmed['Publication Year'], embase['Publication Year'], wos['Publication Year'], scopus['Year']])")</f>
        <v>year = pd.concat([pubmed['Publication Year'], embase['Publication Year'], wos['Publication Year'], scopus['Year']])</v>
      </c>
    </row>
    <row r="13" ht="14.25" customHeight="1">
      <c r="A13" s="3" t="s">
        <v>57</v>
      </c>
      <c r="B13" s="3" t="s">
        <v>16</v>
      </c>
      <c r="C13" s="3" t="s">
        <v>29</v>
      </c>
      <c r="D13" s="3" t="s">
        <v>58</v>
      </c>
      <c r="E13" s="6" t="s">
        <v>59</v>
      </c>
      <c r="F13" s="3" t="str">
        <f t="shared" ref="F13:I13" si="6">F$1&amp;"['"&amp;F7&amp;"']"</f>
        <v>pubmed['Journal/Book']</v>
      </c>
      <c r="G13" s="3" t="str">
        <f t="shared" si="6"/>
        <v>embase['Source']</v>
      </c>
      <c r="H13" s="3" t="str">
        <f t="shared" si="6"/>
        <v>wos['Source Title']</v>
      </c>
      <c r="I13" s="3" t="str">
        <f t="shared" si="6"/>
        <v>scopus['Source title']</v>
      </c>
      <c r="J13" s="3" t="str">
        <f>IFERROR(__xludf.DUMMYFUNCTION("E13&amp;"" = pd.concat([""&amp;join("", "",F13:I13)&amp;""])"""),"journal = pd.concat([pubmed['Journal/Book'], embase['Source'], wos['Source Title'], scopus['Source title']])")</f>
        <v>journal = pd.concat([pubmed['Journal/Book'], embase['Source'], wos['Source Title'], scopus['Source title']])</v>
      </c>
    </row>
    <row r="14" ht="14.25" customHeight="1">
      <c r="A14" s="3" t="s">
        <v>60</v>
      </c>
      <c r="C14" s="3" t="s">
        <v>61</v>
      </c>
      <c r="D14" s="3" t="s">
        <v>62</v>
      </c>
    </row>
    <row r="15" ht="14.25" customHeight="1">
      <c r="A15" s="3" t="s">
        <v>63</v>
      </c>
      <c r="C15" s="3" t="s">
        <v>64</v>
      </c>
      <c r="D15" s="3" t="s">
        <v>65</v>
      </c>
    </row>
    <row r="16" ht="14.25" customHeight="1">
      <c r="A16" s="3" t="s">
        <v>66</v>
      </c>
      <c r="C16" s="3" t="s">
        <v>67</v>
      </c>
      <c r="D16" s="3" t="s">
        <v>68</v>
      </c>
    </row>
    <row r="17" ht="14.25" customHeight="1">
      <c r="A17" s="3" t="s">
        <v>69</v>
      </c>
      <c r="C17" s="3" t="s">
        <v>70</v>
      </c>
      <c r="D17" s="3" t="s">
        <v>71</v>
      </c>
    </row>
    <row r="18" ht="14.25" customHeight="1">
      <c r="A18" s="3" t="s">
        <v>72</v>
      </c>
      <c r="C18" s="3" t="s">
        <v>73</v>
      </c>
      <c r="D18" s="3" t="s">
        <v>74</v>
      </c>
    </row>
    <row r="19" ht="14.25" customHeight="1">
      <c r="A19" s="3" t="s">
        <v>75</v>
      </c>
      <c r="C19" s="3" t="s">
        <v>7</v>
      </c>
      <c r="D19" s="3" t="s">
        <v>76</v>
      </c>
    </row>
    <row r="20" ht="14.25" customHeight="1">
      <c r="A20" s="3" t="s">
        <v>77</v>
      </c>
      <c r="C20" s="3" t="s">
        <v>78</v>
      </c>
      <c r="D20" s="3" t="s">
        <v>79</v>
      </c>
    </row>
    <row r="21" ht="14.25" customHeight="1">
      <c r="A21" s="3" t="s">
        <v>80</v>
      </c>
      <c r="C21" s="3" t="s">
        <v>74</v>
      </c>
      <c r="D21" s="3" t="s">
        <v>81</v>
      </c>
    </row>
    <row r="22" ht="14.25" customHeight="1">
      <c r="A22" s="3" t="s">
        <v>82</v>
      </c>
      <c r="C22" s="3" t="s">
        <v>71</v>
      </c>
      <c r="D22" s="3" t="s">
        <v>83</v>
      </c>
    </row>
    <row r="23" ht="14.25" customHeight="1">
      <c r="A23" s="3" t="s">
        <v>84</v>
      </c>
      <c r="C23" s="3" t="s">
        <v>85</v>
      </c>
      <c r="D23" s="3" t="s">
        <v>86</v>
      </c>
    </row>
    <row r="24" ht="14.25" customHeight="1">
      <c r="A24" s="3" t="s">
        <v>87</v>
      </c>
      <c r="C24" s="3" t="s">
        <v>88</v>
      </c>
      <c r="D24" s="3" t="s">
        <v>89</v>
      </c>
    </row>
    <row r="25" ht="14.25" customHeight="1">
      <c r="A25" s="3" t="s">
        <v>90</v>
      </c>
      <c r="C25" s="3" t="s">
        <v>91</v>
      </c>
      <c r="D25" s="3" t="s">
        <v>92</v>
      </c>
    </row>
    <row r="26" ht="14.25" customHeight="1">
      <c r="A26" s="3" t="s">
        <v>93</v>
      </c>
      <c r="C26" s="3" t="s">
        <v>94</v>
      </c>
      <c r="D26" s="3" t="s">
        <v>95</v>
      </c>
    </row>
    <row r="27" ht="14.25" customHeight="1">
      <c r="A27" s="3" t="s">
        <v>96</v>
      </c>
      <c r="C27" s="3" t="s">
        <v>86</v>
      </c>
      <c r="D27" s="3" t="s">
        <v>97</v>
      </c>
    </row>
    <row r="28" ht="14.25" customHeight="1">
      <c r="A28" s="3" t="s">
        <v>98</v>
      </c>
      <c r="C28" s="3" t="s">
        <v>99</v>
      </c>
      <c r="D28" s="3" t="s">
        <v>100</v>
      </c>
    </row>
    <row r="29" ht="14.25" customHeight="1">
      <c r="A29" s="3" t="s">
        <v>101</v>
      </c>
      <c r="C29" s="3" t="s">
        <v>102</v>
      </c>
      <c r="D29" s="3" t="s">
        <v>103</v>
      </c>
    </row>
    <row r="30" ht="14.25" customHeight="1">
      <c r="A30" s="3" t="s">
        <v>104</v>
      </c>
      <c r="C30" s="3" t="s">
        <v>105</v>
      </c>
      <c r="D30" s="3" t="s">
        <v>106</v>
      </c>
    </row>
    <row r="31" ht="14.25" customHeight="1">
      <c r="A31" s="3" t="s">
        <v>107</v>
      </c>
      <c r="C31" s="3" t="s">
        <v>108</v>
      </c>
      <c r="D31" s="3" t="s">
        <v>109</v>
      </c>
    </row>
    <row r="32" ht="14.25" customHeight="1">
      <c r="A32" s="3" t="s">
        <v>110</v>
      </c>
      <c r="C32" s="3" t="s">
        <v>111</v>
      </c>
      <c r="D32" s="3" t="s">
        <v>112</v>
      </c>
    </row>
    <row r="33" ht="14.25" customHeight="1">
      <c r="A33" s="3" t="s">
        <v>113</v>
      </c>
      <c r="C33" s="3" t="s">
        <v>114</v>
      </c>
      <c r="D33" s="3" t="s">
        <v>115</v>
      </c>
    </row>
    <row r="34" ht="14.25" customHeight="1">
      <c r="A34" s="3" t="s">
        <v>116</v>
      </c>
      <c r="C34" s="3" t="s">
        <v>117</v>
      </c>
      <c r="D34" s="3" t="s">
        <v>118</v>
      </c>
    </row>
    <row r="35" ht="14.25" customHeight="1">
      <c r="A35" s="3" t="s">
        <v>119</v>
      </c>
      <c r="C35" s="3" t="s">
        <v>120</v>
      </c>
      <c r="D35" s="3" t="s">
        <v>121</v>
      </c>
    </row>
    <row r="36" ht="14.25" customHeight="1">
      <c r="A36" s="3" t="s">
        <v>122</v>
      </c>
      <c r="C36" s="3" t="s">
        <v>16</v>
      </c>
      <c r="D36" s="3" t="s">
        <v>123</v>
      </c>
    </row>
    <row r="37" ht="14.25" customHeight="1">
      <c r="A37" s="3" t="s">
        <v>124</v>
      </c>
      <c r="C37" s="3" t="s">
        <v>125</v>
      </c>
      <c r="D37" s="3" t="s">
        <v>126</v>
      </c>
    </row>
    <row r="38" ht="14.25" customHeight="1">
      <c r="A38" s="3" t="s">
        <v>127</v>
      </c>
      <c r="C38" s="3" t="s">
        <v>128</v>
      </c>
      <c r="D38" s="3" t="s">
        <v>129</v>
      </c>
    </row>
    <row r="39" ht="14.25" customHeight="1">
      <c r="A39" s="3" t="s">
        <v>130</v>
      </c>
      <c r="C39" s="3" t="s">
        <v>131</v>
      </c>
      <c r="D39" s="3" t="s">
        <v>132</v>
      </c>
    </row>
    <row r="40" ht="14.25" customHeight="1">
      <c r="A40" s="3" t="s">
        <v>133</v>
      </c>
      <c r="C40" s="3" t="s">
        <v>134</v>
      </c>
      <c r="D40" s="3" t="s">
        <v>135</v>
      </c>
    </row>
    <row r="41" ht="14.25" customHeight="1">
      <c r="A41" s="3" t="str">
        <f t="shared" ref="A41:A53" si="7">"A"&amp;A15</f>
        <v>AN</v>
      </c>
      <c r="D41" s="3" t="s">
        <v>136</v>
      </c>
    </row>
    <row r="42" ht="14.25" customHeight="1">
      <c r="A42" s="3" t="str">
        <f t="shared" si="7"/>
        <v>AO</v>
      </c>
      <c r="D42" s="3" t="s">
        <v>88</v>
      </c>
    </row>
    <row r="43" ht="14.25" customHeight="1">
      <c r="A43" s="3" t="str">
        <f t="shared" si="7"/>
        <v>AP</v>
      </c>
      <c r="D43" s="3" t="s">
        <v>137</v>
      </c>
    </row>
    <row r="44" ht="14.25" customHeight="1">
      <c r="A44" s="3" t="str">
        <f t="shared" si="7"/>
        <v>AQ</v>
      </c>
      <c r="D44" s="3" t="s">
        <v>91</v>
      </c>
    </row>
    <row r="45" ht="14.25" customHeight="1">
      <c r="A45" s="3" t="str">
        <f t="shared" si="7"/>
        <v>AR</v>
      </c>
      <c r="D45" s="3" t="s">
        <v>138</v>
      </c>
    </row>
    <row r="46" ht="14.25" customHeight="1">
      <c r="A46" s="3" t="str">
        <f t="shared" si="7"/>
        <v>AS</v>
      </c>
      <c r="D46" s="3" t="s">
        <v>139</v>
      </c>
    </row>
    <row r="47" ht="14.25" customHeight="1">
      <c r="A47" s="3" t="str">
        <f t="shared" si="7"/>
        <v>AT</v>
      </c>
      <c r="D47" s="3" t="s">
        <v>140</v>
      </c>
    </row>
    <row r="48" ht="14.25" customHeight="1">
      <c r="A48" s="3" t="str">
        <f t="shared" si="7"/>
        <v>AU</v>
      </c>
      <c r="D48" s="3" t="s">
        <v>29</v>
      </c>
    </row>
    <row r="49" ht="14.25" customHeight="1">
      <c r="A49" s="3" t="str">
        <f t="shared" si="7"/>
        <v>AV</v>
      </c>
      <c r="D49" s="3" t="s">
        <v>61</v>
      </c>
    </row>
    <row r="50" ht="14.25" customHeight="1">
      <c r="A50" s="3" t="str">
        <f t="shared" si="7"/>
        <v>AW</v>
      </c>
      <c r="D50" s="3" t="s">
        <v>64</v>
      </c>
    </row>
    <row r="51" ht="14.25" customHeight="1">
      <c r="A51" s="3" t="str">
        <f t="shared" si="7"/>
        <v>AX</v>
      </c>
      <c r="D51" s="3" t="s">
        <v>141</v>
      </c>
    </row>
    <row r="52" ht="14.25" customHeight="1">
      <c r="A52" s="3" t="str">
        <f t="shared" si="7"/>
        <v>AY</v>
      </c>
      <c r="D52" s="3" t="s">
        <v>142</v>
      </c>
    </row>
    <row r="53" ht="14.25" customHeight="1">
      <c r="A53" s="3" t="str">
        <f t="shared" si="7"/>
        <v>AZ</v>
      </c>
      <c r="D53" s="3" t="s">
        <v>143</v>
      </c>
    </row>
    <row r="54" ht="14.25" customHeight="1">
      <c r="A54" s="3" t="str">
        <f t="shared" ref="A54:A73" si="8">"B"&amp;A2</f>
        <v>BA</v>
      </c>
      <c r="D54" s="3" t="s">
        <v>144</v>
      </c>
    </row>
    <row r="55" ht="14.25" customHeight="1">
      <c r="A55" s="3" t="str">
        <f t="shared" si="8"/>
        <v>BB</v>
      </c>
      <c r="D55" s="3" t="s">
        <v>145</v>
      </c>
    </row>
    <row r="56" ht="14.25" customHeight="1">
      <c r="A56" s="3" t="str">
        <f t="shared" si="8"/>
        <v>BC</v>
      </c>
      <c r="D56" s="3" t="s">
        <v>146</v>
      </c>
    </row>
    <row r="57" ht="14.25" customHeight="1">
      <c r="A57" s="3" t="str">
        <f t="shared" si="8"/>
        <v>BD</v>
      </c>
      <c r="D57" s="3" t="s">
        <v>147</v>
      </c>
    </row>
    <row r="58" ht="14.25" customHeight="1">
      <c r="A58" s="3" t="str">
        <f t="shared" si="8"/>
        <v>BE</v>
      </c>
      <c r="D58" s="3" t="s">
        <v>16</v>
      </c>
    </row>
    <row r="59" ht="14.25" customHeight="1">
      <c r="A59" s="3" t="str">
        <f t="shared" si="8"/>
        <v>BF</v>
      </c>
      <c r="D59" s="3" t="s">
        <v>148</v>
      </c>
    </row>
    <row r="60" ht="14.25" customHeight="1">
      <c r="A60" s="3" t="str">
        <f t="shared" si="8"/>
        <v>BG</v>
      </c>
      <c r="D60" s="3" t="s">
        <v>149</v>
      </c>
    </row>
    <row r="61" ht="14.25" customHeight="1">
      <c r="A61" s="3" t="str">
        <f t="shared" si="8"/>
        <v>BH</v>
      </c>
      <c r="D61" s="3" t="s">
        <v>150</v>
      </c>
    </row>
    <row r="62" ht="14.25" customHeight="1">
      <c r="A62" s="3" t="str">
        <f t="shared" si="8"/>
        <v>BI</v>
      </c>
      <c r="D62" s="3" t="s">
        <v>151</v>
      </c>
    </row>
    <row r="63" ht="14.25" customHeight="1">
      <c r="A63" s="3" t="str">
        <f t="shared" si="8"/>
        <v>BJ</v>
      </c>
      <c r="D63" s="3" t="s">
        <v>152</v>
      </c>
    </row>
    <row r="64" ht="14.25" customHeight="1">
      <c r="A64" s="3" t="str">
        <f t="shared" si="8"/>
        <v>BK</v>
      </c>
      <c r="D64" s="3" t="s">
        <v>153</v>
      </c>
    </row>
    <row r="65" ht="14.25" customHeight="1">
      <c r="A65" s="3" t="str">
        <f t="shared" si="8"/>
        <v>BL</v>
      </c>
      <c r="D65" s="3" t="s">
        <v>154</v>
      </c>
    </row>
    <row r="66" ht="14.25" customHeight="1">
      <c r="A66" s="3" t="str">
        <f t="shared" si="8"/>
        <v>BM</v>
      </c>
      <c r="D66" s="3" t="s">
        <v>155</v>
      </c>
    </row>
    <row r="67" ht="14.25" customHeight="1">
      <c r="A67" s="3" t="str">
        <f t="shared" si="8"/>
        <v>BN</v>
      </c>
      <c r="D67" s="3" t="s">
        <v>156</v>
      </c>
    </row>
    <row r="68" ht="14.25" customHeight="1">
      <c r="A68" s="3" t="str">
        <f t="shared" si="8"/>
        <v>BO</v>
      </c>
      <c r="D68" s="3" t="s">
        <v>157</v>
      </c>
    </row>
    <row r="69" ht="14.25" customHeight="1">
      <c r="A69" s="3" t="str">
        <f t="shared" si="8"/>
        <v>BP</v>
      </c>
      <c r="D69" s="3" t="s">
        <v>158</v>
      </c>
    </row>
    <row r="70" ht="14.25" customHeight="1">
      <c r="A70" s="3" t="str">
        <f t="shared" si="8"/>
        <v>BQ</v>
      </c>
      <c r="D70" s="3" t="s">
        <v>159</v>
      </c>
    </row>
    <row r="71" ht="14.25" customHeight="1">
      <c r="A71" s="3" t="str">
        <f t="shared" si="8"/>
        <v>BR</v>
      </c>
      <c r="D71" s="3" t="s">
        <v>160</v>
      </c>
    </row>
    <row r="72" ht="14.25" customHeight="1">
      <c r="A72" s="3" t="str">
        <f t="shared" si="8"/>
        <v>BS</v>
      </c>
      <c r="D72" s="3" t="s">
        <v>161</v>
      </c>
    </row>
    <row r="73" ht="14.25" customHeight="1">
      <c r="A73" s="3" t="str">
        <f t="shared" si="8"/>
        <v>BT</v>
      </c>
      <c r="D73" s="3" t="s">
        <v>162</v>
      </c>
    </row>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B1" s="3" t="s">
        <v>9</v>
      </c>
      <c r="C1" s="3" t="s">
        <v>14</v>
      </c>
      <c r="D1" s="3" t="s">
        <v>15</v>
      </c>
      <c r="E1" s="3" t="s">
        <v>25</v>
      </c>
      <c r="F1" s="3" t="s">
        <v>31</v>
      </c>
      <c r="G1" s="3" t="s">
        <v>35</v>
      </c>
      <c r="H1" s="3" t="s">
        <v>29</v>
      </c>
      <c r="I1" s="3" t="s">
        <v>47</v>
      </c>
      <c r="J1" s="3" t="s">
        <v>51</v>
      </c>
      <c r="K1" s="3" t="s">
        <v>54</v>
      </c>
      <c r="L1" s="3" t="s">
        <v>16</v>
      </c>
    </row>
    <row r="2" ht="14.25" customHeight="1">
      <c r="A2" s="3">
        <v>0.0</v>
      </c>
      <c r="B2" s="3">
        <v>3.9221503E7</v>
      </c>
      <c r="C2" s="3" t="s">
        <v>163</v>
      </c>
      <c r="D2" s="3" t="s">
        <v>164</v>
      </c>
      <c r="E2" s="3" t="s">
        <v>165</v>
      </c>
      <c r="F2" s="3" t="s">
        <v>166</v>
      </c>
      <c r="G2" s="3" t="s">
        <v>167</v>
      </c>
      <c r="H2" s="3">
        <v>2024.0</v>
      </c>
      <c r="I2" s="7">
        <v>45537.0</v>
      </c>
      <c r="L2" s="3" t="s">
        <v>168</v>
      </c>
    </row>
    <row r="3" ht="14.25" customHeight="1">
      <c r="A3" s="3">
        <v>1.0</v>
      </c>
      <c r="B3" s="3">
        <v>3.7893482E7</v>
      </c>
      <c r="C3" s="3" t="s">
        <v>169</v>
      </c>
      <c r="D3" s="3" t="s">
        <v>170</v>
      </c>
      <c r="E3" s="3" t="s">
        <v>171</v>
      </c>
      <c r="F3" s="3" t="s">
        <v>172</v>
      </c>
      <c r="G3" s="3" t="s">
        <v>173</v>
      </c>
      <c r="H3" s="3">
        <v>2023.0</v>
      </c>
      <c r="I3" s="7">
        <v>45227.0</v>
      </c>
      <c r="J3" s="3" t="s">
        <v>174</v>
      </c>
      <c r="L3" s="3" t="s">
        <v>175</v>
      </c>
    </row>
    <row r="4" ht="14.25" customHeight="1">
      <c r="A4" s="3">
        <v>2.0</v>
      </c>
      <c r="B4" s="3">
        <v>3.546833E7</v>
      </c>
      <c r="C4" s="3" t="s">
        <v>176</v>
      </c>
      <c r="D4" s="3" t="s">
        <v>177</v>
      </c>
      <c r="E4" s="3" t="s">
        <v>178</v>
      </c>
      <c r="F4" s="3" t="s">
        <v>179</v>
      </c>
      <c r="G4" s="3" t="s">
        <v>180</v>
      </c>
      <c r="H4" s="3">
        <v>2022.0</v>
      </c>
      <c r="I4" s="7">
        <v>44676.0</v>
      </c>
      <c r="L4" s="3" t="s">
        <v>181</v>
      </c>
    </row>
    <row r="5" ht="14.25" customHeight="1">
      <c r="A5" s="3">
        <v>3.0</v>
      </c>
      <c r="B5" s="3">
        <v>3.4952186E7</v>
      </c>
      <c r="C5" s="3" t="s">
        <v>182</v>
      </c>
      <c r="D5" s="3" t="s">
        <v>183</v>
      </c>
      <c r="E5" s="3" t="s">
        <v>184</v>
      </c>
      <c r="F5" s="3" t="s">
        <v>185</v>
      </c>
      <c r="G5" s="3" t="s">
        <v>186</v>
      </c>
      <c r="H5" s="3">
        <v>2022.0</v>
      </c>
      <c r="I5" s="7">
        <v>44554.0</v>
      </c>
      <c r="L5" s="3" t="s">
        <v>187</v>
      </c>
    </row>
    <row r="6" ht="14.25" customHeight="1">
      <c r="A6" s="3">
        <v>4.0</v>
      </c>
      <c r="B6" s="3">
        <v>3.4601649E7</v>
      </c>
      <c r="C6" s="3" t="s">
        <v>188</v>
      </c>
      <c r="D6" s="3" t="s">
        <v>189</v>
      </c>
      <c r="E6" s="3" t="s">
        <v>190</v>
      </c>
      <c r="F6" s="3" t="s">
        <v>191</v>
      </c>
      <c r="G6" s="3" t="s">
        <v>192</v>
      </c>
      <c r="H6" s="3">
        <v>2022.0</v>
      </c>
      <c r="I6" s="7">
        <v>44472.0</v>
      </c>
      <c r="L6" s="3" t="s">
        <v>193</v>
      </c>
    </row>
    <row r="7" ht="14.25" customHeight="1">
      <c r="A7" s="3">
        <v>5.0</v>
      </c>
      <c r="B7" s="3">
        <v>3.3945339E7</v>
      </c>
      <c r="C7" s="3" t="s">
        <v>194</v>
      </c>
      <c r="D7" s="3" t="s">
        <v>195</v>
      </c>
      <c r="E7" s="3" t="s">
        <v>196</v>
      </c>
      <c r="F7" s="3" t="s">
        <v>197</v>
      </c>
      <c r="G7" s="3" t="s">
        <v>167</v>
      </c>
      <c r="H7" s="3">
        <v>2021.0</v>
      </c>
      <c r="I7" s="7">
        <v>44320.0</v>
      </c>
      <c r="L7" s="3" t="s">
        <v>198</v>
      </c>
    </row>
    <row r="8" ht="14.25" customHeight="1">
      <c r="A8" s="3">
        <v>6.0</v>
      </c>
      <c r="B8" s="3">
        <v>3.2504178E7</v>
      </c>
      <c r="C8" s="3" t="s">
        <v>199</v>
      </c>
      <c r="D8" s="3" t="s">
        <v>200</v>
      </c>
      <c r="E8" s="3" t="s">
        <v>201</v>
      </c>
      <c r="F8" s="3" t="s">
        <v>202</v>
      </c>
      <c r="G8" s="3" t="s">
        <v>192</v>
      </c>
      <c r="H8" s="3">
        <v>2020.0</v>
      </c>
      <c r="I8" s="7">
        <v>43989.0</v>
      </c>
      <c r="J8" s="3" t="s">
        <v>203</v>
      </c>
      <c r="L8" s="3" t="s">
        <v>204</v>
      </c>
    </row>
    <row r="9" ht="14.25" customHeight="1">
      <c r="A9" s="3">
        <v>7.0</v>
      </c>
      <c r="B9" s="3">
        <v>3.2368935E7</v>
      </c>
      <c r="C9" s="3" t="s">
        <v>205</v>
      </c>
      <c r="D9" s="3" t="s">
        <v>206</v>
      </c>
      <c r="E9" s="3" t="s">
        <v>207</v>
      </c>
      <c r="F9" s="3" t="s">
        <v>208</v>
      </c>
      <c r="G9" s="3" t="s">
        <v>167</v>
      </c>
      <c r="H9" s="3">
        <v>2020.0</v>
      </c>
      <c r="I9" s="7">
        <v>43957.0</v>
      </c>
      <c r="L9" s="3" t="s">
        <v>209</v>
      </c>
    </row>
    <row r="10" ht="14.25" customHeight="1">
      <c r="A10" s="3">
        <v>8.0</v>
      </c>
      <c r="B10" s="3">
        <v>3.2298131E7</v>
      </c>
      <c r="C10" s="3" t="s">
        <v>210</v>
      </c>
      <c r="D10" s="3" t="s">
        <v>211</v>
      </c>
      <c r="E10" s="3" t="s">
        <v>212</v>
      </c>
      <c r="F10" s="3" t="s">
        <v>213</v>
      </c>
      <c r="G10" s="3" t="s">
        <v>167</v>
      </c>
      <c r="H10" s="3">
        <v>2020.0</v>
      </c>
      <c r="I10" s="7">
        <v>43938.0</v>
      </c>
      <c r="J10" s="3" t="s">
        <v>214</v>
      </c>
      <c r="L10" s="3" t="s">
        <v>215</v>
      </c>
    </row>
    <row r="11" ht="14.25" customHeight="1">
      <c r="A11" s="3">
        <v>9.0</v>
      </c>
      <c r="B11" s="3">
        <v>3.2059954E7</v>
      </c>
      <c r="C11" s="3" t="s">
        <v>216</v>
      </c>
      <c r="D11" s="3" t="s">
        <v>217</v>
      </c>
      <c r="E11" s="3" t="s">
        <v>218</v>
      </c>
      <c r="F11" s="3" t="s">
        <v>219</v>
      </c>
      <c r="G11" s="3" t="s">
        <v>186</v>
      </c>
      <c r="H11" s="3">
        <v>2020.0</v>
      </c>
      <c r="I11" s="7">
        <v>43877.0</v>
      </c>
      <c r="L11" s="3" t="s">
        <v>220</v>
      </c>
    </row>
    <row r="12" ht="14.25" customHeight="1">
      <c r="A12" s="3">
        <v>10.0</v>
      </c>
      <c r="B12" s="3">
        <v>3.180042E7</v>
      </c>
      <c r="C12" s="3" t="s">
        <v>221</v>
      </c>
      <c r="D12" s="3" t="s">
        <v>222</v>
      </c>
      <c r="E12" s="3" t="s">
        <v>223</v>
      </c>
      <c r="F12" s="3" t="s">
        <v>224</v>
      </c>
      <c r="G12" s="3" t="s">
        <v>225</v>
      </c>
      <c r="H12" s="3">
        <v>2019.0</v>
      </c>
      <c r="I12" s="7">
        <v>43804.0</v>
      </c>
      <c r="L12" s="3" t="s">
        <v>226</v>
      </c>
    </row>
    <row r="13" ht="14.25" customHeight="1">
      <c r="A13" s="3">
        <v>11.0</v>
      </c>
      <c r="B13" s="3">
        <v>3.1470759E7</v>
      </c>
      <c r="C13" s="3" t="s">
        <v>227</v>
      </c>
      <c r="D13" s="3" t="s">
        <v>228</v>
      </c>
      <c r="E13" s="3" t="s">
        <v>229</v>
      </c>
      <c r="F13" s="3" t="s">
        <v>230</v>
      </c>
      <c r="G13" s="3" t="s">
        <v>231</v>
      </c>
      <c r="H13" s="3">
        <v>2019.0</v>
      </c>
      <c r="I13" s="7">
        <v>43709.0</v>
      </c>
      <c r="L13" s="3" t="s">
        <v>232</v>
      </c>
    </row>
    <row r="14" ht="14.25" customHeight="1">
      <c r="A14" s="3">
        <v>12.0</v>
      </c>
      <c r="B14" s="3">
        <v>3.1169571E7</v>
      </c>
      <c r="C14" s="3" t="s">
        <v>233</v>
      </c>
      <c r="D14" s="3" t="s">
        <v>234</v>
      </c>
      <c r="E14" s="3" t="s">
        <v>235</v>
      </c>
      <c r="F14" s="3" t="s">
        <v>236</v>
      </c>
      <c r="G14" s="3" t="s">
        <v>225</v>
      </c>
      <c r="H14" s="3">
        <v>2019.0</v>
      </c>
      <c r="I14" s="7">
        <v>43623.0</v>
      </c>
      <c r="L14" s="3" t="s">
        <v>237</v>
      </c>
    </row>
    <row r="15" ht="14.25" customHeight="1">
      <c r="A15" s="3">
        <v>13.0</v>
      </c>
      <c r="B15" s="3">
        <v>3.0733025E7</v>
      </c>
      <c r="C15" s="3" t="s">
        <v>238</v>
      </c>
      <c r="D15" s="3" t="s">
        <v>239</v>
      </c>
      <c r="E15" s="3" t="s">
        <v>240</v>
      </c>
      <c r="F15" s="3" t="s">
        <v>241</v>
      </c>
      <c r="G15" s="3" t="s">
        <v>186</v>
      </c>
      <c r="H15" s="3">
        <v>2019.0</v>
      </c>
      <c r="I15" s="7">
        <v>43505.0</v>
      </c>
      <c r="L15" s="3" t="s">
        <v>242</v>
      </c>
    </row>
    <row r="16" ht="14.25" customHeight="1">
      <c r="A16" s="3">
        <v>14.0</v>
      </c>
      <c r="B16" s="3">
        <v>2.9741923E7</v>
      </c>
      <c r="C16" s="3" t="s">
        <v>243</v>
      </c>
      <c r="D16" s="3" t="s">
        <v>244</v>
      </c>
      <c r="E16" s="3" t="s">
        <v>245</v>
      </c>
      <c r="F16" s="3" t="s">
        <v>246</v>
      </c>
      <c r="G16" s="3" t="s">
        <v>167</v>
      </c>
      <c r="H16" s="3">
        <v>2018.0</v>
      </c>
      <c r="I16" s="7">
        <v>43230.0</v>
      </c>
      <c r="L16" s="3" t="s">
        <v>247</v>
      </c>
    </row>
    <row r="17" ht="14.25" customHeight="1">
      <c r="A17" s="3">
        <v>15.0</v>
      </c>
      <c r="B17" s="3">
        <v>2.9741911E7</v>
      </c>
      <c r="C17" s="3" t="s">
        <v>248</v>
      </c>
      <c r="D17" s="3" t="s">
        <v>249</v>
      </c>
      <c r="E17" s="3" t="s">
        <v>250</v>
      </c>
      <c r="F17" s="3" t="s">
        <v>251</v>
      </c>
      <c r="G17" s="3" t="s">
        <v>167</v>
      </c>
      <c r="H17" s="3">
        <v>2018.0</v>
      </c>
      <c r="I17" s="7">
        <v>43230.0</v>
      </c>
      <c r="L17" s="3" t="s">
        <v>252</v>
      </c>
    </row>
    <row r="18" ht="14.25" customHeight="1">
      <c r="A18" s="3">
        <v>16.0</v>
      </c>
      <c r="B18" s="3">
        <v>2.7717747E7</v>
      </c>
      <c r="C18" s="3" t="s">
        <v>253</v>
      </c>
      <c r="D18" s="3" t="s">
        <v>254</v>
      </c>
      <c r="E18" s="3" t="s">
        <v>255</v>
      </c>
      <c r="F18" s="3" t="s">
        <v>256</v>
      </c>
      <c r="G18" s="3" t="s">
        <v>257</v>
      </c>
      <c r="H18" s="3">
        <v>2016.0</v>
      </c>
      <c r="I18" s="7">
        <v>42652.0</v>
      </c>
      <c r="L18" s="3" t="s">
        <v>258</v>
      </c>
    </row>
    <row r="19" ht="14.25" customHeight="1">
      <c r="A19" s="3">
        <v>17.0</v>
      </c>
      <c r="B19" s="3">
        <v>2.7568219E7</v>
      </c>
      <c r="C19" s="3" t="s">
        <v>259</v>
      </c>
      <c r="D19" s="3" t="s">
        <v>260</v>
      </c>
      <c r="E19" s="3" t="s">
        <v>261</v>
      </c>
      <c r="F19" s="3" t="s">
        <v>262</v>
      </c>
      <c r="G19" s="3" t="s">
        <v>192</v>
      </c>
      <c r="H19" s="3">
        <v>2016.0</v>
      </c>
      <c r="I19" s="7">
        <v>42611.0</v>
      </c>
      <c r="L19" s="3" t="s">
        <v>263</v>
      </c>
    </row>
    <row r="20" ht="14.25" customHeight="1">
      <c r="A20" s="3">
        <v>18.0</v>
      </c>
      <c r="B20" s="3">
        <v>2.737694E7</v>
      </c>
      <c r="C20" s="3" t="s">
        <v>264</v>
      </c>
      <c r="D20" s="3" t="s">
        <v>265</v>
      </c>
      <c r="E20" s="3" t="s">
        <v>266</v>
      </c>
      <c r="F20" s="3" t="s">
        <v>267</v>
      </c>
      <c r="G20" s="3" t="s">
        <v>268</v>
      </c>
      <c r="H20" s="3">
        <v>2016.0</v>
      </c>
      <c r="I20" s="7">
        <v>42556.0</v>
      </c>
      <c r="L20" s="3" t="s">
        <v>269</v>
      </c>
    </row>
    <row r="21" ht="14.25" customHeight="1">
      <c r="A21" s="3">
        <v>19.0</v>
      </c>
      <c r="B21" s="3">
        <v>2.7371291E7</v>
      </c>
      <c r="C21" s="3" t="s">
        <v>270</v>
      </c>
      <c r="D21" s="3" t="s">
        <v>271</v>
      </c>
      <c r="E21" s="3" t="s">
        <v>272</v>
      </c>
      <c r="F21" s="3" t="s">
        <v>273</v>
      </c>
      <c r="G21" s="3" t="s">
        <v>274</v>
      </c>
      <c r="H21" s="3">
        <v>2017.0</v>
      </c>
      <c r="I21" s="7">
        <v>42554.0</v>
      </c>
      <c r="L21" s="3" t="s">
        <v>275</v>
      </c>
    </row>
    <row r="22" ht="14.25" customHeight="1">
      <c r="A22" s="3">
        <v>20.0</v>
      </c>
      <c r="B22" s="3">
        <v>2.7229354E7</v>
      </c>
      <c r="C22" s="3" t="s">
        <v>276</v>
      </c>
      <c r="D22" s="3" t="s">
        <v>277</v>
      </c>
      <c r="E22" s="3" t="s">
        <v>278</v>
      </c>
      <c r="F22" s="3" t="s">
        <v>279</v>
      </c>
      <c r="G22" s="3" t="s">
        <v>167</v>
      </c>
      <c r="H22" s="3">
        <v>2016.0</v>
      </c>
      <c r="I22" s="7">
        <v>42518.0</v>
      </c>
      <c r="L22" s="3" t="s">
        <v>280</v>
      </c>
    </row>
    <row r="23" ht="14.25" customHeight="1">
      <c r="A23" s="3">
        <v>21.0</v>
      </c>
      <c r="B23" s="3">
        <v>2.7159308E7</v>
      </c>
      <c r="C23" s="3" t="s">
        <v>281</v>
      </c>
      <c r="D23" s="3" t="s">
        <v>282</v>
      </c>
      <c r="E23" s="3" t="s">
        <v>283</v>
      </c>
      <c r="F23" s="3" t="s">
        <v>284</v>
      </c>
      <c r="G23" s="3" t="s">
        <v>167</v>
      </c>
      <c r="H23" s="3">
        <v>2016.0</v>
      </c>
      <c r="I23" s="7">
        <v>42500.0</v>
      </c>
      <c r="J23" s="3" t="s">
        <v>285</v>
      </c>
      <c r="K23" s="3" t="s">
        <v>286</v>
      </c>
      <c r="L23" s="3" t="s">
        <v>287</v>
      </c>
    </row>
    <row r="24" ht="14.25" customHeight="1">
      <c r="A24" s="3">
        <v>22.0</v>
      </c>
      <c r="B24" s="3">
        <v>2.6838934E7</v>
      </c>
      <c r="C24" s="3" t="s">
        <v>288</v>
      </c>
      <c r="D24" s="3" t="s">
        <v>289</v>
      </c>
      <c r="E24" s="3" t="s">
        <v>290</v>
      </c>
      <c r="F24" s="3" t="s">
        <v>291</v>
      </c>
      <c r="G24" s="3" t="s">
        <v>167</v>
      </c>
      <c r="H24" s="3">
        <v>2016.0</v>
      </c>
      <c r="I24" s="7">
        <v>42404.0</v>
      </c>
      <c r="L24" s="3" t="s">
        <v>292</v>
      </c>
    </row>
    <row r="25" ht="14.25" customHeight="1">
      <c r="A25" s="3">
        <v>23.0</v>
      </c>
      <c r="B25" s="3">
        <v>2.672505E7</v>
      </c>
      <c r="C25" s="3" t="s">
        <v>293</v>
      </c>
      <c r="D25" s="3" t="s">
        <v>294</v>
      </c>
      <c r="E25" s="3" t="s">
        <v>295</v>
      </c>
      <c r="F25" s="3" t="s">
        <v>296</v>
      </c>
      <c r="G25" s="3" t="s">
        <v>192</v>
      </c>
      <c r="H25" s="3">
        <v>2016.0</v>
      </c>
      <c r="I25" s="7">
        <v>42373.0</v>
      </c>
      <c r="L25" s="3" t="s">
        <v>297</v>
      </c>
    </row>
    <row r="26" ht="14.25" customHeight="1">
      <c r="A26" s="3">
        <v>24.0</v>
      </c>
      <c r="B26" s="3">
        <v>2.6578718E7</v>
      </c>
      <c r="C26" s="3" t="s">
        <v>298</v>
      </c>
      <c r="D26" s="3" t="s">
        <v>299</v>
      </c>
      <c r="E26" s="3" t="s">
        <v>300</v>
      </c>
      <c r="F26" s="3" t="s">
        <v>301</v>
      </c>
      <c r="G26" s="3" t="s">
        <v>167</v>
      </c>
      <c r="H26" s="3">
        <v>2016.0</v>
      </c>
      <c r="I26" s="7">
        <v>42327.0</v>
      </c>
      <c r="L26" s="3" t="s">
        <v>302</v>
      </c>
    </row>
    <row r="27" ht="14.25" customHeight="1">
      <c r="A27" s="3">
        <v>25.0</v>
      </c>
      <c r="B27" s="3">
        <v>2.6164058E7</v>
      </c>
      <c r="C27" s="3" t="s">
        <v>303</v>
      </c>
      <c r="D27" s="3" t="s">
        <v>304</v>
      </c>
      <c r="E27" s="3" t="s">
        <v>305</v>
      </c>
      <c r="F27" s="3" t="s">
        <v>306</v>
      </c>
      <c r="G27" s="3" t="s">
        <v>307</v>
      </c>
      <c r="H27" s="3">
        <v>2016.0</v>
      </c>
      <c r="I27" s="7">
        <v>42198.0</v>
      </c>
      <c r="L27" s="3" t="s">
        <v>308</v>
      </c>
    </row>
    <row r="28" ht="14.25" customHeight="1">
      <c r="A28" s="3">
        <v>26.0</v>
      </c>
      <c r="B28" s="3">
        <v>2.603902E7</v>
      </c>
      <c r="C28" s="3" t="s">
        <v>309</v>
      </c>
      <c r="D28" s="3" t="s">
        <v>310</v>
      </c>
      <c r="E28" s="3" t="s">
        <v>311</v>
      </c>
      <c r="F28" s="3" t="s">
        <v>312</v>
      </c>
      <c r="G28" s="3" t="s">
        <v>313</v>
      </c>
      <c r="H28" s="3">
        <v>2015.0</v>
      </c>
      <c r="I28" s="7">
        <v>42159.0</v>
      </c>
    </row>
    <row r="29" ht="14.25" customHeight="1">
      <c r="A29" s="3">
        <v>27.0</v>
      </c>
      <c r="B29" s="3">
        <v>2.5514139E7</v>
      </c>
      <c r="C29" s="3" t="s">
        <v>314</v>
      </c>
      <c r="D29" s="3" t="s">
        <v>315</v>
      </c>
      <c r="E29" s="3" t="s">
        <v>316</v>
      </c>
      <c r="F29" s="3" t="s">
        <v>306</v>
      </c>
      <c r="G29" s="3" t="s">
        <v>307</v>
      </c>
      <c r="H29" s="3">
        <v>2015.0</v>
      </c>
      <c r="I29" s="7">
        <v>41990.0</v>
      </c>
      <c r="L29" s="3" t="s">
        <v>317</v>
      </c>
    </row>
    <row r="30" ht="14.25" customHeight="1">
      <c r="A30" s="3">
        <v>28.0</v>
      </c>
      <c r="B30" s="3">
        <v>2.5384473E7</v>
      </c>
      <c r="C30" s="3" t="s">
        <v>318</v>
      </c>
      <c r="D30" s="3" t="s">
        <v>319</v>
      </c>
      <c r="E30" s="3" t="s">
        <v>320</v>
      </c>
      <c r="F30" s="3" t="s">
        <v>321</v>
      </c>
      <c r="G30" s="3" t="s">
        <v>322</v>
      </c>
      <c r="H30" s="3">
        <v>2014.0</v>
      </c>
      <c r="I30" s="7">
        <v>41955.0</v>
      </c>
      <c r="L30" s="3" t="s">
        <v>323</v>
      </c>
    </row>
    <row r="31" ht="14.25" customHeight="1">
      <c r="A31" s="3">
        <v>29.0</v>
      </c>
      <c r="B31" s="3">
        <v>2.5192689E7</v>
      </c>
      <c r="C31" s="3" t="s">
        <v>324</v>
      </c>
      <c r="D31" s="3" t="s">
        <v>325</v>
      </c>
      <c r="E31" s="3" t="s">
        <v>326</v>
      </c>
      <c r="F31" s="3" t="s">
        <v>327</v>
      </c>
      <c r="G31" s="3" t="s">
        <v>328</v>
      </c>
      <c r="H31" s="3">
        <v>2015.0</v>
      </c>
      <c r="I31" s="7">
        <v>41889.0</v>
      </c>
      <c r="L31" s="3" t="s">
        <v>329</v>
      </c>
    </row>
    <row r="32" ht="14.25" customHeight="1">
      <c r="A32" s="3">
        <v>30.0</v>
      </c>
      <c r="B32" s="3">
        <v>2.5128968E7</v>
      </c>
      <c r="C32" s="3" t="s">
        <v>330</v>
      </c>
      <c r="D32" s="3" t="s">
        <v>331</v>
      </c>
      <c r="E32" s="3" t="s">
        <v>332</v>
      </c>
      <c r="F32" s="3" t="s">
        <v>333</v>
      </c>
      <c r="G32" s="3" t="s">
        <v>328</v>
      </c>
      <c r="H32" s="3">
        <v>2015.0</v>
      </c>
      <c r="I32" s="7">
        <v>41869.0</v>
      </c>
      <c r="L32" s="3" t="s">
        <v>334</v>
      </c>
    </row>
    <row r="33" ht="14.25" customHeight="1">
      <c r="A33" s="3">
        <v>31.0</v>
      </c>
      <c r="B33" s="3">
        <v>2.4825597E7</v>
      </c>
      <c r="C33" s="3" t="s">
        <v>335</v>
      </c>
      <c r="D33" s="3" t="s">
        <v>336</v>
      </c>
      <c r="E33" s="3" t="s">
        <v>337</v>
      </c>
      <c r="F33" s="3" t="s">
        <v>338</v>
      </c>
      <c r="G33" s="3" t="s">
        <v>339</v>
      </c>
      <c r="H33" s="3">
        <v>2014.0</v>
      </c>
      <c r="I33" s="7">
        <v>41774.0</v>
      </c>
      <c r="L33" s="3" t="s">
        <v>340</v>
      </c>
    </row>
    <row r="34" ht="14.25" customHeight="1">
      <c r="A34" s="3">
        <v>32.0</v>
      </c>
      <c r="B34" s="3">
        <v>2.4756534E7</v>
      </c>
      <c r="C34" s="3" t="s">
        <v>341</v>
      </c>
      <c r="D34" s="3" t="s">
        <v>342</v>
      </c>
      <c r="E34" s="3" t="s">
        <v>343</v>
      </c>
      <c r="F34" s="3" t="s">
        <v>344</v>
      </c>
      <c r="G34" s="3" t="s">
        <v>192</v>
      </c>
      <c r="H34" s="3">
        <v>2014.0</v>
      </c>
      <c r="I34" s="7">
        <v>41753.0</v>
      </c>
      <c r="L34" s="3" t="s">
        <v>345</v>
      </c>
    </row>
    <row r="35" ht="14.25" customHeight="1">
      <c r="A35" s="3">
        <v>33.0</v>
      </c>
      <c r="B35" s="3">
        <v>2.4644301E7</v>
      </c>
      <c r="C35" s="3" t="s">
        <v>346</v>
      </c>
      <c r="D35" s="3" t="s">
        <v>347</v>
      </c>
      <c r="E35" s="3" t="s">
        <v>348</v>
      </c>
      <c r="F35" s="3" t="s">
        <v>349</v>
      </c>
      <c r="G35" s="3" t="s">
        <v>167</v>
      </c>
      <c r="H35" s="3">
        <v>2014.0</v>
      </c>
      <c r="I35" s="7">
        <v>41718.0</v>
      </c>
      <c r="L35" s="3" t="s">
        <v>350</v>
      </c>
    </row>
    <row r="36" ht="14.25" customHeight="1">
      <c r="A36" s="3">
        <v>34.0</v>
      </c>
      <c r="B36" s="3">
        <v>2.4630956E7</v>
      </c>
      <c r="C36" s="3" t="s">
        <v>351</v>
      </c>
      <c r="D36" s="3" t="s">
        <v>352</v>
      </c>
      <c r="E36" s="3" t="s">
        <v>353</v>
      </c>
      <c r="F36" s="3" t="s">
        <v>354</v>
      </c>
      <c r="G36" s="3" t="s">
        <v>186</v>
      </c>
      <c r="H36" s="3">
        <v>2014.0</v>
      </c>
      <c r="I36" s="7">
        <v>41716.0</v>
      </c>
      <c r="L36" s="3" t="s">
        <v>355</v>
      </c>
    </row>
    <row r="37" ht="14.25" customHeight="1">
      <c r="A37" s="3">
        <v>35.0</v>
      </c>
      <c r="B37" s="3">
        <v>2.4001575E7</v>
      </c>
      <c r="C37" s="3" t="s">
        <v>356</v>
      </c>
      <c r="D37" s="3" t="s">
        <v>357</v>
      </c>
      <c r="E37" s="3" t="s">
        <v>358</v>
      </c>
      <c r="F37" s="3" t="s">
        <v>359</v>
      </c>
      <c r="G37" s="3" t="s">
        <v>167</v>
      </c>
      <c r="H37" s="3">
        <v>2013.0</v>
      </c>
      <c r="I37" s="7">
        <v>41522.0</v>
      </c>
      <c r="L37" s="3" t="s">
        <v>360</v>
      </c>
    </row>
    <row r="38" ht="14.25" customHeight="1">
      <c r="A38" s="3">
        <v>36.0</v>
      </c>
      <c r="B38" s="3">
        <v>2.3996068E7</v>
      </c>
      <c r="C38" s="3" t="s">
        <v>361</v>
      </c>
      <c r="D38" s="3" t="s">
        <v>362</v>
      </c>
      <c r="E38" s="3" t="s">
        <v>363</v>
      </c>
      <c r="F38" s="3" t="s">
        <v>364</v>
      </c>
      <c r="G38" s="3" t="s">
        <v>274</v>
      </c>
      <c r="H38" s="3">
        <v>2014.0</v>
      </c>
      <c r="I38" s="7">
        <v>41520.0</v>
      </c>
      <c r="L38" s="3" t="s">
        <v>365</v>
      </c>
    </row>
    <row r="39" ht="14.25" customHeight="1">
      <c r="A39" s="3">
        <v>37.0</v>
      </c>
      <c r="B39" s="3">
        <v>2.3974633E7</v>
      </c>
      <c r="C39" s="3" t="s">
        <v>366</v>
      </c>
      <c r="D39" s="3" t="s">
        <v>367</v>
      </c>
      <c r="E39" s="3" t="s">
        <v>368</v>
      </c>
      <c r="F39" s="3" t="s">
        <v>369</v>
      </c>
      <c r="G39" s="3" t="s">
        <v>274</v>
      </c>
      <c r="H39" s="3">
        <v>2014.0</v>
      </c>
      <c r="I39" s="7">
        <v>41513.0</v>
      </c>
      <c r="L39" s="3" t="s">
        <v>370</v>
      </c>
    </row>
    <row r="40" ht="14.25" customHeight="1">
      <c r="A40" s="3">
        <v>38.0</v>
      </c>
      <c r="B40" s="3">
        <v>2.3807029E7</v>
      </c>
      <c r="C40" s="3" t="s">
        <v>371</v>
      </c>
      <c r="D40" s="3" t="s">
        <v>372</v>
      </c>
      <c r="E40" s="3" t="s">
        <v>373</v>
      </c>
      <c r="F40" s="3" t="s">
        <v>374</v>
      </c>
      <c r="G40" s="3" t="s">
        <v>274</v>
      </c>
      <c r="H40" s="3">
        <v>2014.0</v>
      </c>
      <c r="I40" s="7">
        <v>41454.0</v>
      </c>
      <c r="L40" s="3" t="s">
        <v>375</v>
      </c>
    </row>
    <row r="41" ht="14.25" customHeight="1">
      <c r="A41" s="3">
        <v>39.0</v>
      </c>
      <c r="B41" s="3">
        <v>2.3575562E7</v>
      </c>
      <c r="C41" s="3" t="s">
        <v>376</v>
      </c>
      <c r="D41" s="3" t="s">
        <v>377</v>
      </c>
      <c r="E41" s="3" t="s">
        <v>378</v>
      </c>
      <c r="F41" s="3" t="s">
        <v>379</v>
      </c>
      <c r="G41" s="3" t="s">
        <v>380</v>
      </c>
      <c r="H41" s="3">
        <v>2013.0</v>
      </c>
      <c r="I41" s="7">
        <v>41376.0</v>
      </c>
      <c r="L41" s="3" t="s">
        <v>381</v>
      </c>
    </row>
    <row r="42" ht="14.25" customHeight="1">
      <c r="A42" s="3">
        <v>40.0</v>
      </c>
      <c r="B42" s="3">
        <v>2.3203337E7</v>
      </c>
      <c r="C42" s="3" t="s">
        <v>382</v>
      </c>
      <c r="D42" s="3" t="s">
        <v>383</v>
      </c>
      <c r="E42" s="3" t="s">
        <v>384</v>
      </c>
      <c r="F42" s="3" t="s">
        <v>385</v>
      </c>
      <c r="G42" s="3" t="s">
        <v>274</v>
      </c>
      <c r="H42" s="3">
        <v>2013.0</v>
      </c>
      <c r="I42" s="7">
        <v>41247.0</v>
      </c>
      <c r="J42" s="3" t="s">
        <v>386</v>
      </c>
      <c r="L42" s="3" t="s">
        <v>387</v>
      </c>
    </row>
    <row r="43" ht="14.25" customHeight="1">
      <c r="A43" s="3">
        <v>41.0</v>
      </c>
      <c r="B43" s="3">
        <v>2.2425308E7</v>
      </c>
      <c r="C43" s="3" t="s">
        <v>388</v>
      </c>
      <c r="D43" s="3" t="s">
        <v>389</v>
      </c>
      <c r="E43" s="3" t="s">
        <v>390</v>
      </c>
      <c r="F43" s="3" t="s">
        <v>391</v>
      </c>
      <c r="G43" s="3" t="s">
        <v>180</v>
      </c>
      <c r="H43" s="3">
        <v>2012.0</v>
      </c>
      <c r="I43" s="7">
        <v>40988.0</v>
      </c>
      <c r="L43" s="3" t="s">
        <v>392</v>
      </c>
    </row>
    <row r="44" ht="14.25" customHeight="1">
      <c r="A44" s="3">
        <v>42.0</v>
      </c>
      <c r="B44" s="3">
        <v>2.2407182E7</v>
      </c>
      <c r="C44" s="3" t="s">
        <v>393</v>
      </c>
      <c r="D44" s="3" t="s">
        <v>394</v>
      </c>
      <c r="E44" s="3" t="s">
        <v>395</v>
      </c>
      <c r="F44" s="3" t="s">
        <v>396</v>
      </c>
      <c r="G44" s="3" t="s">
        <v>274</v>
      </c>
      <c r="H44" s="3">
        <v>2013.0</v>
      </c>
      <c r="I44" s="7">
        <v>40981.0</v>
      </c>
      <c r="L44" s="3" t="s">
        <v>397</v>
      </c>
    </row>
    <row r="45" ht="14.25" customHeight="1">
      <c r="A45" s="3">
        <v>43.0</v>
      </c>
      <c r="B45" s="3">
        <v>2.218428E7</v>
      </c>
      <c r="C45" s="3" t="s">
        <v>398</v>
      </c>
      <c r="D45" s="3" t="s">
        <v>399</v>
      </c>
      <c r="E45" s="3" t="s">
        <v>400</v>
      </c>
      <c r="F45" s="3" t="s">
        <v>401</v>
      </c>
      <c r="G45" s="3" t="s">
        <v>167</v>
      </c>
      <c r="H45" s="3">
        <v>2012.0</v>
      </c>
      <c r="I45" s="7">
        <v>40898.0</v>
      </c>
      <c r="L45" s="3" t="s">
        <v>402</v>
      </c>
    </row>
    <row r="46" ht="14.25" customHeight="1">
      <c r="A46" s="3">
        <v>44.0</v>
      </c>
      <c r="B46" s="3">
        <v>2.1712483E7</v>
      </c>
      <c r="C46" s="3" t="s">
        <v>403</v>
      </c>
      <c r="D46" s="3" t="s">
        <v>404</v>
      </c>
      <c r="E46" s="3" t="s">
        <v>405</v>
      </c>
      <c r="F46" s="3" t="s">
        <v>251</v>
      </c>
      <c r="G46" s="3" t="s">
        <v>167</v>
      </c>
      <c r="H46" s="3">
        <v>2011.0</v>
      </c>
      <c r="I46" s="7">
        <v>40724.0</v>
      </c>
      <c r="L46" s="3" t="s">
        <v>406</v>
      </c>
    </row>
    <row r="47" ht="14.25" customHeight="1">
      <c r="A47" s="3">
        <v>45.0</v>
      </c>
      <c r="B47" s="3">
        <v>2.1710112E7</v>
      </c>
      <c r="C47" s="3" t="s">
        <v>407</v>
      </c>
      <c r="D47" s="3" t="s">
        <v>408</v>
      </c>
      <c r="E47" s="3" t="s">
        <v>409</v>
      </c>
      <c r="F47" s="3" t="s">
        <v>410</v>
      </c>
      <c r="G47" s="3" t="s">
        <v>274</v>
      </c>
      <c r="H47" s="3">
        <v>2012.0</v>
      </c>
      <c r="I47" s="7">
        <v>40723.0</v>
      </c>
      <c r="L47" s="3" t="s">
        <v>411</v>
      </c>
    </row>
    <row r="48" ht="14.25" customHeight="1">
      <c r="A48" s="3">
        <v>46.0</v>
      </c>
      <c r="B48" s="3">
        <v>2.1694588E7</v>
      </c>
      <c r="C48" s="3" t="s">
        <v>412</v>
      </c>
      <c r="D48" s="3" t="s">
        <v>413</v>
      </c>
      <c r="E48" s="3" t="s">
        <v>414</v>
      </c>
      <c r="F48" s="3" t="s">
        <v>415</v>
      </c>
      <c r="G48" s="3" t="s">
        <v>307</v>
      </c>
      <c r="H48" s="3">
        <v>2011.0</v>
      </c>
      <c r="I48" s="7">
        <v>40717.0</v>
      </c>
      <c r="L48" s="3" t="s">
        <v>416</v>
      </c>
    </row>
    <row r="49" ht="14.25" customHeight="1">
      <c r="A49" s="3">
        <v>47.0</v>
      </c>
      <c r="B49" s="3">
        <v>2.1663722E7</v>
      </c>
      <c r="C49" s="3" t="s">
        <v>417</v>
      </c>
      <c r="D49" s="3" t="s">
        <v>418</v>
      </c>
      <c r="E49" s="3" t="s">
        <v>419</v>
      </c>
      <c r="F49" s="3" t="s">
        <v>420</v>
      </c>
      <c r="G49" s="3" t="s">
        <v>186</v>
      </c>
      <c r="H49" s="3">
        <v>2011.0</v>
      </c>
      <c r="I49" s="7">
        <v>40708.0</v>
      </c>
      <c r="L49" s="3" t="s">
        <v>421</v>
      </c>
    </row>
    <row r="50" ht="14.25" customHeight="1">
      <c r="A50" s="3">
        <v>48.0</v>
      </c>
      <c r="B50" s="3">
        <v>2.14297E7</v>
      </c>
      <c r="C50" s="3" t="s">
        <v>422</v>
      </c>
      <c r="D50" s="3" t="s">
        <v>423</v>
      </c>
      <c r="E50" s="3" t="s">
        <v>424</v>
      </c>
      <c r="F50" s="3" t="s">
        <v>379</v>
      </c>
      <c r="G50" s="3" t="s">
        <v>186</v>
      </c>
      <c r="H50" s="3">
        <v>2011.0</v>
      </c>
      <c r="I50" s="7">
        <v>40627.0</v>
      </c>
      <c r="L50" s="3" t="s">
        <v>425</v>
      </c>
    </row>
    <row r="51" ht="14.25" customHeight="1">
      <c r="A51" s="3">
        <v>49.0</v>
      </c>
      <c r="B51" s="3">
        <v>2.1287172E7</v>
      </c>
      <c r="C51" s="3" t="s">
        <v>426</v>
      </c>
      <c r="D51" s="3" t="s">
        <v>427</v>
      </c>
      <c r="E51" s="3" t="s">
        <v>428</v>
      </c>
      <c r="F51" s="3" t="s">
        <v>429</v>
      </c>
      <c r="G51" s="3" t="s">
        <v>328</v>
      </c>
      <c r="H51" s="3">
        <v>2011.0</v>
      </c>
      <c r="I51" s="7">
        <v>40577.0</v>
      </c>
      <c r="J51" s="3" t="s">
        <v>430</v>
      </c>
      <c r="L51" s="3" t="s">
        <v>431</v>
      </c>
    </row>
    <row r="52" ht="14.25" customHeight="1">
      <c r="A52" s="3">
        <v>50.0</v>
      </c>
      <c r="B52" s="3">
        <v>2.1234545E7</v>
      </c>
      <c r="C52" s="3" t="s">
        <v>432</v>
      </c>
      <c r="D52" s="3" t="s">
        <v>433</v>
      </c>
      <c r="E52" s="3" t="s">
        <v>434</v>
      </c>
      <c r="F52" s="3" t="s">
        <v>435</v>
      </c>
      <c r="G52" s="3" t="s">
        <v>274</v>
      </c>
      <c r="H52" s="3">
        <v>2011.0</v>
      </c>
      <c r="I52" s="7">
        <v>40558.0</v>
      </c>
      <c r="J52" s="3" t="s">
        <v>436</v>
      </c>
      <c r="L52" s="3" t="s">
        <v>437</v>
      </c>
    </row>
    <row r="53" ht="14.25" customHeight="1">
      <c r="A53" s="3">
        <v>51.0</v>
      </c>
      <c r="B53" s="3">
        <v>2.0934698E7</v>
      </c>
      <c r="C53" s="3" t="s">
        <v>438</v>
      </c>
      <c r="D53" s="3" t="s">
        <v>439</v>
      </c>
      <c r="E53" s="3" t="s">
        <v>440</v>
      </c>
      <c r="F53" s="3" t="s">
        <v>441</v>
      </c>
      <c r="G53" s="3" t="s">
        <v>322</v>
      </c>
      <c r="H53" s="3">
        <v>2010.0</v>
      </c>
      <c r="I53" s="7">
        <v>40463.0</v>
      </c>
      <c r="L53" s="3" t="s">
        <v>442</v>
      </c>
    </row>
    <row r="54" ht="14.25" customHeight="1">
      <c r="A54" s="3">
        <v>52.0</v>
      </c>
      <c r="B54" s="3">
        <v>2.0668835E7</v>
      </c>
      <c r="C54" s="3" t="s">
        <v>443</v>
      </c>
      <c r="D54" s="3" t="s">
        <v>444</v>
      </c>
      <c r="E54" s="3" t="s">
        <v>445</v>
      </c>
      <c r="F54" s="3" t="s">
        <v>446</v>
      </c>
      <c r="G54" s="3" t="s">
        <v>274</v>
      </c>
      <c r="H54" s="3">
        <v>2011.0</v>
      </c>
      <c r="I54" s="7">
        <v>40389.0</v>
      </c>
      <c r="L54" s="3" t="s">
        <v>447</v>
      </c>
    </row>
    <row r="55" ht="14.25" customHeight="1">
      <c r="A55" s="3">
        <v>53.0</v>
      </c>
      <c r="B55" s="3">
        <v>2.0566719E7</v>
      </c>
      <c r="C55" s="3" t="s">
        <v>448</v>
      </c>
      <c r="D55" s="3" t="s">
        <v>449</v>
      </c>
      <c r="E55" s="3" t="s">
        <v>450</v>
      </c>
      <c r="F55" s="3" t="s">
        <v>349</v>
      </c>
      <c r="G55" s="3" t="s">
        <v>167</v>
      </c>
      <c r="H55" s="3">
        <v>2010.0</v>
      </c>
      <c r="I55" s="7">
        <v>40352.0</v>
      </c>
      <c r="L55" s="3" t="s">
        <v>451</v>
      </c>
    </row>
    <row r="56" ht="14.25" customHeight="1">
      <c r="A56" s="3">
        <v>54.0</v>
      </c>
      <c r="B56" s="3">
        <v>2.0401753E7</v>
      </c>
      <c r="C56" s="3" t="s">
        <v>452</v>
      </c>
      <c r="D56" s="3" t="s">
        <v>453</v>
      </c>
      <c r="E56" s="3" t="s">
        <v>454</v>
      </c>
      <c r="F56" s="3" t="s">
        <v>230</v>
      </c>
      <c r="G56" s="3" t="s">
        <v>328</v>
      </c>
      <c r="H56" s="3">
        <v>2010.0</v>
      </c>
      <c r="I56" s="7">
        <v>40288.0</v>
      </c>
      <c r="J56" s="3" t="s">
        <v>455</v>
      </c>
      <c r="L56" s="3" t="s">
        <v>456</v>
      </c>
    </row>
    <row r="57" ht="14.25" customHeight="1">
      <c r="A57" s="3">
        <v>55.0</v>
      </c>
      <c r="B57" s="3">
        <v>2.0194956E7</v>
      </c>
      <c r="C57" s="3" t="s">
        <v>457</v>
      </c>
      <c r="D57" s="3" t="s">
        <v>458</v>
      </c>
      <c r="E57" s="3" t="s">
        <v>459</v>
      </c>
      <c r="F57" s="3" t="s">
        <v>460</v>
      </c>
      <c r="G57" s="3" t="s">
        <v>167</v>
      </c>
      <c r="H57" s="3">
        <v>2010.0</v>
      </c>
      <c r="I57" s="7">
        <v>40240.0</v>
      </c>
      <c r="L57" s="3" t="s">
        <v>461</v>
      </c>
    </row>
    <row r="58" ht="14.25" customHeight="1">
      <c r="A58" s="3">
        <v>56.0</v>
      </c>
      <c r="B58" s="3">
        <v>2.0097928E7</v>
      </c>
      <c r="C58" s="3" t="s">
        <v>462</v>
      </c>
      <c r="D58" s="3" t="s">
        <v>463</v>
      </c>
      <c r="E58" s="3" t="s">
        <v>464</v>
      </c>
      <c r="F58" s="3" t="s">
        <v>465</v>
      </c>
      <c r="G58" s="3" t="s">
        <v>167</v>
      </c>
      <c r="H58" s="3">
        <v>2010.0</v>
      </c>
      <c r="I58" s="7">
        <v>40204.0</v>
      </c>
      <c r="L58" s="3" t="s">
        <v>466</v>
      </c>
    </row>
    <row r="59" ht="14.25" customHeight="1">
      <c r="A59" s="3">
        <v>57.0</v>
      </c>
      <c r="B59" s="3">
        <v>1.9956928E7</v>
      </c>
      <c r="C59" s="3" t="s">
        <v>467</v>
      </c>
      <c r="D59" s="3" t="s">
        <v>468</v>
      </c>
      <c r="E59" s="3" t="s">
        <v>469</v>
      </c>
      <c r="F59" s="3" t="s">
        <v>435</v>
      </c>
      <c r="G59" s="3" t="s">
        <v>274</v>
      </c>
      <c r="H59" s="3">
        <v>2010.0</v>
      </c>
      <c r="I59" s="7">
        <v>40151.0</v>
      </c>
      <c r="L59" s="3" t="s">
        <v>470</v>
      </c>
    </row>
    <row r="60" ht="14.25" customHeight="1">
      <c r="A60" s="3">
        <v>58.0</v>
      </c>
      <c r="B60" s="3">
        <v>1.9861236E7</v>
      </c>
      <c r="C60" s="3" t="s">
        <v>471</v>
      </c>
      <c r="D60" s="3" t="s">
        <v>472</v>
      </c>
      <c r="E60" s="3" t="s">
        <v>473</v>
      </c>
      <c r="F60" s="3" t="s">
        <v>474</v>
      </c>
      <c r="G60" s="3" t="s">
        <v>180</v>
      </c>
      <c r="H60" s="3">
        <v>2010.0</v>
      </c>
      <c r="I60" s="7">
        <v>40115.0</v>
      </c>
      <c r="L60" s="3" t="s">
        <v>475</v>
      </c>
    </row>
    <row r="61" ht="14.25" customHeight="1">
      <c r="A61" s="3">
        <v>59.0</v>
      </c>
      <c r="B61" s="3">
        <v>1.9801284E7</v>
      </c>
      <c r="C61" s="3" t="s">
        <v>476</v>
      </c>
      <c r="D61" s="3" t="s">
        <v>477</v>
      </c>
      <c r="E61" s="3" t="s">
        <v>478</v>
      </c>
      <c r="F61" s="3" t="s">
        <v>479</v>
      </c>
      <c r="G61" s="3" t="s">
        <v>186</v>
      </c>
      <c r="H61" s="3">
        <v>2009.0</v>
      </c>
      <c r="I61" s="7">
        <v>40092.0</v>
      </c>
      <c r="L61" s="3" t="s">
        <v>480</v>
      </c>
    </row>
    <row r="62" ht="14.25" customHeight="1">
      <c r="A62" s="3">
        <v>60.0</v>
      </c>
      <c r="B62" s="3">
        <v>1.9684298E7</v>
      </c>
      <c r="C62" s="3" t="s">
        <v>481</v>
      </c>
      <c r="D62" s="3" t="s">
        <v>482</v>
      </c>
      <c r="E62" s="3" t="s">
        <v>483</v>
      </c>
      <c r="F62" s="3" t="s">
        <v>484</v>
      </c>
      <c r="G62" s="3" t="s">
        <v>167</v>
      </c>
      <c r="H62" s="3">
        <v>2009.0</v>
      </c>
      <c r="I62" s="7">
        <v>40043.0</v>
      </c>
      <c r="L62" s="3" t="s">
        <v>485</v>
      </c>
    </row>
    <row r="63" ht="14.25" customHeight="1">
      <c r="A63" s="3">
        <v>61.0</v>
      </c>
      <c r="B63" s="3">
        <v>1.957518E7</v>
      </c>
      <c r="C63" s="3" t="s">
        <v>486</v>
      </c>
      <c r="D63" s="3" t="s">
        <v>487</v>
      </c>
      <c r="E63" s="3" t="s">
        <v>488</v>
      </c>
      <c r="F63" s="3" t="s">
        <v>489</v>
      </c>
      <c r="G63" s="3" t="s">
        <v>274</v>
      </c>
      <c r="H63" s="3">
        <v>2009.0</v>
      </c>
      <c r="I63" s="7">
        <v>39998.0</v>
      </c>
      <c r="L63" s="3" t="s">
        <v>490</v>
      </c>
    </row>
    <row r="64" ht="14.25" customHeight="1">
      <c r="A64" s="3">
        <v>62.0</v>
      </c>
      <c r="B64" s="3">
        <v>1.9374299E7</v>
      </c>
      <c r="C64" s="3" t="s">
        <v>491</v>
      </c>
      <c r="D64" s="3" t="s">
        <v>492</v>
      </c>
      <c r="E64" s="3" t="s">
        <v>493</v>
      </c>
      <c r="F64" s="3" t="s">
        <v>494</v>
      </c>
      <c r="G64" s="3" t="s">
        <v>495</v>
      </c>
      <c r="H64" s="3">
        <v>2009.0</v>
      </c>
      <c r="I64" s="7">
        <v>39924.0</v>
      </c>
    </row>
    <row r="65" ht="14.25" customHeight="1">
      <c r="A65" s="3">
        <v>63.0</v>
      </c>
      <c r="B65" s="3">
        <v>1.8989731E7</v>
      </c>
      <c r="C65" s="3" t="s">
        <v>496</v>
      </c>
      <c r="D65" s="3" t="s">
        <v>497</v>
      </c>
      <c r="E65" s="3" t="s">
        <v>498</v>
      </c>
      <c r="F65" s="3" t="s">
        <v>499</v>
      </c>
      <c r="G65" s="3" t="s">
        <v>500</v>
      </c>
      <c r="H65" s="3">
        <v>2009.0</v>
      </c>
      <c r="I65" s="7">
        <v>39760.0</v>
      </c>
      <c r="J65" s="3" t="s">
        <v>501</v>
      </c>
      <c r="L65" s="3" t="s">
        <v>502</v>
      </c>
    </row>
    <row r="66" ht="14.25" customHeight="1">
      <c r="A66" s="3">
        <v>64.0</v>
      </c>
      <c r="B66" s="3">
        <v>1.8929746E7</v>
      </c>
      <c r="C66" s="3" t="s">
        <v>503</v>
      </c>
      <c r="D66" s="3" t="s">
        <v>504</v>
      </c>
      <c r="E66" s="3" t="s">
        <v>505</v>
      </c>
      <c r="F66" s="3" t="s">
        <v>506</v>
      </c>
      <c r="G66" s="3" t="s">
        <v>507</v>
      </c>
      <c r="H66" s="3">
        <v>2008.0</v>
      </c>
      <c r="I66" s="7">
        <v>39743.0</v>
      </c>
      <c r="L66" s="3" t="s">
        <v>508</v>
      </c>
    </row>
    <row r="67" ht="14.25" customHeight="1">
      <c r="A67" s="3">
        <v>65.0</v>
      </c>
      <c r="B67" s="3">
        <v>1.8196393E7</v>
      </c>
      <c r="C67" s="3" t="s">
        <v>509</v>
      </c>
      <c r="D67" s="3" t="s">
        <v>510</v>
      </c>
      <c r="E67" s="3" t="s">
        <v>511</v>
      </c>
      <c r="F67" s="3" t="s">
        <v>512</v>
      </c>
      <c r="G67" s="3" t="s">
        <v>500</v>
      </c>
      <c r="H67" s="3">
        <v>2008.0</v>
      </c>
      <c r="I67" s="7">
        <v>39463.0</v>
      </c>
      <c r="J67" s="3" t="s">
        <v>513</v>
      </c>
      <c r="L67" s="3" t="s">
        <v>514</v>
      </c>
    </row>
    <row r="68" ht="14.25" customHeight="1">
      <c r="A68" s="3">
        <v>66.0</v>
      </c>
      <c r="B68" s="3">
        <v>1.7620776E7</v>
      </c>
      <c r="C68" s="3" t="s">
        <v>515</v>
      </c>
      <c r="D68" s="3" t="s">
        <v>516</v>
      </c>
      <c r="E68" s="3" t="s">
        <v>517</v>
      </c>
      <c r="F68" s="3" t="s">
        <v>518</v>
      </c>
      <c r="G68" s="3" t="s">
        <v>307</v>
      </c>
      <c r="H68" s="3">
        <v>2007.0</v>
      </c>
      <c r="I68" s="7">
        <v>39274.0</v>
      </c>
      <c r="L68" s="3" t="s">
        <v>519</v>
      </c>
    </row>
    <row r="69" ht="14.25" customHeight="1">
      <c r="A69" s="3">
        <v>67.0</v>
      </c>
      <c r="B69" s="3">
        <v>1.7478277E7</v>
      </c>
      <c r="C69" s="3" t="s">
        <v>520</v>
      </c>
      <c r="D69" s="3" t="s">
        <v>521</v>
      </c>
      <c r="E69" s="3" t="s">
        <v>522</v>
      </c>
      <c r="F69" s="3" t="s">
        <v>379</v>
      </c>
      <c r="G69" s="3" t="s">
        <v>186</v>
      </c>
      <c r="H69" s="3">
        <v>2007.0</v>
      </c>
      <c r="I69" s="7">
        <v>39207.0</v>
      </c>
      <c r="L69" s="3" t="s">
        <v>523</v>
      </c>
    </row>
    <row r="70" ht="14.25" customHeight="1">
      <c r="A70" s="3">
        <v>68.0</v>
      </c>
      <c r="B70" s="3">
        <v>1.7431619E7</v>
      </c>
      <c r="C70" s="3" t="s">
        <v>524</v>
      </c>
      <c r="D70" s="3" t="s">
        <v>525</v>
      </c>
      <c r="E70" s="3" t="s">
        <v>526</v>
      </c>
      <c r="F70" s="3" t="s">
        <v>251</v>
      </c>
      <c r="G70" s="3" t="s">
        <v>328</v>
      </c>
      <c r="H70" s="3">
        <v>2008.0</v>
      </c>
      <c r="I70" s="7">
        <v>39186.0</v>
      </c>
      <c r="J70" s="3" t="s">
        <v>527</v>
      </c>
      <c r="L70" s="3" t="s">
        <v>528</v>
      </c>
    </row>
    <row r="71" ht="14.25" customHeight="1">
      <c r="A71" s="3">
        <v>69.0</v>
      </c>
      <c r="B71" s="3">
        <v>1.7293471E7</v>
      </c>
      <c r="C71" s="3" t="s">
        <v>529</v>
      </c>
      <c r="D71" s="3" t="s">
        <v>530</v>
      </c>
      <c r="E71" s="3" t="s">
        <v>531</v>
      </c>
      <c r="F71" s="3" t="s">
        <v>532</v>
      </c>
      <c r="G71" s="3" t="s">
        <v>167</v>
      </c>
      <c r="H71" s="3">
        <v>2007.0</v>
      </c>
      <c r="I71" s="7">
        <v>39126.0</v>
      </c>
      <c r="L71" s="3" t="s">
        <v>533</v>
      </c>
    </row>
    <row r="72" ht="14.25" customHeight="1">
      <c r="A72" s="3">
        <v>70.0</v>
      </c>
      <c r="B72" s="3">
        <v>1.7261567E7</v>
      </c>
      <c r="C72" s="3" t="s">
        <v>534</v>
      </c>
      <c r="D72" s="3" t="s">
        <v>535</v>
      </c>
      <c r="E72" s="3" t="s">
        <v>536</v>
      </c>
      <c r="F72" s="3" t="s">
        <v>537</v>
      </c>
      <c r="G72" s="3" t="s">
        <v>167</v>
      </c>
      <c r="H72" s="3">
        <v>2007.0</v>
      </c>
      <c r="I72" s="7">
        <v>39113.0</v>
      </c>
      <c r="L72" s="3" t="s">
        <v>538</v>
      </c>
    </row>
    <row r="73" ht="14.25" customHeight="1">
      <c r="A73" s="3">
        <v>71.0</v>
      </c>
      <c r="B73" s="3">
        <v>1.7251174E7</v>
      </c>
      <c r="C73" s="3" t="s">
        <v>539</v>
      </c>
      <c r="D73" s="3" t="s">
        <v>540</v>
      </c>
      <c r="E73" s="3" t="s">
        <v>541</v>
      </c>
      <c r="F73" s="3" t="s">
        <v>542</v>
      </c>
      <c r="G73" s="3" t="s">
        <v>167</v>
      </c>
      <c r="H73" s="3">
        <v>2007.0</v>
      </c>
      <c r="I73" s="7">
        <v>39108.0</v>
      </c>
      <c r="L73" s="3" t="s">
        <v>543</v>
      </c>
    </row>
    <row r="74" ht="14.25" customHeight="1">
      <c r="A74" s="3">
        <v>72.0</v>
      </c>
      <c r="B74" s="3">
        <v>1.7245238E7</v>
      </c>
      <c r="C74" s="3" t="s">
        <v>544</v>
      </c>
      <c r="D74" s="3" t="s">
        <v>545</v>
      </c>
      <c r="E74" s="3" t="s">
        <v>546</v>
      </c>
      <c r="F74" s="3" t="s">
        <v>547</v>
      </c>
      <c r="G74" s="3" t="s">
        <v>507</v>
      </c>
      <c r="H74" s="3">
        <v>2006.0</v>
      </c>
      <c r="I74" s="7">
        <v>39107.0</v>
      </c>
      <c r="L74" s="3" t="s">
        <v>548</v>
      </c>
    </row>
    <row r="75" ht="14.25" customHeight="1">
      <c r="A75" s="3">
        <v>73.0</v>
      </c>
      <c r="B75" s="3">
        <v>1.7219226E7</v>
      </c>
      <c r="C75" s="3" t="s">
        <v>549</v>
      </c>
      <c r="D75" s="3" t="s">
        <v>550</v>
      </c>
      <c r="E75" s="3" t="s">
        <v>551</v>
      </c>
      <c r="F75" s="3" t="s">
        <v>552</v>
      </c>
      <c r="G75" s="3" t="s">
        <v>274</v>
      </c>
      <c r="H75" s="3">
        <v>2007.0</v>
      </c>
      <c r="I75" s="7">
        <v>39098.0</v>
      </c>
      <c r="L75" s="3" t="s">
        <v>553</v>
      </c>
    </row>
    <row r="76" ht="14.25" customHeight="1">
      <c r="A76" s="3">
        <v>74.0</v>
      </c>
      <c r="B76" s="3">
        <v>1.7218661E7</v>
      </c>
      <c r="C76" s="3" t="s">
        <v>554</v>
      </c>
      <c r="D76" s="3" t="s">
        <v>555</v>
      </c>
      <c r="E76" s="3" t="s">
        <v>556</v>
      </c>
      <c r="F76" s="3" t="s">
        <v>557</v>
      </c>
      <c r="G76" s="3" t="s">
        <v>167</v>
      </c>
      <c r="H76" s="3">
        <v>2007.0</v>
      </c>
      <c r="I76" s="7">
        <v>39098.0</v>
      </c>
      <c r="L76" s="3" t="s">
        <v>558</v>
      </c>
    </row>
    <row r="77" ht="14.25" customHeight="1">
      <c r="A77" s="3">
        <v>75.0</v>
      </c>
      <c r="B77" s="3">
        <v>1.7129731E7</v>
      </c>
      <c r="C77" s="3" t="s">
        <v>559</v>
      </c>
      <c r="D77" s="3" t="s">
        <v>560</v>
      </c>
      <c r="E77" s="3" t="s">
        <v>561</v>
      </c>
      <c r="F77" s="3" t="s">
        <v>562</v>
      </c>
      <c r="G77" s="3" t="s">
        <v>180</v>
      </c>
      <c r="H77" s="3">
        <v>2007.0</v>
      </c>
      <c r="I77" s="7">
        <v>39051.0</v>
      </c>
      <c r="L77" s="3" t="s">
        <v>563</v>
      </c>
    </row>
    <row r="78" ht="14.25" customHeight="1">
      <c r="A78" s="3">
        <v>76.0</v>
      </c>
      <c r="B78" s="3">
        <v>1.6955299E7</v>
      </c>
      <c r="C78" s="3" t="s">
        <v>564</v>
      </c>
      <c r="D78" s="3" t="s">
        <v>565</v>
      </c>
      <c r="E78" s="3" t="s">
        <v>566</v>
      </c>
      <c r="F78" s="3" t="s">
        <v>567</v>
      </c>
      <c r="G78" s="3" t="s">
        <v>274</v>
      </c>
      <c r="H78" s="3">
        <v>2006.0</v>
      </c>
      <c r="I78" s="7">
        <v>38967.0</v>
      </c>
      <c r="L78" s="3" t="s">
        <v>568</v>
      </c>
    </row>
    <row r="79" ht="14.25" customHeight="1">
      <c r="A79" s="3">
        <v>77.0</v>
      </c>
      <c r="B79" s="3">
        <v>1.6923826E7</v>
      </c>
      <c r="C79" s="3" t="s">
        <v>569</v>
      </c>
      <c r="D79" s="3" t="s">
        <v>570</v>
      </c>
      <c r="E79" s="3" t="s">
        <v>571</v>
      </c>
      <c r="F79" s="3" t="s">
        <v>251</v>
      </c>
      <c r="G79" s="3" t="s">
        <v>167</v>
      </c>
      <c r="H79" s="3">
        <v>2006.0</v>
      </c>
      <c r="I79" s="7">
        <v>38952.0</v>
      </c>
      <c r="L79" s="3" t="s">
        <v>572</v>
      </c>
    </row>
    <row r="80" ht="14.25" customHeight="1">
      <c r="A80" s="3">
        <v>78.0</v>
      </c>
      <c r="B80" s="3">
        <v>1.6552549E7</v>
      </c>
      <c r="C80" s="3" t="s">
        <v>573</v>
      </c>
      <c r="D80" s="3" t="s">
        <v>574</v>
      </c>
      <c r="E80" s="3" t="s">
        <v>575</v>
      </c>
      <c r="F80" s="3" t="s">
        <v>576</v>
      </c>
      <c r="G80" s="3" t="s">
        <v>274</v>
      </c>
      <c r="H80" s="3">
        <v>2006.0</v>
      </c>
      <c r="I80" s="7">
        <v>38799.0</v>
      </c>
      <c r="L80" s="3" t="s">
        <v>577</v>
      </c>
    </row>
    <row r="81" ht="14.25" customHeight="1">
      <c r="A81" s="3">
        <v>79.0</v>
      </c>
      <c r="B81" s="3">
        <v>1.6496124E7</v>
      </c>
      <c r="C81" s="3" t="s">
        <v>578</v>
      </c>
      <c r="D81" s="3" t="s">
        <v>579</v>
      </c>
      <c r="E81" s="3" t="s">
        <v>580</v>
      </c>
      <c r="F81" s="3" t="s">
        <v>581</v>
      </c>
      <c r="G81" s="3" t="s">
        <v>274</v>
      </c>
      <c r="H81" s="3">
        <v>2006.0</v>
      </c>
      <c r="I81" s="7">
        <v>38772.0</v>
      </c>
      <c r="L81" s="3" t="s">
        <v>582</v>
      </c>
    </row>
    <row r="82" ht="14.25" customHeight="1">
      <c r="A82" s="3">
        <v>80.0</v>
      </c>
      <c r="B82" s="3">
        <v>1.6452264E7</v>
      </c>
      <c r="C82" s="3" t="s">
        <v>583</v>
      </c>
      <c r="D82" s="3" t="s">
        <v>584</v>
      </c>
      <c r="E82" s="3" t="s">
        <v>585</v>
      </c>
      <c r="F82" s="3" t="s">
        <v>586</v>
      </c>
      <c r="G82" s="3" t="s">
        <v>167</v>
      </c>
      <c r="H82" s="3">
        <v>2006.0</v>
      </c>
      <c r="I82" s="7">
        <v>38751.0</v>
      </c>
      <c r="L82" s="3" t="s">
        <v>587</v>
      </c>
    </row>
    <row r="83" ht="14.25" customHeight="1">
      <c r="A83" s="3">
        <v>81.0</v>
      </c>
      <c r="B83" s="3">
        <v>1.6430676E7</v>
      </c>
      <c r="C83" s="3" t="s">
        <v>588</v>
      </c>
      <c r="D83" s="3" t="s">
        <v>589</v>
      </c>
      <c r="E83" s="3" t="s">
        <v>590</v>
      </c>
      <c r="F83" s="3" t="s">
        <v>576</v>
      </c>
      <c r="G83" s="3" t="s">
        <v>591</v>
      </c>
      <c r="H83" s="3">
        <v>2006.0</v>
      </c>
      <c r="I83" s="7">
        <v>38742.0</v>
      </c>
      <c r="L83" s="3" t="s">
        <v>592</v>
      </c>
    </row>
    <row r="84" ht="14.25" customHeight="1">
      <c r="A84" s="3">
        <v>82.0</v>
      </c>
      <c r="B84" s="3">
        <v>1.6292682E7</v>
      </c>
      <c r="C84" s="3" t="s">
        <v>593</v>
      </c>
      <c r="D84" s="3" t="s">
        <v>594</v>
      </c>
      <c r="E84" s="3" t="s">
        <v>595</v>
      </c>
      <c r="F84" s="3" t="s">
        <v>596</v>
      </c>
      <c r="G84" s="3" t="s">
        <v>274</v>
      </c>
      <c r="H84" s="3">
        <v>2006.0</v>
      </c>
      <c r="I84" s="7">
        <v>38674.0</v>
      </c>
      <c r="L84" s="3" t="s">
        <v>597</v>
      </c>
    </row>
    <row r="85" ht="14.25" customHeight="1">
      <c r="A85" s="3">
        <v>83.0</v>
      </c>
      <c r="B85" s="3">
        <v>1.6282583E7</v>
      </c>
      <c r="C85" s="3" t="s">
        <v>598</v>
      </c>
      <c r="D85" s="3" t="s">
        <v>599</v>
      </c>
      <c r="E85" s="3" t="s">
        <v>600</v>
      </c>
      <c r="F85" s="3" t="s">
        <v>601</v>
      </c>
      <c r="G85" s="3" t="s">
        <v>167</v>
      </c>
      <c r="H85" s="3">
        <v>2006.0</v>
      </c>
      <c r="I85" s="7">
        <v>38668.0</v>
      </c>
      <c r="L85" s="3" t="s">
        <v>602</v>
      </c>
    </row>
    <row r="86" ht="14.25" customHeight="1">
      <c r="A86" s="3">
        <v>84.0</v>
      </c>
      <c r="B86" s="3">
        <v>1.6000666E7</v>
      </c>
      <c r="C86" s="3" t="s">
        <v>603</v>
      </c>
      <c r="D86" s="3" t="s">
        <v>604</v>
      </c>
      <c r="E86" s="3" t="s">
        <v>605</v>
      </c>
      <c r="F86" s="3" t="s">
        <v>435</v>
      </c>
      <c r="G86" s="3" t="s">
        <v>167</v>
      </c>
      <c r="H86" s="3">
        <v>2005.0</v>
      </c>
      <c r="I86" s="7">
        <v>38541.0</v>
      </c>
      <c r="L86" s="3" t="s">
        <v>606</v>
      </c>
    </row>
    <row r="87" ht="14.25" customHeight="1">
      <c r="A87" s="3">
        <v>85.0</v>
      </c>
      <c r="B87" s="3">
        <v>1.5928958E7</v>
      </c>
      <c r="C87" s="3" t="s">
        <v>607</v>
      </c>
      <c r="D87" s="3" t="s">
        <v>608</v>
      </c>
      <c r="E87" s="3" t="s">
        <v>609</v>
      </c>
      <c r="F87" s="3" t="s">
        <v>610</v>
      </c>
      <c r="G87" s="3" t="s">
        <v>611</v>
      </c>
      <c r="H87" s="3">
        <v>2005.0</v>
      </c>
      <c r="I87" s="7">
        <v>38505.0</v>
      </c>
      <c r="L87" s="3" t="s">
        <v>612</v>
      </c>
    </row>
    <row r="88" ht="14.25" customHeight="1">
      <c r="A88" s="3">
        <v>86.0</v>
      </c>
      <c r="B88" s="3">
        <v>1.580052E7</v>
      </c>
      <c r="C88" s="3" t="s">
        <v>613</v>
      </c>
      <c r="D88" s="3" t="s">
        <v>614</v>
      </c>
      <c r="E88" s="3" t="s">
        <v>615</v>
      </c>
      <c r="F88" s="3" t="s">
        <v>616</v>
      </c>
      <c r="G88" s="3" t="s">
        <v>186</v>
      </c>
      <c r="H88" s="3">
        <v>2005.0</v>
      </c>
      <c r="I88" s="7">
        <v>38443.0</v>
      </c>
      <c r="L88" s="3" t="s">
        <v>617</v>
      </c>
    </row>
    <row r="89" ht="14.25" customHeight="1">
      <c r="A89" s="3">
        <v>87.0</v>
      </c>
      <c r="B89" s="3">
        <v>1.571625E7</v>
      </c>
      <c r="C89" s="3" t="s">
        <v>618</v>
      </c>
      <c r="D89" s="3" t="s">
        <v>619</v>
      </c>
      <c r="E89" s="3" t="s">
        <v>620</v>
      </c>
      <c r="F89" s="3" t="s">
        <v>621</v>
      </c>
      <c r="G89" s="3" t="s">
        <v>167</v>
      </c>
      <c r="H89" s="3">
        <v>2005.0</v>
      </c>
      <c r="I89" s="7">
        <v>38401.0</v>
      </c>
      <c r="L89" s="3" t="s">
        <v>622</v>
      </c>
    </row>
    <row r="90" ht="14.25" customHeight="1">
      <c r="A90" s="3">
        <v>88.0</v>
      </c>
      <c r="B90" s="3">
        <v>1.5711494E7</v>
      </c>
      <c r="C90" s="3" t="s">
        <v>623</v>
      </c>
      <c r="D90" s="3" t="s">
        <v>624</v>
      </c>
      <c r="E90" s="3" t="s">
        <v>625</v>
      </c>
      <c r="F90" s="3" t="s">
        <v>626</v>
      </c>
      <c r="G90" s="3" t="s">
        <v>507</v>
      </c>
      <c r="H90" s="3">
        <v>2004.0</v>
      </c>
      <c r="I90" s="7">
        <v>38399.0</v>
      </c>
      <c r="L90" s="3" t="s">
        <v>627</v>
      </c>
    </row>
    <row r="91" ht="14.25" customHeight="1">
      <c r="A91" s="3">
        <v>89.0</v>
      </c>
      <c r="B91" s="3">
        <v>1.5689862E7</v>
      </c>
      <c r="C91" s="3" t="s">
        <v>628</v>
      </c>
      <c r="D91" s="3" t="s">
        <v>629</v>
      </c>
      <c r="E91" s="3" t="s">
        <v>630</v>
      </c>
      <c r="F91" s="3" t="s">
        <v>631</v>
      </c>
      <c r="G91" s="3" t="s">
        <v>186</v>
      </c>
      <c r="H91" s="3">
        <v>2005.0</v>
      </c>
      <c r="I91" s="7">
        <v>38387.0</v>
      </c>
      <c r="L91" s="3" t="s">
        <v>632</v>
      </c>
    </row>
    <row r="92" ht="14.25" customHeight="1">
      <c r="A92" s="3">
        <v>90.0</v>
      </c>
      <c r="B92" s="3">
        <v>1.5650664E7</v>
      </c>
      <c r="C92" s="3" t="s">
        <v>633</v>
      </c>
      <c r="D92" s="3" t="s">
        <v>634</v>
      </c>
      <c r="E92" s="3" t="s">
        <v>635</v>
      </c>
      <c r="F92" s="3" t="s">
        <v>636</v>
      </c>
      <c r="G92" s="3" t="s">
        <v>186</v>
      </c>
      <c r="H92" s="3">
        <v>2005.0</v>
      </c>
      <c r="I92" s="7">
        <v>38367.0</v>
      </c>
      <c r="L92" s="3" t="s">
        <v>637</v>
      </c>
    </row>
    <row r="93" ht="14.25" customHeight="1">
      <c r="A93" s="3">
        <v>91.0</v>
      </c>
      <c r="B93" s="3">
        <v>1.5611004E7</v>
      </c>
      <c r="C93" s="3" t="s">
        <v>638</v>
      </c>
      <c r="D93" s="3" t="s">
        <v>639</v>
      </c>
      <c r="E93" s="3" t="s">
        <v>640</v>
      </c>
      <c r="F93" s="3" t="s">
        <v>641</v>
      </c>
      <c r="G93" s="3" t="s">
        <v>167</v>
      </c>
      <c r="H93" s="3">
        <v>2005.0</v>
      </c>
      <c r="I93" s="7">
        <v>38343.0</v>
      </c>
      <c r="L93" s="3" t="s">
        <v>642</v>
      </c>
    </row>
    <row r="94" ht="14.25" customHeight="1">
      <c r="A94" s="3">
        <v>92.0</v>
      </c>
      <c r="B94" s="3">
        <v>1.5572316E7</v>
      </c>
      <c r="C94" s="3" t="s">
        <v>643</v>
      </c>
      <c r="D94" s="3" t="s">
        <v>644</v>
      </c>
      <c r="E94" s="3" t="s">
        <v>645</v>
      </c>
      <c r="F94" s="3" t="s">
        <v>646</v>
      </c>
      <c r="G94" s="3" t="s">
        <v>167</v>
      </c>
      <c r="H94" s="3">
        <v>2004.0</v>
      </c>
      <c r="I94" s="7">
        <v>38323.0</v>
      </c>
      <c r="L94" s="3" t="s">
        <v>647</v>
      </c>
    </row>
    <row r="95" ht="14.25" customHeight="1">
      <c r="A95" s="3">
        <v>93.0</v>
      </c>
      <c r="B95" s="3">
        <v>1.5516013E7</v>
      </c>
      <c r="C95" s="3" t="s">
        <v>648</v>
      </c>
      <c r="D95" s="3" t="s">
        <v>649</v>
      </c>
      <c r="E95" s="3" t="s">
        <v>650</v>
      </c>
      <c r="F95" s="3" t="s">
        <v>651</v>
      </c>
      <c r="G95" s="3" t="s">
        <v>495</v>
      </c>
      <c r="H95" s="3">
        <v>2004.0</v>
      </c>
      <c r="I95" s="7">
        <v>38293.0</v>
      </c>
    </row>
    <row r="96" ht="14.25" customHeight="1">
      <c r="A96" s="3">
        <v>94.0</v>
      </c>
      <c r="B96" s="3">
        <v>1.5466722E7</v>
      </c>
      <c r="C96" s="3" t="s">
        <v>652</v>
      </c>
      <c r="D96" s="3" t="s">
        <v>653</v>
      </c>
      <c r="E96" s="3" t="s">
        <v>654</v>
      </c>
      <c r="F96" s="3" t="s">
        <v>655</v>
      </c>
      <c r="G96" s="3" t="s">
        <v>225</v>
      </c>
      <c r="H96" s="3">
        <v>2004.0</v>
      </c>
      <c r="I96" s="7">
        <v>38267.0</v>
      </c>
    </row>
    <row r="97" ht="14.25" customHeight="1">
      <c r="A97" s="3">
        <v>95.0</v>
      </c>
      <c r="B97" s="3">
        <v>1.3679741E7</v>
      </c>
      <c r="C97" s="3" t="s">
        <v>656</v>
      </c>
      <c r="D97" s="3" t="s">
        <v>657</v>
      </c>
      <c r="E97" s="3" t="s">
        <v>658</v>
      </c>
      <c r="F97" s="3" t="s">
        <v>659</v>
      </c>
      <c r="G97" s="3" t="s">
        <v>507</v>
      </c>
      <c r="H97" s="3">
        <v>2003.0</v>
      </c>
      <c r="I97" s="7">
        <v>37883.0</v>
      </c>
    </row>
    <row r="98" ht="14.25" customHeight="1">
      <c r="A98" s="3">
        <v>96.0</v>
      </c>
      <c r="B98" s="3">
        <v>1.2897981E7</v>
      </c>
      <c r="C98" s="3" t="s">
        <v>660</v>
      </c>
      <c r="D98" s="3" t="s">
        <v>661</v>
      </c>
      <c r="E98" s="3" t="s">
        <v>662</v>
      </c>
      <c r="F98" s="3" t="s">
        <v>663</v>
      </c>
      <c r="G98" s="3" t="s">
        <v>274</v>
      </c>
      <c r="H98" s="3">
        <v>2003.0</v>
      </c>
      <c r="I98" s="7">
        <v>37838.0</v>
      </c>
      <c r="L98" s="3" t="s">
        <v>664</v>
      </c>
    </row>
    <row r="99" ht="14.25" customHeight="1">
      <c r="A99" s="3">
        <v>97.0</v>
      </c>
      <c r="B99" s="3">
        <v>1.2879225E7</v>
      </c>
      <c r="C99" s="3" t="s">
        <v>665</v>
      </c>
      <c r="D99" s="3" t="s">
        <v>666</v>
      </c>
      <c r="E99" s="3" t="s">
        <v>667</v>
      </c>
      <c r="F99" s="3" t="s">
        <v>668</v>
      </c>
      <c r="G99" s="3" t="s">
        <v>274</v>
      </c>
      <c r="H99" s="3">
        <v>2003.0</v>
      </c>
      <c r="I99" s="7">
        <v>37827.0</v>
      </c>
      <c r="L99" s="3" t="s">
        <v>669</v>
      </c>
    </row>
    <row r="100" ht="14.25" customHeight="1">
      <c r="A100" s="3">
        <v>98.0</v>
      </c>
      <c r="B100" s="3">
        <v>1.2860546E7</v>
      </c>
      <c r="C100" s="3" t="s">
        <v>670</v>
      </c>
      <c r="D100" s="3" t="s">
        <v>671</v>
      </c>
      <c r="E100" s="3" t="s">
        <v>672</v>
      </c>
      <c r="F100" s="3" t="s">
        <v>673</v>
      </c>
      <c r="G100" s="3" t="s">
        <v>167</v>
      </c>
      <c r="H100" s="3">
        <v>2003.0</v>
      </c>
      <c r="I100" s="7">
        <v>37818.0</v>
      </c>
      <c r="L100" s="3" t="s">
        <v>674</v>
      </c>
    </row>
    <row r="101" ht="14.25" customHeight="1">
      <c r="A101" s="3">
        <v>99.0</v>
      </c>
      <c r="B101" s="3">
        <v>1.273471E7</v>
      </c>
      <c r="C101" s="3" t="s">
        <v>675</v>
      </c>
      <c r="D101" s="3" t="s">
        <v>676</v>
      </c>
      <c r="E101" s="3" t="s">
        <v>677</v>
      </c>
      <c r="F101" s="3" t="s">
        <v>678</v>
      </c>
      <c r="G101" s="3" t="s">
        <v>192</v>
      </c>
      <c r="H101" s="3">
        <v>2003.0</v>
      </c>
      <c r="I101" s="7">
        <v>37749.0</v>
      </c>
      <c r="L101" s="3" t="s">
        <v>679</v>
      </c>
    </row>
    <row r="102" ht="14.25" customHeight="1">
      <c r="A102" s="3">
        <v>100.0</v>
      </c>
      <c r="B102" s="3">
        <v>1.2642266E7</v>
      </c>
      <c r="C102" s="3" t="s">
        <v>680</v>
      </c>
      <c r="D102" s="3" t="s">
        <v>681</v>
      </c>
      <c r="E102" s="3" t="s">
        <v>682</v>
      </c>
      <c r="F102" s="3" t="s">
        <v>683</v>
      </c>
      <c r="G102" s="3" t="s">
        <v>167</v>
      </c>
      <c r="H102" s="3">
        <v>2003.0</v>
      </c>
      <c r="I102" s="7">
        <v>37699.0</v>
      </c>
      <c r="L102" s="3" t="s">
        <v>684</v>
      </c>
    </row>
    <row r="103" ht="14.25" customHeight="1">
      <c r="A103" s="3">
        <v>101.0</v>
      </c>
      <c r="B103" s="3">
        <v>1.2531752E7</v>
      </c>
      <c r="C103" s="3" t="s">
        <v>685</v>
      </c>
      <c r="D103" s="3" t="s">
        <v>686</v>
      </c>
      <c r="E103" s="3" t="s">
        <v>687</v>
      </c>
      <c r="F103" s="3" t="s">
        <v>688</v>
      </c>
      <c r="G103" s="3" t="s">
        <v>167</v>
      </c>
      <c r="H103" s="3">
        <v>2003.0</v>
      </c>
      <c r="I103" s="7">
        <v>37639.0</v>
      </c>
      <c r="L103" s="3" t="s">
        <v>689</v>
      </c>
    </row>
    <row r="104" ht="14.25" customHeight="1">
      <c r="A104" s="3">
        <v>102.0</v>
      </c>
      <c r="B104" s="3">
        <v>1.2531751E7</v>
      </c>
      <c r="C104" s="3" t="s">
        <v>690</v>
      </c>
      <c r="D104" s="3" t="s">
        <v>691</v>
      </c>
      <c r="E104" s="3" t="s">
        <v>692</v>
      </c>
      <c r="F104" s="3" t="s">
        <v>693</v>
      </c>
      <c r="G104" s="3" t="s">
        <v>167</v>
      </c>
      <c r="H104" s="3">
        <v>2003.0</v>
      </c>
      <c r="I104" s="7">
        <v>37639.0</v>
      </c>
      <c r="L104" s="3" t="s">
        <v>694</v>
      </c>
    </row>
    <row r="105" ht="14.25" customHeight="1">
      <c r="A105" s="3">
        <v>103.0</v>
      </c>
      <c r="B105" s="3">
        <v>1.2435652E7</v>
      </c>
      <c r="C105" s="3" t="s">
        <v>695</v>
      </c>
      <c r="D105" s="3" t="s">
        <v>696</v>
      </c>
      <c r="E105" s="3" t="s">
        <v>697</v>
      </c>
      <c r="F105" s="3" t="s">
        <v>435</v>
      </c>
      <c r="G105" s="3" t="s">
        <v>167</v>
      </c>
      <c r="H105" s="3">
        <v>2002.0</v>
      </c>
      <c r="I105" s="7">
        <v>37579.0</v>
      </c>
      <c r="L105" s="3" t="s">
        <v>698</v>
      </c>
    </row>
    <row r="106" ht="14.25" customHeight="1">
      <c r="A106" s="3">
        <v>104.0</v>
      </c>
      <c r="B106" s="3">
        <v>1.2243016E7</v>
      </c>
      <c r="C106" s="3" t="s">
        <v>699</v>
      </c>
      <c r="D106" s="3" t="s">
        <v>700</v>
      </c>
      <c r="E106" s="3" t="s">
        <v>701</v>
      </c>
      <c r="F106" s="3" t="s">
        <v>702</v>
      </c>
      <c r="G106" s="3" t="s">
        <v>611</v>
      </c>
      <c r="H106" s="3">
        <v>2002.0</v>
      </c>
      <c r="I106" s="7">
        <v>37523.0</v>
      </c>
      <c r="L106" s="3" t="s">
        <v>703</v>
      </c>
    </row>
    <row r="107" ht="14.25" customHeight="1">
      <c r="A107" s="3">
        <v>105.0</v>
      </c>
      <c r="B107" s="3">
        <v>1.2208905E7</v>
      </c>
      <c r="C107" s="3" t="s">
        <v>704</v>
      </c>
      <c r="D107" s="3" t="s">
        <v>705</v>
      </c>
      <c r="E107" s="3" t="s">
        <v>706</v>
      </c>
      <c r="F107" s="3" t="s">
        <v>621</v>
      </c>
      <c r="G107" s="3" t="s">
        <v>225</v>
      </c>
      <c r="H107" s="3">
        <v>2002.0</v>
      </c>
      <c r="I107" s="7">
        <v>37504.0</v>
      </c>
      <c r="L107" s="3" t="s">
        <v>707</v>
      </c>
    </row>
    <row r="108" ht="14.25" customHeight="1">
      <c r="A108" s="3">
        <v>106.0</v>
      </c>
      <c r="B108" s="3">
        <v>1.2148189E7</v>
      </c>
      <c r="C108" s="3" t="s">
        <v>708</v>
      </c>
      <c r="D108" s="3" t="s">
        <v>709</v>
      </c>
      <c r="E108" s="3" t="s">
        <v>710</v>
      </c>
      <c r="F108" s="3" t="s">
        <v>711</v>
      </c>
      <c r="G108" s="3" t="s">
        <v>712</v>
      </c>
      <c r="H108" s="3">
        <v>2002.0</v>
      </c>
      <c r="I108" s="7">
        <v>37469.0</v>
      </c>
    </row>
    <row r="109" ht="14.25" customHeight="1">
      <c r="A109" s="3">
        <v>107.0</v>
      </c>
      <c r="B109" s="3">
        <v>1.2130407E7</v>
      </c>
      <c r="C109" s="3" t="s">
        <v>713</v>
      </c>
      <c r="D109" s="3" t="s">
        <v>714</v>
      </c>
      <c r="E109" s="3" t="s">
        <v>715</v>
      </c>
      <c r="F109" s="3" t="s">
        <v>537</v>
      </c>
      <c r="G109" s="3" t="s">
        <v>167</v>
      </c>
      <c r="H109" s="3">
        <v>2002.0</v>
      </c>
      <c r="I109" s="7">
        <v>37457.0</v>
      </c>
      <c r="L109" s="3" t="s">
        <v>716</v>
      </c>
    </row>
    <row r="110" ht="14.25" customHeight="1">
      <c r="A110" s="3">
        <v>108.0</v>
      </c>
      <c r="B110" s="3">
        <v>1.2121424E7</v>
      </c>
      <c r="C110" s="3" t="s">
        <v>717</v>
      </c>
      <c r="D110" s="3" t="s">
        <v>718</v>
      </c>
      <c r="E110" s="3" t="s">
        <v>719</v>
      </c>
      <c r="F110" s="3" t="s">
        <v>720</v>
      </c>
      <c r="G110" s="3" t="s">
        <v>591</v>
      </c>
      <c r="H110" s="3">
        <v>2002.0</v>
      </c>
      <c r="I110" s="7">
        <v>37455.0</v>
      </c>
      <c r="L110" s="3" t="s">
        <v>721</v>
      </c>
    </row>
    <row r="111" ht="14.25" customHeight="1">
      <c r="A111" s="3">
        <v>109.0</v>
      </c>
      <c r="B111" s="3">
        <v>1.2002492E7</v>
      </c>
      <c r="C111" s="3" t="s">
        <v>722</v>
      </c>
      <c r="D111" s="3" t="s">
        <v>723</v>
      </c>
      <c r="E111" s="3" t="s">
        <v>724</v>
      </c>
      <c r="F111" s="3" t="s">
        <v>725</v>
      </c>
      <c r="G111" s="3" t="s">
        <v>726</v>
      </c>
      <c r="H111" s="3">
        <v>2002.0</v>
      </c>
      <c r="I111" s="7">
        <v>37387.0</v>
      </c>
      <c r="L111" s="3" t="s">
        <v>727</v>
      </c>
    </row>
    <row r="112" ht="14.25" customHeight="1">
      <c r="A112" s="3">
        <v>110.0</v>
      </c>
      <c r="B112" s="3">
        <v>1.1985766E7</v>
      </c>
      <c r="C112" s="3" t="s">
        <v>728</v>
      </c>
      <c r="D112" s="3" t="s">
        <v>729</v>
      </c>
      <c r="E112" s="3" t="s">
        <v>730</v>
      </c>
      <c r="F112" s="3" t="s">
        <v>731</v>
      </c>
      <c r="G112" s="3" t="s">
        <v>591</v>
      </c>
      <c r="H112" s="3">
        <v>2002.0</v>
      </c>
      <c r="I112" s="7">
        <v>37379.0</v>
      </c>
      <c r="L112" s="3" t="s">
        <v>732</v>
      </c>
    </row>
    <row r="113" ht="14.25" customHeight="1">
      <c r="A113" s="3">
        <v>111.0</v>
      </c>
      <c r="B113" s="3">
        <v>1.1973544E7</v>
      </c>
      <c r="C113" s="3" t="s">
        <v>733</v>
      </c>
      <c r="D113" s="3" t="s">
        <v>734</v>
      </c>
      <c r="E113" s="3" t="s">
        <v>735</v>
      </c>
      <c r="F113" s="3" t="s">
        <v>736</v>
      </c>
      <c r="G113" s="3" t="s">
        <v>507</v>
      </c>
      <c r="H113" s="3">
        <v>2002.0</v>
      </c>
      <c r="I113" s="7">
        <v>37372.0</v>
      </c>
    </row>
    <row r="114" ht="14.25" customHeight="1">
      <c r="A114" s="3">
        <v>112.0</v>
      </c>
      <c r="B114" s="3">
        <v>1.1912091E7</v>
      </c>
      <c r="C114" s="3" t="s">
        <v>737</v>
      </c>
      <c r="D114" s="3" t="s">
        <v>738</v>
      </c>
      <c r="E114" s="3" t="s">
        <v>739</v>
      </c>
      <c r="F114" s="3" t="s">
        <v>740</v>
      </c>
      <c r="G114" s="3" t="s">
        <v>167</v>
      </c>
      <c r="H114" s="3">
        <v>2002.0</v>
      </c>
      <c r="I114" s="7">
        <v>37341.0</v>
      </c>
      <c r="L114" s="3" t="s">
        <v>741</v>
      </c>
    </row>
    <row r="115" ht="14.25" customHeight="1">
      <c r="A115" s="3">
        <v>113.0</v>
      </c>
      <c r="B115" s="3">
        <v>1.1798992E7</v>
      </c>
      <c r="C115" s="3" t="s">
        <v>742</v>
      </c>
      <c r="D115" s="3" t="s">
        <v>743</v>
      </c>
      <c r="E115" s="3" t="s">
        <v>744</v>
      </c>
      <c r="F115" s="3" t="s">
        <v>745</v>
      </c>
      <c r="G115" s="3" t="s">
        <v>167</v>
      </c>
      <c r="H115" s="3">
        <v>2002.0</v>
      </c>
      <c r="I115" s="7">
        <v>37275.0</v>
      </c>
      <c r="L115" s="3" t="s">
        <v>746</v>
      </c>
    </row>
    <row r="116" ht="14.25" customHeight="1">
      <c r="A116" s="3">
        <v>114.0</v>
      </c>
      <c r="B116" s="3">
        <v>1.1768639E7</v>
      </c>
      <c r="C116" s="3" t="s">
        <v>747</v>
      </c>
      <c r="D116" s="3" t="s">
        <v>748</v>
      </c>
      <c r="E116" s="3" t="s">
        <v>749</v>
      </c>
      <c r="F116" s="3" t="s">
        <v>750</v>
      </c>
      <c r="G116" s="3" t="s">
        <v>192</v>
      </c>
      <c r="H116" s="3">
        <v>2001.0</v>
      </c>
      <c r="I116" s="7">
        <v>37261.0</v>
      </c>
      <c r="L116" s="3" t="s">
        <v>751</v>
      </c>
    </row>
    <row r="117" ht="14.25" customHeight="1">
      <c r="A117" s="3">
        <v>115.0</v>
      </c>
      <c r="B117" s="3">
        <v>1.1734484E7</v>
      </c>
      <c r="C117" s="3" t="s">
        <v>752</v>
      </c>
      <c r="D117" s="3" t="s">
        <v>753</v>
      </c>
      <c r="E117" s="3" t="s">
        <v>754</v>
      </c>
      <c r="F117" s="3" t="s">
        <v>755</v>
      </c>
      <c r="G117" s="3" t="s">
        <v>167</v>
      </c>
      <c r="H117" s="3">
        <v>2001.0</v>
      </c>
      <c r="I117" s="7">
        <v>37231.0</v>
      </c>
      <c r="L117" s="3" t="s">
        <v>756</v>
      </c>
    </row>
    <row r="118" ht="14.25" customHeight="1">
      <c r="A118" s="3">
        <v>116.0</v>
      </c>
      <c r="B118" s="3">
        <v>1.1685356E7</v>
      </c>
      <c r="C118" s="3" t="s">
        <v>757</v>
      </c>
      <c r="D118" s="3" t="s">
        <v>758</v>
      </c>
      <c r="E118" s="3" t="s">
        <v>759</v>
      </c>
      <c r="F118" s="3" t="s">
        <v>673</v>
      </c>
      <c r="G118" s="3" t="s">
        <v>274</v>
      </c>
      <c r="H118" s="3">
        <v>2001.0</v>
      </c>
      <c r="I118" s="7">
        <v>37195.0</v>
      </c>
      <c r="L118" s="3" t="s">
        <v>760</v>
      </c>
    </row>
    <row r="119" ht="14.25" customHeight="1">
      <c r="A119" s="3">
        <v>117.0</v>
      </c>
      <c r="B119" s="3">
        <v>1.153609E7</v>
      </c>
      <c r="C119" s="3" t="s">
        <v>761</v>
      </c>
      <c r="D119" s="3" t="s">
        <v>762</v>
      </c>
      <c r="E119" s="3" t="s">
        <v>763</v>
      </c>
      <c r="F119" s="3" t="s">
        <v>764</v>
      </c>
      <c r="G119" s="3" t="s">
        <v>186</v>
      </c>
      <c r="H119" s="3">
        <v>2001.0</v>
      </c>
      <c r="I119" s="7">
        <v>37140.0</v>
      </c>
      <c r="L119" s="3" t="s">
        <v>765</v>
      </c>
    </row>
    <row r="120" ht="14.25" customHeight="1">
      <c r="A120" s="3">
        <v>118.0</v>
      </c>
      <c r="B120" s="3">
        <v>1.1394606E7</v>
      </c>
      <c r="C120" s="3" t="s">
        <v>766</v>
      </c>
      <c r="D120" s="3" t="s">
        <v>767</v>
      </c>
      <c r="E120" s="3" t="s">
        <v>768</v>
      </c>
      <c r="F120" s="3" t="s">
        <v>769</v>
      </c>
      <c r="G120" s="3" t="s">
        <v>167</v>
      </c>
      <c r="H120" s="3">
        <v>2001.0</v>
      </c>
      <c r="I120" s="7">
        <v>37050.0</v>
      </c>
      <c r="L120" s="3" t="s">
        <v>770</v>
      </c>
    </row>
    <row r="121" ht="14.25" customHeight="1">
      <c r="A121" s="3">
        <v>119.0</v>
      </c>
      <c r="B121" s="3">
        <v>1.1394593E7</v>
      </c>
      <c r="C121" s="3" t="s">
        <v>771</v>
      </c>
      <c r="D121" s="3" t="s">
        <v>772</v>
      </c>
      <c r="E121" s="3" t="s">
        <v>773</v>
      </c>
      <c r="F121" s="3" t="s">
        <v>774</v>
      </c>
      <c r="G121" s="3" t="s">
        <v>167</v>
      </c>
      <c r="H121" s="3">
        <v>2001.0</v>
      </c>
      <c r="I121" s="7">
        <v>37050.0</v>
      </c>
      <c r="L121" s="3" t="s">
        <v>775</v>
      </c>
    </row>
    <row r="122" ht="14.25" customHeight="1">
      <c r="A122" s="3">
        <v>120.0</v>
      </c>
      <c r="B122" s="3">
        <v>1.1374431E7</v>
      </c>
      <c r="C122" s="3" t="s">
        <v>776</v>
      </c>
      <c r="D122" s="3" t="s">
        <v>777</v>
      </c>
      <c r="E122" s="3" t="s">
        <v>778</v>
      </c>
      <c r="F122" s="3" t="s">
        <v>779</v>
      </c>
      <c r="G122" s="3" t="s">
        <v>591</v>
      </c>
      <c r="H122" s="3">
        <v>2001.0</v>
      </c>
      <c r="I122" s="7">
        <v>37037.0</v>
      </c>
    </row>
    <row r="123" ht="14.25" customHeight="1">
      <c r="A123" s="3">
        <v>121.0</v>
      </c>
      <c r="B123" s="3">
        <v>1.1341418E7</v>
      </c>
      <c r="C123" s="3" t="s">
        <v>780</v>
      </c>
      <c r="D123" s="3" t="s">
        <v>781</v>
      </c>
      <c r="E123" s="3" t="s">
        <v>782</v>
      </c>
      <c r="F123" s="3" t="s">
        <v>779</v>
      </c>
      <c r="G123" s="3" t="s">
        <v>726</v>
      </c>
      <c r="H123" s="3">
        <v>2001.0</v>
      </c>
      <c r="I123" s="7">
        <v>37020.0</v>
      </c>
      <c r="L123" s="3" t="s">
        <v>783</v>
      </c>
    </row>
    <row r="124" ht="14.25" customHeight="1">
      <c r="A124" s="3">
        <v>122.0</v>
      </c>
      <c r="B124" s="3">
        <v>1.1269585E7</v>
      </c>
      <c r="C124" s="3" t="s">
        <v>784</v>
      </c>
      <c r="D124" s="3" t="s">
        <v>785</v>
      </c>
      <c r="E124" s="3" t="s">
        <v>786</v>
      </c>
      <c r="F124" s="3" t="s">
        <v>688</v>
      </c>
      <c r="G124" s="3" t="s">
        <v>274</v>
      </c>
      <c r="H124" s="3">
        <v>2001.0</v>
      </c>
      <c r="I124" s="7">
        <v>36978.0</v>
      </c>
      <c r="L124" s="3" t="s">
        <v>787</v>
      </c>
    </row>
    <row r="125" ht="14.25" customHeight="1">
      <c r="A125" s="3">
        <v>123.0</v>
      </c>
      <c r="B125" s="3">
        <v>1.1252459E7</v>
      </c>
      <c r="C125" s="3" t="s">
        <v>788</v>
      </c>
      <c r="D125" s="3" t="s">
        <v>789</v>
      </c>
      <c r="E125" s="3" t="s">
        <v>790</v>
      </c>
      <c r="F125" s="3" t="s">
        <v>791</v>
      </c>
      <c r="G125" s="3" t="s">
        <v>591</v>
      </c>
      <c r="H125" s="3">
        <v>2001.0</v>
      </c>
      <c r="I125" s="7">
        <v>36967.0</v>
      </c>
      <c r="L125" s="3" t="s">
        <v>792</v>
      </c>
    </row>
    <row r="126" ht="14.25" customHeight="1">
      <c r="A126" s="3">
        <v>124.0</v>
      </c>
      <c r="B126" s="3">
        <v>1.1098747E7</v>
      </c>
      <c r="C126" s="3" t="s">
        <v>793</v>
      </c>
      <c r="D126" s="3" t="s">
        <v>794</v>
      </c>
      <c r="E126" s="3" t="s">
        <v>795</v>
      </c>
      <c r="F126" s="3" t="s">
        <v>796</v>
      </c>
      <c r="G126" s="3" t="s">
        <v>611</v>
      </c>
      <c r="H126" s="3">
        <v>2000.0</v>
      </c>
      <c r="I126" s="7">
        <v>36861.0</v>
      </c>
      <c r="L126" s="3" t="s">
        <v>797</v>
      </c>
    </row>
    <row r="127" ht="14.25" customHeight="1">
      <c r="A127" s="3">
        <v>125.0</v>
      </c>
      <c r="B127" s="3">
        <v>1.1032219E7</v>
      </c>
      <c r="C127" s="3" t="s">
        <v>798</v>
      </c>
      <c r="D127" s="3" t="s">
        <v>799</v>
      </c>
      <c r="E127" s="3" t="s">
        <v>800</v>
      </c>
      <c r="F127" s="3" t="s">
        <v>801</v>
      </c>
      <c r="G127" s="3" t="s">
        <v>167</v>
      </c>
      <c r="H127" s="3">
        <v>2000.0</v>
      </c>
      <c r="I127" s="7">
        <v>36813.0</v>
      </c>
      <c r="L127" s="3" t="s">
        <v>802</v>
      </c>
    </row>
    <row r="128" ht="14.25" customHeight="1">
      <c r="A128" s="3">
        <v>126.0</v>
      </c>
      <c r="B128" s="3">
        <v>1.0925649E7</v>
      </c>
      <c r="C128" s="3" t="s">
        <v>803</v>
      </c>
      <c r="D128" s="3" t="s">
        <v>804</v>
      </c>
      <c r="E128" s="3" t="s">
        <v>805</v>
      </c>
      <c r="F128" s="3" t="s">
        <v>806</v>
      </c>
      <c r="G128" s="3" t="s">
        <v>611</v>
      </c>
      <c r="H128" s="3">
        <v>2000.0</v>
      </c>
      <c r="I128" s="7">
        <v>36743.0</v>
      </c>
      <c r="L128" s="3" t="s">
        <v>807</v>
      </c>
    </row>
    <row r="129" ht="14.25" customHeight="1">
      <c r="A129" s="3">
        <v>127.0</v>
      </c>
      <c r="B129" s="3">
        <v>1.0882444E7</v>
      </c>
      <c r="C129" s="3" t="s">
        <v>808</v>
      </c>
      <c r="D129" s="3" t="s">
        <v>809</v>
      </c>
      <c r="E129" s="3" t="s">
        <v>810</v>
      </c>
      <c r="F129" s="3" t="s">
        <v>811</v>
      </c>
      <c r="G129" s="3" t="s">
        <v>186</v>
      </c>
      <c r="H129" s="3">
        <v>2000.0</v>
      </c>
      <c r="I129" s="7">
        <v>36713.0</v>
      </c>
      <c r="L129" s="3" t="s">
        <v>812</v>
      </c>
    </row>
    <row r="130" ht="14.25" customHeight="1">
      <c r="A130" s="3">
        <v>128.0</v>
      </c>
      <c r="B130" s="3">
        <v>1.0591941E7</v>
      </c>
      <c r="C130" s="3" t="s">
        <v>813</v>
      </c>
      <c r="D130" s="3" t="s">
        <v>814</v>
      </c>
      <c r="E130" s="3" t="s">
        <v>815</v>
      </c>
      <c r="F130" s="3" t="s">
        <v>816</v>
      </c>
      <c r="G130" s="3" t="s">
        <v>328</v>
      </c>
      <c r="H130" s="3">
        <v>1999.0</v>
      </c>
      <c r="I130" s="7">
        <v>36505.0</v>
      </c>
      <c r="J130" s="3" t="s">
        <v>817</v>
      </c>
      <c r="L130" s="3" t="s">
        <v>818</v>
      </c>
    </row>
    <row r="131" ht="14.25" customHeight="1">
      <c r="A131" s="3">
        <v>129.0</v>
      </c>
      <c r="B131" s="3">
        <v>1.0530835E7</v>
      </c>
      <c r="C131" s="3" t="s">
        <v>819</v>
      </c>
      <c r="D131" s="3" t="s">
        <v>820</v>
      </c>
      <c r="E131" s="3" t="s">
        <v>821</v>
      </c>
      <c r="F131" s="3" t="s">
        <v>822</v>
      </c>
      <c r="G131" s="3" t="s">
        <v>726</v>
      </c>
      <c r="H131" s="3">
        <v>1999.0</v>
      </c>
      <c r="I131" s="7">
        <v>36459.0</v>
      </c>
      <c r="L131" s="3" t="s">
        <v>823</v>
      </c>
    </row>
    <row r="132" ht="14.25" customHeight="1">
      <c r="A132" s="3">
        <v>130.0</v>
      </c>
      <c r="B132" s="3">
        <v>1.0525698E7</v>
      </c>
      <c r="C132" s="3" t="s">
        <v>824</v>
      </c>
      <c r="D132" s="3" t="s">
        <v>825</v>
      </c>
      <c r="E132" s="3" t="s">
        <v>826</v>
      </c>
      <c r="F132" s="3" t="s">
        <v>693</v>
      </c>
      <c r="G132" s="3" t="s">
        <v>274</v>
      </c>
      <c r="H132" s="3">
        <v>1999.0</v>
      </c>
      <c r="I132" s="7">
        <v>36453.0</v>
      </c>
      <c r="L132" s="3" t="s">
        <v>827</v>
      </c>
    </row>
    <row r="133" ht="14.25" customHeight="1">
      <c r="A133" s="3">
        <v>131.0</v>
      </c>
      <c r="B133" s="3">
        <v>1.0424549E7</v>
      </c>
      <c r="C133" s="3" t="s">
        <v>828</v>
      </c>
      <c r="D133" s="3" t="s">
        <v>829</v>
      </c>
      <c r="E133" s="3" t="s">
        <v>830</v>
      </c>
      <c r="F133" s="3" t="s">
        <v>831</v>
      </c>
      <c r="G133" s="3" t="s">
        <v>186</v>
      </c>
      <c r="H133" s="3">
        <v>1999.0</v>
      </c>
      <c r="I133" s="7">
        <v>36370.0</v>
      </c>
      <c r="L133" s="3" t="s">
        <v>832</v>
      </c>
    </row>
    <row r="134" ht="14.25" customHeight="1">
      <c r="A134" s="3">
        <v>132.0</v>
      </c>
      <c r="B134" s="3">
        <v>1.0401653E7</v>
      </c>
      <c r="C134" s="3" t="s">
        <v>833</v>
      </c>
      <c r="D134" s="3" t="s">
        <v>834</v>
      </c>
      <c r="E134" s="3" t="s">
        <v>835</v>
      </c>
      <c r="F134" s="3" t="s">
        <v>836</v>
      </c>
      <c r="G134" s="3" t="s">
        <v>274</v>
      </c>
      <c r="H134" s="3">
        <v>1999.0</v>
      </c>
      <c r="I134" s="7">
        <v>36354.0</v>
      </c>
      <c r="L134" s="3" t="s">
        <v>837</v>
      </c>
    </row>
    <row r="135" ht="14.25" customHeight="1">
      <c r="A135" s="3">
        <v>133.0</v>
      </c>
      <c r="B135" s="3">
        <v>1.0401652E7</v>
      </c>
      <c r="C135" s="3" t="s">
        <v>838</v>
      </c>
      <c r="D135" s="3" t="s">
        <v>839</v>
      </c>
      <c r="E135" s="3" t="s">
        <v>840</v>
      </c>
      <c r="F135" s="3" t="s">
        <v>731</v>
      </c>
      <c r="G135" s="3" t="s">
        <v>274</v>
      </c>
      <c r="H135" s="3">
        <v>1999.0</v>
      </c>
      <c r="I135" s="7">
        <v>36354.0</v>
      </c>
      <c r="L135" s="3" t="s">
        <v>841</v>
      </c>
    </row>
    <row r="136" ht="14.25" customHeight="1">
      <c r="A136" s="3">
        <v>134.0</v>
      </c>
      <c r="B136" s="3">
        <v>9848597.0</v>
      </c>
      <c r="C136" s="3" t="s">
        <v>842</v>
      </c>
      <c r="D136" s="3" t="s">
        <v>843</v>
      </c>
      <c r="E136" s="3" t="s">
        <v>844</v>
      </c>
      <c r="F136" s="3" t="s">
        <v>845</v>
      </c>
      <c r="G136" s="3" t="s">
        <v>186</v>
      </c>
      <c r="H136" s="3">
        <v>1998.0</v>
      </c>
      <c r="I136" s="7">
        <v>36145.0</v>
      </c>
      <c r="L136" s="3" t="s">
        <v>846</v>
      </c>
    </row>
    <row r="137" ht="14.25" customHeight="1">
      <c r="A137" s="3">
        <v>135.0</v>
      </c>
      <c r="B137" s="3">
        <v>9739219.0</v>
      </c>
      <c r="C137" s="3" t="s">
        <v>847</v>
      </c>
      <c r="D137" s="3" t="s">
        <v>848</v>
      </c>
      <c r="E137" s="3" t="s">
        <v>849</v>
      </c>
      <c r="F137" s="3" t="s">
        <v>850</v>
      </c>
      <c r="G137" s="3" t="s">
        <v>611</v>
      </c>
      <c r="H137" s="3">
        <v>1998.0</v>
      </c>
      <c r="I137" s="7">
        <v>36056.0</v>
      </c>
      <c r="L137" s="3" t="s">
        <v>851</v>
      </c>
    </row>
    <row r="138" ht="14.25" customHeight="1">
      <c r="A138" s="3">
        <v>136.0</v>
      </c>
      <c r="B138" s="3">
        <v>9604192.0</v>
      </c>
      <c r="C138" s="3" t="s">
        <v>852</v>
      </c>
      <c r="D138" s="3" t="s">
        <v>853</v>
      </c>
      <c r="E138" s="3" t="s">
        <v>854</v>
      </c>
      <c r="F138" s="3" t="s">
        <v>855</v>
      </c>
      <c r="G138" s="3" t="s">
        <v>274</v>
      </c>
      <c r="H138" s="3">
        <v>1998.0</v>
      </c>
      <c r="I138" s="7">
        <v>35945.0</v>
      </c>
      <c r="L138" s="3" t="s">
        <v>856</v>
      </c>
    </row>
    <row r="139" ht="14.25" customHeight="1">
      <c r="A139" s="3">
        <v>137.0</v>
      </c>
      <c r="B139" s="3">
        <v>9604191.0</v>
      </c>
      <c r="C139" s="3" t="s">
        <v>857</v>
      </c>
      <c r="D139" s="3" t="s">
        <v>858</v>
      </c>
      <c r="E139" s="3" t="s">
        <v>859</v>
      </c>
      <c r="F139" s="3" t="s">
        <v>791</v>
      </c>
      <c r="G139" s="3" t="s">
        <v>274</v>
      </c>
      <c r="H139" s="3">
        <v>1998.0</v>
      </c>
      <c r="I139" s="7">
        <v>35945.0</v>
      </c>
      <c r="L139" s="3" t="s">
        <v>860</v>
      </c>
    </row>
    <row r="140" ht="14.25" customHeight="1">
      <c r="A140" s="3">
        <v>138.0</v>
      </c>
      <c r="B140" s="3">
        <v>9604189.0</v>
      </c>
      <c r="C140" s="3" t="s">
        <v>861</v>
      </c>
      <c r="D140" s="3" t="s">
        <v>862</v>
      </c>
      <c r="E140" s="3" t="s">
        <v>863</v>
      </c>
      <c r="F140" s="3" t="s">
        <v>864</v>
      </c>
      <c r="G140" s="3" t="s">
        <v>274</v>
      </c>
      <c r="H140" s="3">
        <v>1998.0</v>
      </c>
      <c r="I140" s="7">
        <v>35945.0</v>
      </c>
      <c r="L140" s="3" t="s">
        <v>865</v>
      </c>
    </row>
    <row r="141" ht="14.25" customHeight="1">
      <c r="A141" s="3">
        <v>139.0</v>
      </c>
      <c r="B141" s="3">
        <v>9533048.0</v>
      </c>
      <c r="C141" s="3" t="s">
        <v>866</v>
      </c>
      <c r="D141" s="3" t="s">
        <v>867</v>
      </c>
      <c r="E141" s="3" t="s">
        <v>868</v>
      </c>
      <c r="F141" s="3" t="s">
        <v>869</v>
      </c>
      <c r="G141" s="3" t="s">
        <v>870</v>
      </c>
      <c r="H141" s="3">
        <v>1998.0</v>
      </c>
      <c r="I141" s="7">
        <v>35894.0</v>
      </c>
    </row>
    <row r="142" ht="14.25" customHeight="1">
      <c r="A142" s="3">
        <v>140.0</v>
      </c>
      <c r="B142" s="3">
        <v>9520889.0</v>
      </c>
      <c r="C142" s="3" t="s">
        <v>871</v>
      </c>
      <c r="D142" s="3" t="s">
        <v>872</v>
      </c>
      <c r="E142" s="3" t="s">
        <v>873</v>
      </c>
      <c r="F142" s="3" t="s">
        <v>874</v>
      </c>
      <c r="G142" s="3" t="s">
        <v>500</v>
      </c>
      <c r="H142" s="3">
        <v>1998.0</v>
      </c>
      <c r="I142" s="7">
        <v>35886.0</v>
      </c>
    </row>
    <row r="143" ht="14.25" customHeight="1">
      <c r="A143" s="3">
        <v>141.0</v>
      </c>
      <c r="B143" s="3">
        <v>9430569.0</v>
      </c>
      <c r="C143" s="3" t="s">
        <v>875</v>
      </c>
      <c r="D143" s="3" t="s">
        <v>876</v>
      </c>
      <c r="E143" s="3" t="s">
        <v>877</v>
      </c>
      <c r="F143" s="3" t="s">
        <v>850</v>
      </c>
      <c r="G143" s="3" t="s">
        <v>274</v>
      </c>
      <c r="H143" s="3">
        <v>1997.0</v>
      </c>
      <c r="I143" s="7">
        <v>35431.0</v>
      </c>
      <c r="L143" s="3" t="s">
        <v>878</v>
      </c>
    </row>
    <row r="144" ht="14.25" customHeight="1">
      <c r="A144" s="3">
        <v>142.0</v>
      </c>
      <c r="B144" s="3">
        <v>9377970.0</v>
      </c>
      <c r="C144" s="3" t="s">
        <v>879</v>
      </c>
      <c r="D144" s="3" t="s">
        <v>880</v>
      </c>
      <c r="E144" s="3" t="s">
        <v>881</v>
      </c>
      <c r="F144" s="3" t="s">
        <v>882</v>
      </c>
      <c r="G144" s="3" t="s">
        <v>712</v>
      </c>
      <c r="H144" s="3">
        <v>1997.0</v>
      </c>
      <c r="I144" s="7">
        <v>35431.0</v>
      </c>
    </row>
    <row r="145" ht="14.25" customHeight="1">
      <c r="A145" s="3">
        <v>143.0</v>
      </c>
      <c r="B145" s="3">
        <v>9266294.0</v>
      </c>
      <c r="C145" s="3" t="s">
        <v>883</v>
      </c>
      <c r="D145" s="3" t="s">
        <v>884</v>
      </c>
      <c r="E145" s="3" t="s">
        <v>885</v>
      </c>
      <c r="F145" s="3" t="s">
        <v>886</v>
      </c>
      <c r="G145" s="3" t="s">
        <v>328</v>
      </c>
      <c r="H145" s="3">
        <v>1997.0</v>
      </c>
      <c r="I145" s="7">
        <v>35431.0</v>
      </c>
      <c r="J145" s="3" t="s">
        <v>887</v>
      </c>
      <c r="L145" s="3" t="s">
        <v>888</v>
      </c>
    </row>
    <row r="146" ht="14.25" customHeight="1">
      <c r="A146" s="3">
        <v>144.0</v>
      </c>
      <c r="B146" s="3">
        <v>9127846.0</v>
      </c>
      <c r="C146" s="3" t="s">
        <v>889</v>
      </c>
      <c r="D146" s="3" t="s">
        <v>890</v>
      </c>
      <c r="E146" s="3" t="s">
        <v>891</v>
      </c>
      <c r="F146" s="3" t="s">
        <v>892</v>
      </c>
      <c r="G146" s="3" t="s">
        <v>274</v>
      </c>
      <c r="H146" s="3">
        <v>1997.0</v>
      </c>
      <c r="I146" s="7">
        <v>35431.0</v>
      </c>
      <c r="L146" s="3" t="s">
        <v>893</v>
      </c>
    </row>
    <row r="147" ht="14.25" customHeight="1">
      <c r="A147" s="3">
        <v>145.0</v>
      </c>
      <c r="B147" s="3">
        <v>8947399.0</v>
      </c>
      <c r="C147" s="3" t="s">
        <v>894</v>
      </c>
      <c r="D147" s="3" t="s">
        <v>895</v>
      </c>
      <c r="E147" s="3" t="s">
        <v>896</v>
      </c>
      <c r="F147" s="3" t="s">
        <v>897</v>
      </c>
      <c r="G147" s="3" t="s">
        <v>167</v>
      </c>
      <c r="H147" s="3">
        <v>1996.0</v>
      </c>
      <c r="I147" s="7">
        <v>35370.0</v>
      </c>
      <c r="L147" s="3" t="s">
        <v>898</v>
      </c>
    </row>
    <row r="148" ht="14.25" customHeight="1">
      <c r="A148" s="3">
        <v>146.0</v>
      </c>
      <c r="B148" s="3">
        <v>8896099.0</v>
      </c>
      <c r="C148" s="3" t="s">
        <v>899</v>
      </c>
      <c r="D148" s="3" t="s">
        <v>900</v>
      </c>
      <c r="E148" s="3" t="s">
        <v>901</v>
      </c>
      <c r="F148" s="3" t="s">
        <v>902</v>
      </c>
      <c r="G148" s="3" t="s">
        <v>591</v>
      </c>
      <c r="H148" s="3">
        <v>1996.0</v>
      </c>
      <c r="I148" s="7">
        <v>35278.0</v>
      </c>
      <c r="L148" s="3" t="s">
        <v>903</v>
      </c>
    </row>
    <row r="149" ht="14.25" customHeight="1">
      <c r="A149" s="3">
        <v>147.0</v>
      </c>
      <c r="B149" s="3">
        <v>8775721.0</v>
      </c>
      <c r="C149" s="3" t="s">
        <v>904</v>
      </c>
      <c r="D149" s="3" t="s">
        <v>905</v>
      </c>
      <c r="E149" s="3" t="s">
        <v>906</v>
      </c>
      <c r="F149" s="3" t="s">
        <v>907</v>
      </c>
      <c r="G149" s="3" t="s">
        <v>591</v>
      </c>
      <c r="H149" s="3">
        <v>1995.0</v>
      </c>
      <c r="I149" s="7">
        <v>35034.0</v>
      </c>
      <c r="L149" s="3" t="s">
        <v>908</v>
      </c>
    </row>
    <row r="150" ht="14.25" customHeight="1">
      <c r="A150" s="3">
        <v>148.0</v>
      </c>
      <c r="B150" s="3">
        <v>8534294.0</v>
      </c>
      <c r="C150" s="3" t="s">
        <v>909</v>
      </c>
      <c r="D150" s="3" t="s">
        <v>910</v>
      </c>
      <c r="E150" s="3" t="s">
        <v>911</v>
      </c>
      <c r="F150" s="3" t="s">
        <v>379</v>
      </c>
      <c r="G150" s="3" t="s">
        <v>186</v>
      </c>
      <c r="H150" s="3">
        <v>1995.0</v>
      </c>
      <c r="I150" s="7">
        <v>34973.0</v>
      </c>
      <c r="L150" s="3" t="s">
        <v>912</v>
      </c>
    </row>
    <row r="151" ht="14.25" customHeight="1">
      <c r="A151" s="3">
        <v>149.0</v>
      </c>
      <c r="B151" s="3">
        <v>7761314.0</v>
      </c>
      <c r="C151" s="3" t="s">
        <v>913</v>
      </c>
      <c r="D151" s="3" t="s">
        <v>914</v>
      </c>
      <c r="E151" s="3" t="s">
        <v>915</v>
      </c>
      <c r="F151" s="3" t="s">
        <v>916</v>
      </c>
      <c r="G151" s="3" t="s">
        <v>917</v>
      </c>
      <c r="H151" s="3">
        <v>1995.0</v>
      </c>
      <c r="I151" s="7">
        <v>34759.0</v>
      </c>
      <c r="L151" s="3" t="s">
        <v>918</v>
      </c>
    </row>
    <row r="152" ht="14.25" customHeight="1">
      <c r="A152" s="3">
        <v>150.0</v>
      </c>
      <c r="B152" s="3">
        <v>8165955.0</v>
      </c>
      <c r="C152" s="3" t="s">
        <v>919</v>
      </c>
      <c r="D152" s="3" t="s">
        <v>920</v>
      </c>
      <c r="E152" s="3" t="s">
        <v>921</v>
      </c>
      <c r="F152" s="3" t="s">
        <v>922</v>
      </c>
      <c r="G152" s="3" t="s">
        <v>923</v>
      </c>
      <c r="H152" s="3">
        <v>1994.0</v>
      </c>
      <c r="I152" s="7">
        <v>34366.0</v>
      </c>
    </row>
    <row r="153" ht="14.25" customHeight="1">
      <c r="A153" s="3">
        <v>151.0</v>
      </c>
      <c r="B153" s="3">
        <v>8403647.0</v>
      </c>
      <c r="C153" s="3" t="s">
        <v>924</v>
      </c>
      <c r="D153" s="3" t="s">
        <v>925</v>
      </c>
      <c r="E153" s="3" t="s">
        <v>926</v>
      </c>
      <c r="F153" s="3" t="s">
        <v>927</v>
      </c>
      <c r="G153" s="3" t="s">
        <v>500</v>
      </c>
      <c r="H153" s="3">
        <v>1993.0</v>
      </c>
      <c r="I153" s="7">
        <v>34243.0</v>
      </c>
    </row>
    <row r="154" ht="14.25" customHeight="1">
      <c r="A154" s="3">
        <v>152.0</v>
      </c>
      <c r="B154" s="3">
        <v>1558237.0</v>
      </c>
      <c r="C154" s="3" t="s">
        <v>928</v>
      </c>
      <c r="D154" s="3" t="s">
        <v>929</v>
      </c>
      <c r="E154" s="3" t="s">
        <v>930</v>
      </c>
      <c r="F154" s="3" t="s">
        <v>931</v>
      </c>
      <c r="G154" s="3" t="s">
        <v>167</v>
      </c>
      <c r="H154" s="3">
        <v>1992.0</v>
      </c>
      <c r="I154" s="7">
        <v>33664.0</v>
      </c>
      <c r="L154" s="3" t="s">
        <v>932</v>
      </c>
    </row>
    <row r="155" ht="14.25" customHeight="1">
      <c r="A155" s="3">
        <v>153.0</v>
      </c>
      <c r="B155" s="3">
        <v>2009118.0</v>
      </c>
      <c r="C155" s="3" t="s">
        <v>933</v>
      </c>
      <c r="D155" s="3" t="s">
        <v>934</v>
      </c>
      <c r="E155" s="3" t="s">
        <v>935</v>
      </c>
      <c r="F155" s="3" t="s">
        <v>936</v>
      </c>
      <c r="G155" s="3" t="s">
        <v>186</v>
      </c>
      <c r="H155" s="3">
        <v>1991.0</v>
      </c>
      <c r="I155" s="7">
        <v>33239.0</v>
      </c>
      <c r="L155" s="3" t="s">
        <v>937</v>
      </c>
    </row>
    <row r="156" ht="14.25" customHeight="1">
      <c r="A156" s="3">
        <v>154.0</v>
      </c>
      <c r="B156" s="3">
        <v>2285086.0</v>
      </c>
      <c r="C156" s="3" t="s">
        <v>938</v>
      </c>
      <c r="D156" s="3" t="s">
        <v>939</v>
      </c>
      <c r="E156" s="3" t="s">
        <v>940</v>
      </c>
      <c r="F156" s="3" t="s">
        <v>941</v>
      </c>
      <c r="G156" s="3" t="s">
        <v>167</v>
      </c>
      <c r="H156" s="3">
        <v>1990.0</v>
      </c>
      <c r="I156" s="7">
        <v>33178.0</v>
      </c>
      <c r="L156" s="3" t="s">
        <v>942</v>
      </c>
    </row>
    <row r="157" ht="14.25" customHeight="1">
      <c r="A157" s="3">
        <v>155.0</v>
      </c>
      <c r="B157" s="3">
        <v>2323135.0</v>
      </c>
      <c r="C157" s="3" t="s">
        <v>943</v>
      </c>
      <c r="D157" s="3" t="s">
        <v>944</v>
      </c>
      <c r="E157" s="3" t="s">
        <v>945</v>
      </c>
      <c r="F157" s="3" t="s">
        <v>946</v>
      </c>
      <c r="G157" s="3" t="s">
        <v>500</v>
      </c>
      <c r="H157" s="3">
        <v>1990.0</v>
      </c>
      <c r="I157" s="7">
        <v>32994.0</v>
      </c>
    </row>
    <row r="158" ht="14.25" customHeight="1">
      <c r="A158" s="3">
        <v>0.0</v>
      </c>
      <c r="B158" s="3">
        <v>4.0834676E7</v>
      </c>
      <c r="C158" s="3" t="s">
        <v>947</v>
      </c>
      <c r="D158" s="3" t="s">
        <v>948</v>
      </c>
      <c r="E158" s="3" t="s">
        <v>949</v>
      </c>
      <c r="F158" s="3" t="s">
        <v>950</v>
      </c>
      <c r="G158" s="3" t="s">
        <v>180</v>
      </c>
      <c r="H158" s="3">
        <v>2025.0</v>
      </c>
      <c r="I158" s="7">
        <v>45889.0</v>
      </c>
      <c r="L158" s="3" t="s">
        <v>951</v>
      </c>
    </row>
    <row r="159" ht="14.25" customHeight="1">
      <c r="A159" s="3">
        <v>1.0</v>
      </c>
      <c r="B159" s="3">
        <v>4.0476596E7</v>
      </c>
      <c r="C159" s="3" t="s">
        <v>952</v>
      </c>
      <c r="D159" s="3" t="s">
        <v>953</v>
      </c>
      <c r="E159" s="3" t="s">
        <v>954</v>
      </c>
      <c r="F159" s="3" t="s">
        <v>955</v>
      </c>
      <c r="G159" s="3" t="s">
        <v>167</v>
      </c>
      <c r="H159" s="3">
        <v>2025.0</v>
      </c>
      <c r="I159" s="7">
        <v>45814.0</v>
      </c>
      <c r="L159" s="3" t="s">
        <v>956</v>
      </c>
    </row>
    <row r="160" ht="14.25" customHeight="1">
      <c r="A160" s="3">
        <v>2.0</v>
      </c>
      <c r="B160" s="3">
        <v>4.0351242E7</v>
      </c>
      <c r="C160" s="3" t="s">
        <v>957</v>
      </c>
      <c r="D160" s="3" t="s">
        <v>958</v>
      </c>
      <c r="E160" s="3" t="s">
        <v>959</v>
      </c>
      <c r="F160" s="3" t="s">
        <v>960</v>
      </c>
      <c r="G160" s="3" t="s">
        <v>274</v>
      </c>
      <c r="H160" s="3">
        <v>2026.0</v>
      </c>
      <c r="I160" s="7">
        <v>45789.0</v>
      </c>
      <c r="J160" s="3" t="s">
        <v>961</v>
      </c>
      <c r="L160" s="3" t="s">
        <v>962</v>
      </c>
    </row>
    <row r="161" ht="14.25" customHeight="1">
      <c r="A161" s="3">
        <v>3.0</v>
      </c>
      <c r="B161" s="3">
        <v>3.9947195E7</v>
      </c>
      <c r="C161" s="3" t="s">
        <v>963</v>
      </c>
      <c r="D161" s="3" t="s">
        <v>964</v>
      </c>
      <c r="E161" s="3" t="s">
        <v>965</v>
      </c>
      <c r="F161" s="3" t="s">
        <v>966</v>
      </c>
      <c r="G161" s="3" t="s">
        <v>967</v>
      </c>
      <c r="H161" s="3">
        <v>2025.0</v>
      </c>
      <c r="I161" s="7">
        <v>45701.0</v>
      </c>
      <c r="L161" s="3" t="s">
        <v>968</v>
      </c>
    </row>
    <row r="162" ht="14.25" customHeight="1">
      <c r="A162" s="3">
        <v>4.0</v>
      </c>
      <c r="B162" s="3">
        <v>3.9855903E7</v>
      </c>
      <c r="C162" s="3" t="s">
        <v>969</v>
      </c>
      <c r="D162" s="3" t="s">
        <v>970</v>
      </c>
      <c r="E162" s="3" t="s">
        <v>971</v>
      </c>
      <c r="F162" s="3" t="s">
        <v>972</v>
      </c>
      <c r="G162" s="3" t="s">
        <v>973</v>
      </c>
      <c r="H162" s="3">
        <v>2025.0</v>
      </c>
      <c r="I162" s="7">
        <v>45681.0</v>
      </c>
    </row>
    <row r="163" ht="14.25" customHeight="1">
      <c r="A163" s="3">
        <v>5.0</v>
      </c>
      <c r="B163" s="3">
        <v>3.9810716E7</v>
      </c>
      <c r="C163" s="3" t="s">
        <v>974</v>
      </c>
      <c r="D163" s="3" t="s">
        <v>975</v>
      </c>
      <c r="E163" s="3" t="s">
        <v>976</v>
      </c>
      <c r="F163" s="3" t="s">
        <v>977</v>
      </c>
      <c r="G163" s="3" t="s">
        <v>274</v>
      </c>
      <c r="H163" s="3">
        <v>2025.0</v>
      </c>
      <c r="I163" s="7">
        <v>45672.0</v>
      </c>
      <c r="L163" s="3" t="s">
        <v>978</v>
      </c>
    </row>
    <row r="164" ht="14.25" customHeight="1">
      <c r="A164" s="3">
        <v>6.0</v>
      </c>
      <c r="B164" s="3">
        <v>3.9714511E7</v>
      </c>
      <c r="C164" s="3" t="s">
        <v>979</v>
      </c>
      <c r="D164" s="3" t="s">
        <v>980</v>
      </c>
      <c r="E164" s="3" t="s">
        <v>981</v>
      </c>
      <c r="F164" s="3" t="s">
        <v>982</v>
      </c>
      <c r="G164" s="3" t="s">
        <v>192</v>
      </c>
      <c r="H164" s="3">
        <v>2024.0</v>
      </c>
      <c r="I164" s="7">
        <v>45649.0</v>
      </c>
      <c r="J164" s="3" t="s">
        <v>983</v>
      </c>
      <c r="L164" s="3" t="s">
        <v>984</v>
      </c>
    </row>
    <row r="165" ht="14.25" customHeight="1">
      <c r="A165" s="3">
        <v>7.0</v>
      </c>
      <c r="B165" s="3">
        <v>3.952687E7</v>
      </c>
      <c r="C165" s="3" t="s">
        <v>985</v>
      </c>
      <c r="D165" s="3" t="s">
        <v>986</v>
      </c>
      <c r="E165" s="3" t="s">
        <v>987</v>
      </c>
      <c r="F165" s="3" t="s">
        <v>988</v>
      </c>
      <c r="G165" s="3" t="s">
        <v>989</v>
      </c>
      <c r="H165" s="3">
        <v>2025.0</v>
      </c>
      <c r="I165" s="7">
        <v>45607.0</v>
      </c>
      <c r="L165" s="3" t="s">
        <v>990</v>
      </c>
    </row>
    <row r="166" ht="14.25" customHeight="1">
      <c r="A166" s="3">
        <v>8.0</v>
      </c>
      <c r="B166" s="3">
        <v>3.9343075E7</v>
      </c>
      <c r="C166" s="3" t="s">
        <v>991</v>
      </c>
      <c r="D166" s="3" t="s">
        <v>992</v>
      </c>
      <c r="E166" s="3" t="s">
        <v>993</v>
      </c>
      <c r="F166" s="3" t="s">
        <v>994</v>
      </c>
      <c r="G166" s="3" t="s">
        <v>186</v>
      </c>
      <c r="H166" s="3">
        <v>2025.0</v>
      </c>
      <c r="I166" s="7">
        <v>45564.0</v>
      </c>
      <c r="L166" s="3" t="s">
        <v>995</v>
      </c>
    </row>
    <row r="167" ht="14.25" customHeight="1">
      <c r="A167" s="3">
        <v>9.0</v>
      </c>
      <c r="B167" s="3">
        <v>3.9221503E7</v>
      </c>
      <c r="C167" s="3" t="s">
        <v>163</v>
      </c>
      <c r="D167" s="3" t="s">
        <v>164</v>
      </c>
      <c r="E167" s="3" t="s">
        <v>165</v>
      </c>
      <c r="F167" s="3" t="s">
        <v>166</v>
      </c>
      <c r="G167" s="3" t="s">
        <v>167</v>
      </c>
      <c r="H167" s="3">
        <v>2024.0</v>
      </c>
      <c r="I167" s="7">
        <v>45537.0</v>
      </c>
      <c r="L167" s="3" t="s">
        <v>168</v>
      </c>
    </row>
    <row r="168" ht="14.25" customHeight="1">
      <c r="A168" s="3">
        <v>10.0</v>
      </c>
      <c r="B168" s="3">
        <v>3.8845474E7</v>
      </c>
      <c r="C168" s="3" t="s">
        <v>996</v>
      </c>
      <c r="D168" s="3" t="s">
        <v>997</v>
      </c>
      <c r="E168" s="3" t="s">
        <v>998</v>
      </c>
      <c r="F168" s="3" t="s">
        <v>955</v>
      </c>
      <c r="G168" s="3" t="s">
        <v>167</v>
      </c>
      <c r="H168" s="3">
        <v>2024.0</v>
      </c>
      <c r="I168" s="7">
        <v>45450.0</v>
      </c>
      <c r="L168" s="3" t="s">
        <v>999</v>
      </c>
    </row>
    <row r="169" ht="14.25" customHeight="1">
      <c r="A169" s="3">
        <v>11.0</v>
      </c>
      <c r="B169" s="3">
        <v>3.8811116E7</v>
      </c>
      <c r="C169" s="3" t="s">
        <v>1000</v>
      </c>
      <c r="D169" s="3" t="s">
        <v>1001</v>
      </c>
      <c r="E169" s="3" t="s">
        <v>1002</v>
      </c>
      <c r="F169" s="3" t="s">
        <v>1003</v>
      </c>
      <c r="G169" s="3" t="s">
        <v>1004</v>
      </c>
      <c r="H169" s="3">
        <v>2024.0</v>
      </c>
      <c r="I169" s="7">
        <v>45441.0</v>
      </c>
      <c r="L169" s="3" t="s">
        <v>1005</v>
      </c>
    </row>
    <row r="170" ht="14.25" customHeight="1">
      <c r="A170" s="3">
        <v>12.0</v>
      </c>
      <c r="B170" s="3">
        <v>3.8752242E7</v>
      </c>
      <c r="C170" s="3" t="s">
        <v>1006</v>
      </c>
      <c r="D170" s="3" t="s">
        <v>1007</v>
      </c>
      <c r="E170" s="3" t="s">
        <v>1008</v>
      </c>
      <c r="F170" s="3" t="s">
        <v>1009</v>
      </c>
      <c r="G170" s="3" t="s">
        <v>1010</v>
      </c>
      <c r="H170" s="3">
        <v>2024.0</v>
      </c>
      <c r="I170" s="7">
        <v>45428.0</v>
      </c>
      <c r="J170" s="3" t="s">
        <v>1011</v>
      </c>
      <c r="L170" s="3" t="s">
        <v>1012</v>
      </c>
    </row>
    <row r="171" ht="14.25" customHeight="1">
      <c r="A171" s="3">
        <v>13.0</v>
      </c>
      <c r="B171" s="3">
        <v>3.8284303E7</v>
      </c>
      <c r="C171" s="3" t="s">
        <v>1013</v>
      </c>
      <c r="D171" s="3" t="s">
        <v>1014</v>
      </c>
      <c r="E171" s="3" t="s">
        <v>1015</v>
      </c>
      <c r="F171" s="3" t="s">
        <v>1016</v>
      </c>
      <c r="G171" s="3" t="s">
        <v>167</v>
      </c>
      <c r="H171" s="3">
        <v>2024.0</v>
      </c>
      <c r="I171" s="7">
        <v>45320.0</v>
      </c>
      <c r="J171" s="3" t="s">
        <v>1017</v>
      </c>
      <c r="L171" s="3" t="s">
        <v>1018</v>
      </c>
    </row>
    <row r="172" ht="14.25" customHeight="1">
      <c r="A172" s="3">
        <v>14.0</v>
      </c>
      <c r="B172" s="3">
        <v>3.8066516E7</v>
      </c>
      <c r="C172" s="3" t="s">
        <v>1019</v>
      </c>
      <c r="D172" s="3" t="s">
        <v>1020</v>
      </c>
      <c r="E172" s="3" t="s">
        <v>1021</v>
      </c>
      <c r="F172" s="3" t="s">
        <v>1022</v>
      </c>
      <c r="G172" s="3" t="s">
        <v>1023</v>
      </c>
      <c r="H172" s="3">
        <v>2023.0</v>
      </c>
      <c r="I172" s="7">
        <v>45269.0</v>
      </c>
      <c r="J172" s="3" t="s">
        <v>1024</v>
      </c>
      <c r="L172" s="3" t="s">
        <v>1025</v>
      </c>
    </row>
    <row r="173" ht="14.25" customHeight="1">
      <c r="A173" s="3">
        <v>15.0</v>
      </c>
      <c r="B173" s="3">
        <v>3.7923738E7</v>
      </c>
      <c r="C173" s="3" t="s">
        <v>1026</v>
      </c>
      <c r="D173" s="3" t="s">
        <v>1027</v>
      </c>
      <c r="E173" s="3" t="s">
        <v>1028</v>
      </c>
      <c r="F173" s="3" t="s">
        <v>1029</v>
      </c>
      <c r="G173" s="3" t="s">
        <v>1030</v>
      </c>
      <c r="H173" s="3">
        <v>2023.0</v>
      </c>
      <c r="I173" s="7">
        <v>45234.0</v>
      </c>
      <c r="J173" s="3" t="s">
        <v>1031</v>
      </c>
      <c r="L173" s="3" t="s">
        <v>1032</v>
      </c>
    </row>
    <row r="174" ht="14.25" customHeight="1">
      <c r="A174" s="3">
        <v>16.0</v>
      </c>
      <c r="B174" s="3">
        <v>3.7873691E7</v>
      </c>
      <c r="C174" s="3" t="s">
        <v>1033</v>
      </c>
      <c r="D174" s="3" t="s">
        <v>1034</v>
      </c>
      <c r="E174" s="3" t="s">
        <v>1035</v>
      </c>
      <c r="F174" s="3" t="s">
        <v>1036</v>
      </c>
      <c r="G174" s="3" t="s">
        <v>1037</v>
      </c>
      <c r="H174" s="3">
        <v>2022.0</v>
      </c>
      <c r="I174" s="7">
        <v>45223.0</v>
      </c>
      <c r="L174" s="3" t="s">
        <v>1038</v>
      </c>
    </row>
    <row r="175" ht="14.25" customHeight="1">
      <c r="A175" s="3">
        <v>17.0</v>
      </c>
      <c r="B175" s="3">
        <v>3.7499157E7</v>
      </c>
      <c r="C175" s="3" t="s">
        <v>1039</v>
      </c>
      <c r="D175" s="3" t="s">
        <v>1040</v>
      </c>
      <c r="E175" s="3" t="s">
        <v>1041</v>
      </c>
      <c r="F175" s="3" t="s">
        <v>1042</v>
      </c>
      <c r="G175" s="3" t="s">
        <v>1043</v>
      </c>
      <c r="H175" s="3">
        <v>2023.0</v>
      </c>
      <c r="I175" s="7">
        <v>45134.0</v>
      </c>
    </row>
    <row r="176" ht="14.25" customHeight="1">
      <c r="A176" s="3">
        <v>18.0</v>
      </c>
      <c r="B176" s="3">
        <v>3.7468645E7</v>
      </c>
      <c r="C176" s="3" t="s">
        <v>1044</v>
      </c>
      <c r="D176" s="3" t="s">
        <v>1045</v>
      </c>
      <c r="E176" s="3" t="s">
        <v>1046</v>
      </c>
      <c r="F176" s="3" t="s">
        <v>1047</v>
      </c>
      <c r="G176" s="3" t="s">
        <v>268</v>
      </c>
      <c r="H176" s="3">
        <v>2024.0</v>
      </c>
      <c r="I176" s="7">
        <v>45126.0</v>
      </c>
      <c r="L176" s="3" t="s">
        <v>1048</v>
      </c>
    </row>
    <row r="177" ht="14.25" customHeight="1">
      <c r="A177" s="3">
        <v>19.0</v>
      </c>
      <c r="B177" s="3">
        <v>3.7270112E7</v>
      </c>
      <c r="C177" s="3" t="s">
        <v>1049</v>
      </c>
      <c r="D177" s="3" t="s">
        <v>1050</v>
      </c>
      <c r="E177" s="3" t="s">
        <v>1051</v>
      </c>
      <c r="F177" s="3" t="s">
        <v>1052</v>
      </c>
      <c r="G177" s="3" t="s">
        <v>186</v>
      </c>
      <c r="H177" s="3">
        <v>2024.0</v>
      </c>
      <c r="I177" s="7">
        <v>45080.0</v>
      </c>
      <c r="L177" s="3" t="s">
        <v>1053</v>
      </c>
    </row>
    <row r="178" ht="14.25" customHeight="1">
      <c r="A178" s="3">
        <v>20.0</v>
      </c>
      <c r="B178" s="3">
        <v>3.6988698E7</v>
      </c>
      <c r="C178" s="3" t="s">
        <v>1054</v>
      </c>
      <c r="D178" s="3" t="s">
        <v>1055</v>
      </c>
      <c r="E178" s="3" t="s">
        <v>1056</v>
      </c>
      <c r="F178" s="3" t="s">
        <v>1057</v>
      </c>
      <c r="G178" s="3" t="s">
        <v>268</v>
      </c>
      <c r="H178" s="3">
        <v>2023.0</v>
      </c>
      <c r="I178" s="7">
        <v>45014.0</v>
      </c>
      <c r="L178" s="3" t="s">
        <v>1058</v>
      </c>
    </row>
    <row r="179" ht="14.25" customHeight="1">
      <c r="A179" s="3">
        <v>21.0</v>
      </c>
      <c r="B179" s="3">
        <v>3.6935576E7</v>
      </c>
      <c r="C179" s="3" t="s">
        <v>1059</v>
      </c>
      <c r="D179" s="3" t="s">
        <v>1060</v>
      </c>
      <c r="E179" s="3" t="s">
        <v>1061</v>
      </c>
      <c r="F179" s="3" t="s">
        <v>1062</v>
      </c>
      <c r="G179" s="3" t="s">
        <v>1063</v>
      </c>
      <c r="H179" s="3">
        <v>2024.0</v>
      </c>
      <c r="I179" s="7">
        <v>45005.0</v>
      </c>
      <c r="J179" s="3" t="s">
        <v>1064</v>
      </c>
      <c r="L179" s="3" t="s">
        <v>1065</v>
      </c>
    </row>
    <row r="180" ht="14.25" customHeight="1">
      <c r="A180" s="3">
        <v>22.0</v>
      </c>
      <c r="B180" s="3">
        <v>3.685628E7</v>
      </c>
      <c r="C180" s="3" t="s">
        <v>1066</v>
      </c>
      <c r="D180" s="3" t="s">
        <v>1067</v>
      </c>
      <c r="E180" s="3" t="s">
        <v>1068</v>
      </c>
      <c r="F180" s="3" t="s">
        <v>1069</v>
      </c>
      <c r="G180" s="3" t="s">
        <v>167</v>
      </c>
      <c r="H180" s="3">
        <v>2023.0</v>
      </c>
      <c r="I180" s="7">
        <v>44986.0</v>
      </c>
      <c r="L180" s="3" t="s">
        <v>1070</v>
      </c>
    </row>
    <row r="181" ht="14.25" customHeight="1">
      <c r="A181" s="3">
        <v>23.0</v>
      </c>
      <c r="B181" s="3">
        <v>3.6774971E7</v>
      </c>
      <c r="C181" s="3" t="s">
        <v>1071</v>
      </c>
      <c r="D181" s="3" t="s">
        <v>1072</v>
      </c>
      <c r="E181" s="3" t="s">
        <v>1073</v>
      </c>
      <c r="F181" s="3" t="s">
        <v>1074</v>
      </c>
      <c r="G181" s="3" t="s">
        <v>186</v>
      </c>
      <c r="H181" s="3">
        <v>2023.0</v>
      </c>
      <c r="I181" s="7">
        <v>44969.0</v>
      </c>
      <c r="L181" s="3" t="s">
        <v>1075</v>
      </c>
    </row>
    <row r="182" ht="14.25" customHeight="1">
      <c r="A182" s="3">
        <v>24.0</v>
      </c>
      <c r="B182" s="3">
        <v>3.6720663E7</v>
      </c>
      <c r="C182" s="3" t="s">
        <v>1076</v>
      </c>
      <c r="D182" s="3" t="s">
        <v>1077</v>
      </c>
      <c r="E182" s="3" t="s">
        <v>1078</v>
      </c>
      <c r="F182" s="3" t="s">
        <v>1079</v>
      </c>
      <c r="G182" s="3" t="s">
        <v>322</v>
      </c>
      <c r="H182" s="3">
        <v>2023.0</v>
      </c>
      <c r="I182" s="7">
        <v>44957.0</v>
      </c>
      <c r="L182" s="3" t="s">
        <v>1080</v>
      </c>
    </row>
    <row r="183" ht="14.25" customHeight="1">
      <c r="A183" s="3">
        <v>25.0</v>
      </c>
      <c r="B183" s="3">
        <v>3.6646169E7</v>
      </c>
      <c r="C183" s="3" t="s">
        <v>1081</v>
      </c>
      <c r="D183" s="3" t="s">
        <v>1082</v>
      </c>
      <c r="E183" s="3" t="s">
        <v>1083</v>
      </c>
      <c r="F183" s="3" t="s">
        <v>1084</v>
      </c>
      <c r="G183" s="3" t="s">
        <v>1037</v>
      </c>
      <c r="H183" s="3">
        <v>2023.0</v>
      </c>
      <c r="I183" s="7">
        <v>44942.0</v>
      </c>
      <c r="L183" s="3" t="s">
        <v>1085</v>
      </c>
    </row>
    <row r="184" ht="14.25" customHeight="1">
      <c r="A184" s="3">
        <v>26.0</v>
      </c>
      <c r="B184" s="3">
        <v>3.6260487E7</v>
      </c>
      <c r="C184" s="3" t="s">
        <v>1086</v>
      </c>
      <c r="D184" s="3" t="s">
        <v>1087</v>
      </c>
      <c r="E184" s="3" t="s">
        <v>1088</v>
      </c>
      <c r="F184" s="3" t="s">
        <v>1089</v>
      </c>
      <c r="G184" s="3" t="s">
        <v>167</v>
      </c>
      <c r="H184" s="3">
        <v>2022.0</v>
      </c>
      <c r="I184" s="7">
        <v>44853.0</v>
      </c>
      <c r="J184" s="3" t="s">
        <v>1090</v>
      </c>
      <c r="L184" s="3" t="s">
        <v>1091</v>
      </c>
    </row>
    <row r="185" ht="14.25" customHeight="1">
      <c r="A185" s="3">
        <v>27.0</v>
      </c>
      <c r="B185" s="3">
        <v>3.6190389E7</v>
      </c>
      <c r="C185" s="3" t="s">
        <v>1092</v>
      </c>
      <c r="D185" s="3" t="s">
        <v>1093</v>
      </c>
      <c r="E185" s="3" t="s">
        <v>1094</v>
      </c>
      <c r="F185" s="3" t="s">
        <v>1095</v>
      </c>
      <c r="G185" s="3" t="s">
        <v>1096</v>
      </c>
      <c r="H185" s="3">
        <v>2022.0</v>
      </c>
      <c r="I185" s="7">
        <v>44837.0</v>
      </c>
      <c r="J185" s="3" t="s">
        <v>1097</v>
      </c>
      <c r="L185" s="3" t="s">
        <v>1098</v>
      </c>
    </row>
    <row r="186" ht="14.25" customHeight="1">
      <c r="A186" s="3">
        <v>28.0</v>
      </c>
      <c r="B186" s="3">
        <v>3.6189471E7</v>
      </c>
      <c r="C186" s="3" t="s">
        <v>1099</v>
      </c>
      <c r="D186" s="3" t="s">
        <v>1100</v>
      </c>
      <c r="E186" s="3" t="s">
        <v>1101</v>
      </c>
      <c r="F186" s="3" t="s">
        <v>1102</v>
      </c>
      <c r="G186" s="3" t="s">
        <v>1037</v>
      </c>
      <c r="H186" s="3">
        <v>2022.0</v>
      </c>
      <c r="I186" s="7">
        <v>44837.0</v>
      </c>
      <c r="L186" s="3" t="s">
        <v>1103</v>
      </c>
    </row>
    <row r="187" ht="14.25" customHeight="1">
      <c r="A187" s="3">
        <v>29.0</v>
      </c>
      <c r="B187" s="3">
        <v>3.6055668E7</v>
      </c>
      <c r="C187" s="3" t="s">
        <v>1104</v>
      </c>
      <c r="D187" s="3" t="s">
        <v>1105</v>
      </c>
      <c r="E187" s="3" t="s">
        <v>1106</v>
      </c>
      <c r="F187" s="3" t="s">
        <v>1107</v>
      </c>
      <c r="G187" s="3" t="s">
        <v>1108</v>
      </c>
      <c r="H187" s="3">
        <v>2022.0</v>
      </c>
      <c r="I187" s="7">
        <v>44806.0</v>
      </c>
    </row>
    <row r="188" ht="14.25" customHeight="1">
      <c r="A188" s="3">
        <v>30.0</v>
      </c>
      <c r="B188" s="3">
        <v>3.6005281E7</v>
      </c>
      <c r="C188" s="3" t="s">
        <v>1109</v>
      </c>
      <c r="D188" s="3" t="s">
        <v>1110</v>
      </c>
      <c r="E188" s="3" t="s">
        <v>1111</v>
      </c>
      <c r="F188" s="3" t="s">
        <v>1112</v>
      </c>
      <c r="G188" s="3" t="s">
        <v>167</v>
      </c>
      <c r="H188" s="3">
        <v>2022.0</v>
      </c>
      <c r="I188" s="7">
        <v>44798.0</v>
      </c>
      <c r="J188" s="3" t="s">
        <v>1113</v>
      </c>
      <c r="L188" s="3" t="s">
        <v>1114</v>
      </c>
    </row>
    <row r="189" ht="14.25" customHeight="1">
      <c r="A189" s="3">
        <v>31.0</v>
      </c>
      <c r="B189" s="3">
        <v>3.5811663E7</v>
      </c>
      <c r="C189" s="3" t="s">
        <v>1115</v>
      </c>
      <c r="D189" s="3" t="s">
        <v>1116</v>
      </c>
      <c r="E189" s="3" t="s">
        <v>1117</v>
      </c>
      <c r="F189" s="3" t="s">
        <v>1118</v>
      </c>
      <c r="G189" s="3" t="s">
        <v>1119</v>
      </c>
      <c r="H189" s="3">
        <v>2022.0</v>
      </c>
      <c r="I189" s="7">
        <v>44753.0</v>
      </c>
      <c r="J189" s="3" t="s">
        <v>1120</v>
      </c>
      <c r="L189" s="3" t="s">
        <v>1121</v>
      </c>
    </row>
    <row r="190" ht="14.25" customHeight="1">
      <c r="A190" s="3">
        <v>32.0</v>
      </c>
      <c r="B190" s="3">
        <v>3.5507037E7</v>
      </c>
      <c r="C190" s="3" t="s">
        <v>1122</v>
      </c>
      <c r="D190" s="3" t="s">
        <v>1123</v>
      </c>
      <c r="E190" s="3" t="s">
        <v>1124</v>
      </c>
      <c r="F190" s="3" t="s">
        <v>1125</v>
      </c>
      <c r="G190" s="3" t="s">
        <v>274</v>
      </c>
      <c r="H190" s="3">
        <v>2022.0</v>
      </c>
      <c r="I190" s="7">
        <v>44685.0</v>
      </c>
      <c r="L190" s="3" t="s">
        <v>1126</v>
      </c>
    </row>
    <row r="191" ht="14.25" customHeight="1">
      <c r="A191" s="3">
        <v>33.0</v>
      </c>
      <c r="B191" s="3">
        <v>3.5075087E7</v>
      </c>
      <c r="C191" s="3" t="s">
        <v>1127</v>
      </c>
      <c r="D191" s="3" t="s">
        <v>1128</v>
      </c>
      <c r="E191" s="3" t="s">
        <v>1129</v>
      </c>
      <c r="F191" s="3" t="s">
        <v>1130</v>
      </c>
      <c r="G191" s="3" t="s">
        <v>1131</v>
      </c>
      <c r="H191" s="3">
        <v>2022.0</v>
      </c>
      <c r="I191" s="7">
        <v>44586.0</v>
      </c>
      <c r="J191" s="3" t="s">
        <v>1132</v>
      </c>
      <c r="L191" s="3" t="s">
        <v>1133</v>
      </c>
    </row>
    <row r="192" ht="14.25" customHeight="1">
      <c r="A192" s="3">
        <v>34.0</v>
      </c>
      <c r="B192" s="3">
        <v>3.5050817E7</v>
      </c>
      <c r="C192" s="3" t="s">
        <v>1134</v>
      </c>
      <c r="D192" s="3" t="s">
        <v>1135</v>
      </c>
      <c r="E192" s="3" t="s">
        <v>1136</v>
      </c>
      <c r="F192" s="3" t="s">
        <v>1137</v>
      </c>
      <c r="G192" s="3" t="s">
        <v>167</v>
      </c>
      <c r="H192" s="3">
        <v>2022.0</v>
      </c>
      <c r="I192" s="7">
        <v>44581.0</v>
      </c>
      <c r="J192" s="3" t="s">
        <v>1138</v>
      </c>
      <c r="L192" s="3" t="s">
        <v>1139</v>
      </c>
    </row>
    <row r="193" ht="14.25" customHeight="1">
      <c r="A193" s="3">
        <v>35.0</v>
      </c>
      <c r="B193" s="3">
        <v>3.4348704E7</v>
      </c>
      <c r="C193" s="3" t="s">
        <v>1140</v>
      </c>
      <c r="D193" s="3" t="s">
        <v>1141</v>
      </c>
      <c r="E193" s="3" t="s">
        <v>1142</v>
      </c>
      <c r="F193" s="3" t="s">
        <v>1143</v>
      </c>
      <c r="G193" s="3" t="s">
        <v>1144</v>
      </c>
      <c r="H193" s="3">
        <v>2021.0</v>
      </c>
      <c r="I193" s="7">
        <v>44413.0</v>
      </c>
      <c r="J193" s="3" t="s">
        <v>1145</v>
      </c>
      <c r="L193" s="3" t="s">
        <v>1146</v>
      </c>
    </row>
    <row r="194" ht="14.25" customHeight="1">
      <c r="A194" s="3">
        <v>36.0</v>
      </c>
      <c r="B194" s="3">
        <v>3.3945339E7</v>
      </c>
      <c r="C194" s="3" t="s">
        <v>194</v>
      </c>
      <c r="D194" s="3" t="s">
        <v>195</v>
      </c>
      <c r="E194" s="3" t="s">
        <v>196</v>
      </c>
      <c r="F194" s="3" t="s">
        <v>197</v>
      </c>
      <c r="G194" s="3" t="s">
        <v>167</v>
      </c>
      <c r="H194" s="3">
        <v>2021.0</v>
      </c>
      <c r="I194" s="7">
        <v>44320.0</v>
      </c>
      <c r="L194" s="3" t="s">
        <v>198</v>
      </c>
    </row>
    <row r="195" ht="14.25" customHeight="1">
      <c r="A195" s="3">
        <v>37.0</v>
      </c>
      <c r="B195" s="3">
        <v>3.3742222E7</v>
      </c>
      <c r="C195" s="3" t="s">
        <v>1147</v>
      </c>
      <c r="D195" s="3" t="s">
        <v>1148</v>
      </c>
      <c r="E195" s="3" t="s">
        <v>1149</v>
      </c>
      <c r="F195" s="3" t="s">
        <v>1150</v>
      </c>
      <c r="G195" s="3" t="s">
        <v>192</v>
      </c>
      <c r="H195" s="3">
        <v>2022.0</v>
      </c>
      <c r="I195" s="7">
        <v>44275.0</v>
      </c>
      <c r="J195" s="3" t="s">
        <v>1151</v>
      </c>
      <c r="L195" s="3" t="s">
        <v>1152</v>
      </c>
    </row>
    <row r="196" ht="14.25" customHeight="1">
      <c r="A196" s="3">
        <v>38.0</v>
      </c>
      <c r="B196" s="3">
        <v>3.3634332E7</v>
      </c>
      <c r="C196" s="3" t="s">
        <v>1153</v>
      </c>
      <c r="D196" s="3" t="s">
        <v>1154</v>
      </c>
      <c r="E196" s="3" t="s">
        <v>1155</v>
      </c>
      <c r="F196" s="3" t="s">
        <v>1156</v>
      </c>
      <c r="G196" s="3" t="s">
        <v>268</v>
      </c>
      <c r="H196" s="3">
        <v>2021.0</v>
      </c>
      <c r="I196" s="7">
        <v>44253.0</v>
      </c>
      <c r="L196" s="3" t="s">
        <v>1157</v>
      </c>
    </row>
    <row r="197" ht="14.25" customHeight="1">
      <c r="A197" s="3">
        <v>39.0</v>
      </c>
      <c r="B197" s="3">
        <v>3.3463428E7</v>
      </c>
      <c r="C197" s="3" t="s">
        <v>1158</v>
      </c>
      <c r="D197" s="3" t="s">
        <v>1159</v>
      </c>
      <c r="E197" s="3" t="s">
        <v>1160</v>
      </c>
      <c r="F197" s="3" t="s">
        <v>1161</v>
      </c>
      <c r="G197" s="3" t="s">
        <v>1162</v>
      </c>
      <c r="H197" s="3">
        <v>2021.0</v>
      </c>
      <c r="I197" s="7">
        <v>44215.0</v>
      </c>
      <c r="J197" s="3" t="s">
        <v>1163</v>
      </c>
      <c r="L197" s="3" t="s">
        <v>1164</v>
      </c>
    </row>
    <row r="198" ht="14.25" customHeight="1">
      <c r="A198" s="3">
        <v>40.0</v>
      </c>
      <c r="B198" s="3">
        <v>3.2909826E7</v>
      </c>
      <c r="C198" s="3" t="s">
        <v>1165</v>
      </c>
      <c r="D198" s="3" t="s">
        <v>1166</v>
      </c>
      <c r="E198" s="3" t="s">
        <v>1167</v>
      </c>
      <c r="F198" s="3" t="s">
        <v>1168</v>
      </c>
      <c r="G198" s="3" t="s">
        <v>167</v>
      </c>
      <c r="H198" s="3">
        <v>2020.0</v>
      </c>
      <c r="I198" s="7">
        <v>44084.0</v>
      </c>
      <c r="L198" s="3" t="s">
        <v>1169</v>
      </c>
    </row>
    <row r="199" ht="14.25" customHeight="1">
      <c r="A199" s="3">
        <v>41.0</v>
      </c>
      <c r="B199" s="3">
        <v>3.2828934E7</v>
      </c>
      <c r="C199" s="3" t="s">
        <v>1170</v>
      </c>
      <c r="D199" s="3" t="s">
        <v>1171</v>
      </c>
      <c r="E199" s="3" t="s">
        <v>1172</v>
      </c>
      <c r="F199" s="3" t="s">
        <v>1173</v>
      </c>
      <c r="G199" s="3" t="s">
        <v>186</v>
      </c>
      <c r="H199" s="3">
        <v>2021.0</v>
      </c>
      <c r="I199" s="7">
        <v>44067.0</v>
      </c>
      <c r="L199" s="3" t="s">
        <v>1174</v>
      </c>
    </row>
    <row r="200" ht="14.25" customHeight="1">
      <c r="A200" s="3">
        <v>42.0</v>
      </c>
      <c r="B200" s="3">
        <v>3.2699919E7</v>
      </c>
      <c r="C200" s="3" t="s">
        <v>1175</v>
      </c>
      <c r="D200" s="3" t="s">
        <v>1176</v>
      </c>
      <c r="E200" s="3" t="s">
        <v>1177</v>
      </c>
      <c r="F200" s="3" t="s">
        <v>1178</v>
      </c>
      <c r="G200" s="3" t="s">
        <v>274</v>
      </c>
      <c r="H200" s="3">
        <v>2020.0</v>
      </c>
      <c r="I200" s="7">
        <v>44036.0</v>
      </c>
      <c r="L200" s="3" t="s">
        <v>1179</v>
      </c>
    </row>
    <row r="201" ht="14.25" customHeight="1">
      <c r="A201" s="3">
        <v>43.0</v>
      </c>
      <c r="B201" s="3">
        <v>3.2589515E7</v>
      </c>
      <c r="C201" s="3" t="s">
        <v>1180</v>
      </c>
      <c r="D201" s="3" t="s">
        <v>1181</v>
      </c>
      <c r="E201" s="3" t="s">
        <v>1182</v>
      </c>
      <c r="F201" s="3" t="s">
        <v>1183</v>
      </c>
      <c r="G201" s="3" t="s">
        <v>1184</v>
      </c>
      <c r="H201" s="3">
        <v>2020.0</v>
      </c>
      <c r="I201" s="7">
        <v>44009.0</v>
      </c>
      <c r="J201" s="3" t="s">
        <v>1185</v>
      </c>
      <c r="L201" s="3" t="s">
        <v>1186</v>
      </c>
    </row>
    <row r="202" ht="14.25" customHeight="1">
      <c r="A202" s="3">
        <v>44.0</v>
      </c>
      <c r="B202" s="3">
        <v>3.2368935E7</v>
      </c>
      <c r="C202" s="3" t="s">
        <v>205</v>
      </c>
      <c r="D202" s="3" t="s">
        <v>206</v>
      </c>
      <c r="E202" s="3" t="s">
        <v>207</v>
      </c>
      <c r="F202" s="3" t="s">
        <v>208</v>
      </c>
      <c r="G202" s="3" t="s">
        <v>167</v>
      </c>
      <c r="H202" s="3">
        <v>2020.0</v>
      </c>
      <c r="I202" s="7">
        <v>43957.0</v>
      </c>
      <c r="L202" s="3" t="s">
        <v>209</v>
      </c>
    </row>
    <row r="203" ht="14.25" customHeight="1">
      <c r="A203" s="3">
        <v>45.0</v>
      </c>
      <c r="B203" s="3">
        <v>3.2302205E7</v>
      </c>
      <c r="C203" s="3" t="s">
        <v>1187</v>
      </c>
      <c r="D203" s="3" t="s">
        <v>1188</v>
      </c>
      <c r="E203" s="3" t="s">
        <v>1189</v>
      </c>
      <c r="F203" s="3" t="s">
        <v>1190</v>
      </c>
      <c r="G203" s="3" t="s">
        <v>167</v>
      </c>
      <c r="H203" s="3">
        <v>2020.0</v>
      </c>
      <c r="I203" s="7">
        <v>43939.0</v>
      </c>
      <c r="L203" s="3" t="s">
        <v>1191</v>
      </c>
    </row>
    <row r="204" ht="14.25" customHeight="1">
      <c r="A204" s="3">
        <v>46.0</v>
      </c>
      <c r="B204" s="3">
        <v>3.2298131E7</v>
      </c>
      <c r="C204" s="3" t="s">
        <v>210</v>
      </c>
      <c r="D204" s="3" t="s">
        <v>211</v>
      </c>
      <c r="E204" s="3" t="s">
        <v>212</v>
      </c>
      <c r="F204" s="3" t="s">
        <v>213</v>
      </c>
      <c r="G204" s="3" t="s">
        <v>167</v>
      </c>
      <c r="H204" s="3">
        <v>2020.0</v>
      </c>
      <c r="I204" s="7">
        <v>43938.0</v>
      </c>
      <c r="J204" s="3" t="s">
        <v>214</v>
      </c>
      <c r="L204" s="3" t="s">
        <v>215</v>
      </c>
    </row>
    <row r="205" ht="14.25" customHeight="1">
      <c r="A205" s="3">
        <v>47.0</v>
      </c>
      <c r="B205" s="3">
        <v>3.2182127E7</v>
      </c>
      <c r="C205" s="3" t="s">
        <v>1192</v>
      </c>
      <c r="D205" s="3" t="s">
        <v>1193</v>
      </c>
      <c r="E205" s="3" t="s">
        <v>1194</v>
      </c>
      <c r="F205" s="3" t="s">
        <v>1195</v>
      </c>
      <c r="G205" s="3" t="s">
        <v>167</v>
      </c>
      <c r="H205" s="3">
        <v>2020.0</v>
      </c>
      <c r="I205" s="7">
        <v>43908.0</v>
      </c>
      <c r="L205" s="3" t="s">
        <v>1196</v>
      </c>
    </row>
    <row r="206" ht="14.25" customHeight="1">
      <c r="A206" s="3">
        <v>48.0</v>
      </c>
      <c r="B206" s="3">
        <v>3.2125668E7</v>
      </c>
      <c r="C206" s="3" t="s">
        <v>1197</v>
      </c>
      <c r="D206" s="3" t="s">
        <v>1198</v>
      </c>
      <c r="E206" s="3" t="s">
        <v>1199</v>
      </c>
      <c r="F206" s="3" t="s">
        <v>1200</v>
      </c>
      <c r="G206" s="3" t="s">
        <v>1201</v>
      </c>
      <c r="H206" s="3">
        <v>2020.0</v>
      </c>
      <c r="I206" s="7">
        <v>43894.0</v>
      </c>
      <c r="L206" s="3" t="s">
        <v>1202</v>
      </c>
    </row>
    <row r="207" ht="14.25" customHeight="1">
      <c r="A207" s="3">
        <v>49.0</v>
      </c>
      <c r="B207" s="3">
        <v>3.2059954E7</v>
      </c>
      <c r="C207" s="3" t="s">
        <v>216</v>
      </c>
      <c r="D207" s="3" t="s">
        <v>217</v>
      </c>
      <c r="E207" s="3" t="s">
        <v>218</v>
      </c>
      <c r="F207" s="3" t="s">
        <v>219</v>
      </c>
      <c r="G207" s="3" t="s">
        <v>186</v>
      </c>
      <c r="H207" s="3">
        <v>2020.0</v>
      </c>
      <c r="I207" s="7">
        <v>43877.0</v>
      </c>
      <c r="L207" s="3" t="s">
        <v>220</v>
      </c>
    </row>
    <row r="208" ht="14.25" customHeight="1">
      <c r="A208" s="3">
        <v>50.0</v>
      </c>
      <c r="B208" s="3">
        <v>3.1967599E7</v>
      </c>
      <c r="C208" s="3" t="s">
        <v>1203</v>
      </c>
      <c r="D208" s="3" t="s">
        <v>1204</v>
      </c>
      <c r="E208" s="3" t="s">
        <v>1205</v>
      </c>
      <c r="F208" s="3" t="s">
        <v>1206</v>
      </c>
      <c r="G208" s="3" t="s">
        <v>1207</v>
      </c>
      <c r="H208" s="3">
        <v>2020.0</v>
      </c>
      <c r="I208" s="7">
        <v>43853.0</v>
      </c>
      <c r="L208" s="3" t="s">
        <v>1208</v>
      </c>
    </row>
    <row r="209" ht="14.25" customHeight="1">
      <c r="A209" s="3">
        <v>51.0</v>
      </c>
      <c r="B209" s="3">
        <v>3.1940222E7</v>
      </c>
      <c r="C209" s="3" t="s">
        <v>1209</v>
      </c>
      <c r="D209" s="3" t="s">
        <v>1210</v>
      </c>
      <c r="E209" s="3" t="s">
        <v>1211</v>
      </c>
      <c r="F209" s="3" t="s">
        <v>1003</v>
      </c>
      <c r="G209" s="3" t="s">
        <v>167</v>
      </c>
      <c r="H209" s="3">
        <v>2020.0</v>
      </c>
      <c r="I209" s="7">
        <v>43846.0</v>
      </c>
      <c r="L209" s="3" t="s">
        <v>1212</v>
      </c>
    </row>
    <row r="210" ht="14.25" customHeight="1">
      <c r="A210" s="3">
        <v>52.0</v>
      </c>
      <c r="B210" s="3">
        <v>3.1704697E7</v>
      </c>
      <c r="C210" s="3" t="s">
        <v>1213</v>
      </c>
      <c r="D210" s="3" t="s">
        <v>1214</v>
      </c>
      <c r="E210" s="3" t="s">
        <v>1215</v>
      </c>
      <c r="F210" s="3" t="s">
        <v>1216</v>
      </c>
      <c r="G210" s="3" t="s">
        <v>1217</v>
      </c>
      <c r="H210" s="3">
        <v>2020.0</v>
      </c>
      <c r="I210" s="7">
        <v>43779.0</v>
      </c>
      <c r="L210" s="3" t="s">
        <v>1218</v>
      </c>
    </row>
    <row r="211" ht="14.25" customHeight="1">
      <c r="A211" s="3">
        <v>53.0</v>
      </c>
      <c r="B211" s="3">
        <v>3.1512448E7</v>
      </c>
      <c r="C211" s="3" t="s">
        <v>1219</v>
      </c>
      <c r="D211" s="3" t="s">
        <v>1220</v>
      </c>
      <c r="E211" s="3" t="s">
        <v>1221</v>
      </c>
      <c r="F211" s="3" t="s">
        <v>1222</v>
      </c>
      <c r="G211" s="3" t="s">
        <v>1010</v>
      </c>
      <c r="H211" s="3">
        <v>2019.0</v>
      </c>
      <c r="I211" s="7">
        <v>43721.0</v>
      </c>
      <c r="J211" s="3" t="s">
        <v>1223</v>
      </c>
      <c r="L211" s="3" t="s">
        <v>1224</v>
      </c>
    </row>
    <row r="212" ht="14.25" customHeight="1">
      <c r="A212" s="3">
        <v>54.0</v>
      </c>
      <c r="B212" s="3">
        <v>3.1306589E7</v>
      </c>
      <c r="C212" s="3" t="s">
        <v>1225</v>
      </c>
      <c r="D212" s="3" t="s">
        <v>1226</v>
      </c>
      <c r="E212" s="3" t="s">
        <v>1227</v>
      </c>
      <c r="F212" s="3" t="s">
        <v>1228</v>
      </c>
      <c r="G212" s="3" t="s">
        <v>167</v>
      </c>
      <c r="H212" s="3">
        <v>2019.0</v>
      </c>
      <c r="I212" s="7">
        <v>43662.0</v>
      </c>
      <c r="L212" s="3" t="s">
        <v>1229</v>
      </c>
    </row>
    <row r="213" ht="14.25" customHeight="1">
      <c r="A213" s="3">
        <v>55.0</v>
      </c>
      <c r="B213" s="3">
        <v>3.1169571E7</v>
      </c>
      <c r="C213" s="3" t="s">
        <v>233</v>
      </c>
      <c r="D213" s="3" t="s">
        <v>234</v>
      </c>
      <c r="E213" s="3" t="s">
        <v>235</v>
      </c>
      <c r="F213" s="3" t="s">
        <v>236</v>
      </c>
      <c r="G213" s="3" t="s">
        <v>225</v>
      </c>
      <c r="H213" s="3">
        <v>2019.0</v>
      </c>
      <c r="I213" s="7">
        <v>43623.0</v>
      </c>
      <c r="L213" s="3" t="s">
        <v>237</v>
      </c>
    </row>
    <row r="214" ht="14.25" customHeight="1">
      <c r="A214" s="3">
        <v>56.0</v>
      </c>
      <c r="B214" s="3">
        <v>3.1159789E7</v>
      </c>
      <c r="C214" s="3" t="s">
        <v>1230</v>
      </c>
      <c r="D214" s="3" t="s">
        <v>1231</v>
      </c>
      <c r="E214" s="3" t="s">
        <v>1232</v>
      </c>
      <c r="F214" s="3" t="s">
        <v>1233</v>
      </c>
      <c r="G214" s="3" t="s">
        <v>1144</v>
      </c>
      <c r="H214" s="3">
        <v>2019.0</v>
      </c>
      <c r="I214" s="7">
        <v>43621.0</v>
      </c>
      <c r="J214" s="3" t="s">
        <v>1234</v>
      </c>
      <c r="L214" s="3" t="s">
        <v>1235</v>
      </c>
    </row>
    <row r="215" ht="14.25" customHeight="1">
      <c r="A215" s="3">
        <v>57.0</v>
      </c>
      <c r="B215" s="3">
        <v>3.0888448E7</v>
      </c>
      <c r="C215" s="3" t="s">
        <v>1236</v>
      </c>
      <c r="D215" s="3" t="s">
        <v>1237</v>
      </c>
      <c r="E215" s="3" t="s">
        <v>1238</v>
      </c>
      <c r="F215" s="3" t="s">
        <v>1239</v>
      </c>
      <c r="G215" s="3" t="s">
        <v>274</v>
      </c>
      <c r="H215" s="3">
        <v>2019.0</v>
      </c>
      <c r="I215" s="7">
        <v>43544.0</v>
      </c>
      <c r="L215" s="3" t="s">
        <v>1240</v>
      </c>
    </row>
    <row r="216" ht="14.25" customHeight="1">
      <c r="A216" s="3">
        <v>58.0</v>
      </c>
      <c r="B216" s="3">
        <v>3.0882683E7</v>
      </c>
      <c r="C216" s="3" t="s">
        <v>1241</v>
      </c>
      <c r="D216" s="3" t="s">
        <v>1242</v>
      </c>
      <c r="E216" s="3" t="s">
        <v>1243</v>
      </c>
      <c r="F216" s="3" t="s">
        <v>1244</v>
      </c>
      <c r="G216" s="3" t="s">
        <v>1245</v>
      </c>
      <c r="H216" s="3">
        <v>2019.0</v>
      </c>
      <c r="I216" s="7">
        <v>43543.0</v>
      </c>
      <c r="J216" s="3" t="s">
        <v>1246</v>
      </c>
      <c r="L216" s="3" t="s">
        <v>1247</v>
      </c>
    </row>
    <row r="217" ht="14.25" customHeight="1">
      <c r="A217" s="3">
        <v>59.0</v>
      </c>
      <c r="B217" s="3">
        <v>3.0822124E7</v>
      </c>
      <c r="C217" s="3" t="s">
        <v>1248</v>
      </c>
      <c r="D217" s="3" t="s">
        <v>1249</v>
      </c>
      <c r="E217" s="3" t="s">
        <v>1250</v>
      </c>
      <c r="F217" s="3" t="s">
        <v>1251</v>
      </c>
      <c r="G217" s="3" t="s">
        <v>167</v>
      </c>
      <c r="H217" s="3">
        <v>2019.0</v>
      </c>
      <c r="I217" s="7">
        <v>43526.0</v>
      </c>
      <c r="L217" s="3" t="s">
        <v>1252</v>
      </c>
    </row>
    <row r="218" ht="14.25" customHeight="1">
      <c r="A218" s="3">
        <v>60.0</v>
      </c>
      <c r="B218" s="3">
        <v>2.9959448E7</v>
      </c>
      <c r="C218" s="3" t="s">
        <v>1253</v>
      </c>
      <c r="D218" s="3" t="s">
        <v>1254</v>
      </c>
      <c r="E218" s="3" t="s">
        <v>1255</v>
      </c>
      <c r="F218" s="3" t="s">
        <v>1256</v>
      </c>
      <c r="G218" s="3" t="s">
        <v>274</v>
      </c>
      <c r="H218" s="3">
        <v>2019.0</v>
      </c>
      <c r="I218" s="7">
        <v>43282.0</v>
      </c>
      <c r="L218" s="3" t="s">
        <v>1257</v>
      </c>
    </row>
    <row r="219" ht="14.25" customHeight="1">
      <c r="A219" s="3">
        <v>61.0</v>
      </c>
      <c r="B219" s="3">
        <v>2.9937346E7</v>
      </c>
      <c r="C219" s="3" t="s">
        <v>1258</v>
      </c>
      <c r="D219" s="3" t="s">
        <v>1259</v>
      </c>
      <c r="E219" s="3" t="s">
        <v>1260</v>
      </c>
      <c r="F219" s="3" t="s">
        <v>374</v>
      </c>
      <c r="G219" s="3" t="s">
        <v>186</v>
      </c>
      <c r="H219" s="3">
        <v>2018.0</v>
      </c>
      <c r="I219" s="7">
        <v>43277.0</v>
      </c>
      <c r="L219" s="3" t="s">
        <v>1261</v>
      </c>
    </row>
    <row r="220" ht="14.25" customHeight="1">
      <c r="A220" s="3">
        <v>62.0</v>
      </c>
      <c r="B220" s="3">
        <v>2.9776815E7</v>
      </c>
      <c r="C220" s="3" t="s">
        <v>1262</v>
      </c>
      <c r="D220" s="3" t="s">
        <v>1263</v>
      </c>
      <c r="E220" s="3" t="s">
        <v>1264</v>
      </c>
      <c r="F220" s="3" t="s">
        <v>1265</v>
      </c>
      <c r="G220" s="3" t="s">
        <v>180</v>
      </c>
      <c r="H220" s="3">
        <v>2018.0</v>
      </c>
      <c r="I220" s="7">
        <v>43240.0</v>
      </c>
      <c r="L220" s="3" t="s">
        <v>1266</v>
      </c>
    </row>
    <row r="221" ht="14.25" customHeight="1">
      <c r="A221" s="3">
        <v>63.0</v>
      </c>
      <c r="B221" s="3">
        <v>2.9741911E7</v>
      </c>
      <c r="C221" s="3" t="s">
        <v>248</v>
      </c>
      <c r="D221" s="3" t="s">
        <v>249</v>
      </c>
      <c r="E221" s="3" t="s">
        <v>250</v>
      </c>
      <c r="F221" s="3" t="s">
        <v>251</v>
      </c>
      <c r="G221" s="3" t="s">
        <v>167</v>
      </c>
      <c r="H221" s="3">
        <v>2018.0</v>
      </c>
      <c r="I221" s="7">
        <v>43230.0</v>
      </c>
      <c r="L221" s="3" t="s">
        <v>252</v>
      </c>
    </row>
    <row r="222" ht="14.25" customHeight="1">
      <c r="A222" s="3">
        <v>64.0</v>
      </c>
      <c r="B222" s="3">
        <v>2.9730208E7</v>
      </c>
      <c r="C222" s="3" t="s">
        <v>1267</v>
      </c>
      <c r="D222" s="3" t="s">
        <v>1268</v>
      </c>
      <c r="E222" s="3" t="s">
        <v>1269</v>
      </c>
      <c r="F222" s="3" t="s">
        <v>1270</v>
      </c>
      <c r="G222" s="3" t="s">
        <v>186</v>
      </c>
      <c r="H222" s="3">
        <v>2018.0</v>
      </c>
      <c r="I222" s="7">
        <v>43227.0</v>
      </c>
      <c r="L222" s="3" t="s">
        <v>1271</v>
      </c>
    </row>
    <row r="223" ht="14.25" customHeight="1">
      <c r="A223" s="3">
        <v>65.0</v>
      </c>
      <c r="B223" s="3">
        <v>2.967817E7</v>
      </c>
      <c r="C223" s="3" t="s">
        <v>1272</v>
      </c>
      <c r="D223" s="3" t="s">
        <v>1273</v>
      </c>
      <c r="E223" s="3" t="s">
        <v>1274</v>
      </c>
      <c r="F223" s="3" t="s">
        <v>1275</v>
      </c>
      <c r="G223" s="3" t="s">
        <v>1144</v>
      </c>
      <c r="H223" s="3">
        <v>2018.0</v>
      </c>
      <c r="I223" s="7">
        <v>43212.0</v>
      </c>
      <c r="J223" s="3" t="s">
        <v>1276</v>
      </c>
      <c r="L223" s="3" t="s">
        <v>1277</v>
      </c>
    </row>
    <row r="224" ht="14.25" customHeight="1">
      <c r="A224" s="3">
        <v>66.0</v>
      </c>
      <c r="B224" s="3">
        <v>2.9443537E7</v>
      </c>
      <c r="C224" s="3" t="s">
        <v>1278</v>
      </c>
      <c r="D224" s="3" t="s">
        <v>1279</v>
      </c>
      <c r="E224" s="3" t="s">
        <v>1280</v>
      </c>
      <c r="F224" s="3" t="s">
        <v>1281</v>
      </c>
      <c r="G224" s="3" t="s">
        <v>167</v>
      </c>
      <c r="H224" s="3">
        <v>2018.0</v>
      </c>
      <c r="I224" s="7">
        <v>43146.0</v>
      </c>
      <c r="L224" s="3" t="s">
        <v>1282</v>
      </c>
    </row>
    <row r="225" ht="14.25" customHeight="1">
      <c r="A225" s="3">
        <v>67.0</v>
      </c>
      <c r="B225" s="3">
        <v>2.9421837E7</v>
      </c>
      <c r="C225" s="3" t="s">
        <v>1283</v>
      </c>
      <c r="D225" s="3" t="s">
        <v>1284</v>
      </c>
      <c r="E225" s="3" t="s">
        <v>1285</v>
      </c>
      <c r="F225" s="3" t="s">
        <v>1286</v>
      </c>
      <c r="G225" s="3" t="s">
        <v>380</v>
      </c>
      <c r="H225" s="3">
        <v>2018.0</v>
      </c>
      <c r="I225" s="7">
        <v>43140.0</v>
      </c>
      <c r="L225" s="3" t="s">
        <v>1287</v>
      </c>
    </row>
    <row r="226" ht="14.25" customHeight="1">
      <c r="A226" s="3">
        <v>68.0</v>
      </c>
      <c r="B226" s="3">
        <v>2.8969952E7</v>
      </c>
      <c r="C226" s="3" t="s">
        <v>1288</v>
      </c>
      <c r="D226" s="3" t="s">
        <v>1289</v>
      </c>
      <c r="E226" s="3" t="s">
        <v>1290</v>
      </c>
      <c r="F226" s="3" t="s">
        <v>1291</v>
      </c>
      <c r="G226" s="3" t="s">
        <v>186</v>
      </c>
      <c r="H226" s="3">
        <v>2017.0</v>
      </c>
      <c r="I226" s="7">
        <v>43012.0</v>
      </c>
      <c r="L226" s="3" t="s">
        <v>1292</v>
      </c>
    </row>
    <row r="227" ht="14.25" customHeight="1">
      <c r="A227" s="3">
        <v>69.0</v>
      </c>
      <c r="B227" s="3">
        <v>2.8840325E7</v>
      </c>
      <c r="C227" s="3" t="s">
        <v>1293</v>
      </c>
      <c r="D227" s="3" t="s">
        <v>1294</v>
      </c>
      <c r="E227" s="3" t="s">
        <v>1295</v>
      </c>
      <c r="F227" s="3" t="s">
        <v>1296</v>
      </c>
      <c r="G227" s="3" t="s">
        <v>192</v>
      </c>
      <c r="H227" s="3">
        <v>2017.0</v>
      </c>
      <c r="I227" s="7">
        <v>42973.0</v>
      </c>
      <c r="L227" s="3" t="s">
        <v>1297</v>
      </c>
    </row>
    <row r="228" ht="14.25" customHeight="1">
      <c r="A228" s="3">
        <v>70.0</v>
      </c>
      <c r="B228" s="3">
        <v>2.8801704E7</v>
      </c>
      <c r="C228" s="3" t="s">
        <v>1298</v>
      </c>
      <c r="D228" s="3" t="s">
        <v>1299</v>
      </c>
      <c r="E228" s="3" t="s">
        <v>1300</v>
      </c>
      <c r="F228" s="3" t="s">
        <v>1301</v>
      </c>
      <c r="G228" s="3" t="s">
        <v>274</v>
      </c>
      <c r="H228" s="3">
        <v>2018.0</v>
      </c>
      <c r="I228" s="7">
        <v>42960.0</v>
      </c>
      <c r="L228" s="3" t="s">
        <v>1302</v>
      </c>
    </row>
    <row r="229" ht="14.25" customHeight="1">
      <c r="A229" s="3">
        <v>71.0</v>
      </c>
      <c r="B229" s="3">
        <v>2.867474E7</v>
      </c>
      <c r="C229" s="3" t="s">
        <v>1303</v>
      </c>
      <c r="D229" s="3" t="s">
        <v>1304</v>
      </c>
      <c r="E229" s="3" t="s">
        <v>1305</v>
      </c>
      <c r="F229" s="3" t="s">
        <v>1306</v>
      </c>
      <c r="G229" s="3" t="s">
        <v>274</v>
      </c>
      <c r="H229" s="3">
        <v>2018.0</v>
      </c>
      <c r="I229" s="7">
        <v>42921.0</v>
      </c>
      <c r="L229" s="3" t="s">
        <v>1307</v>
      </c>
    </row>
    <row r="230" ht="14.25" customHeight="1">
      <c r="A230" s="3">
        <v>72.0</v>
      </c>
      <c r="B230" s="3">
        <v>2.8241715E7</v>
      </c>
      <c r="C230" s="3" t="s">
        <v>1308</v>
      </c>
      <c r="D230" s="3" t="s">
        <v>1309</v>
      </c>
      <c r="E230" s="3" t="s">
        <v>1310</v>
      </c>
      <c r="F230" s="3" t="s">
        <v>1311</v>
      </c>
      <c r="G230" s="3" t="s">
        <v>1312</v>
      </c>
      <c r="H230" s="3">
        <v>2017.0</v>
      </c>
      <c r="I230" s="7">
        <v>42795.0</v>
      </c>
      <c r="L230" s="3" t="s">
        <v>1313</v>
      </c>
    </row>
    <row r="231" ht="14.25" customHeight="1">
      <c r="A231" s="3">
        <v>73.0</v>
      </c>
      <c r="B231" s="3">
        <v>2.7876265E7</v>
      </c>
      <c r="C231" s="3" t="s">
        <v>1314</v>
      </c>
      <c r="D231" s="3" t="s">
        <v>1315</v>
      </c>
      <c r="E231" s="3" t="s">
        <v>1316</v>
      </c>
      <c r="F231" s="3" t="s">
        <v>1317</v>
      </c>
      <c r="G231" s="3" t="s">
        <v>180</v>
      </c>
      <c r="H231" s="3">
        <v>2016.0</v>
      </c>
      <c r="I231" s="7">
        <v>42698.0</v>
      </c>
      <c r="L231" s="3" t="s">
        <v>1318</v>
      </c>
    </row>
    <row r="232" ht="14.25" customHeight="1">
      <c r="A232" s="3">
        <v>74.0</v>
      </c>
      <c r="B232" s="3">
        <v>2.7717747E7</v>
      </c>
      <c r="C232" s="3" t="s">
        <v>253</v>
      </c>
      <c r="D232" s="3" t="s">
        <v>254</v>
      </c>
      <c r="E232" s="3" t="s">
        <v>255</v>
      </c>
      <c r="F232" s="3" t="s">
        <v>256</v>
      </c>
      <c r="G232" s="3" t="s">
        <v>257</v>
      </c>
      <c r="H232" s="3">
        <v>2016.0</v>
      </c>
      <c r="I232" s="7">
        <v>42652.0</v>
      </c>
      <c r="L232" s="3" t="s">
        <v>258</v>
      </c>
    </row>
    <row r="233" ht="14.25" customHeight="1">
      <c r="A233" s="3">
        <v>75.0</v>
      </c>
      <c r="B233" s="3">
        <v>2.7784622E7</v>
      </c>
      <c r="C233" s="3" t="s">
        <v>1319</v>
      </c>
      <c r="D233" s="3" t="s">
        <v>1320</v>
      </c>
      <c r="E233" s="3" t="s">
        <v>1321</v>
      </c>
      <c r="F233" s="3" t="s">
        <v>1322</v>
      </c>
      <c r="G233" s="3" t="s">
        <v>1323</v>
      </c>
      <c r="H233" s="3">
        <v>2016.0</v>
      </c>
      <c r="I233" s="7">
        <v>42671.0</v>
      </c>
      <c r="J233" s="3" t="s">
        <v>1324</v>
      </c>
      <c r="L233" s="3" t="s">
        <v>1325</v>
      </c>
    </row>
    <row r="234" ht="14.25" customHeight="1">
      <c r="A234" s="3">
        <v>76.0</v>
      </c>
      <c r="B234" s="3">
        <v>2.7435334E7</v>
      </c>
      <c r="C234" s="3" t="s">
        <v>1326</v>
      </c>
      <c r="D234" s="3" t="s">
        <v>1327</v>
      </c>
      <c r="E234" s="3" t="s">
        <v>1328</v>
      </c>
      <c r="F234" s="3" t="s">
        <v>1329</v>
      </c>
      <c r="G234" s="3" t="s">
        <v>192</v>
      </c>
      <c r="H234" s="3">
        <v>2016.0</v>
      </c>
      <c r="I234" s="7">
        <v>42572.0</v>
      </c>
      <c r="L234" s="3" t="s">
        <v>1330</v>
      </c>
    </row>
    <row r="235" ht="14.25" customHeight="1">
      <c r="A235" s="3">
        <v>77.0</v>
      </c>
      <c r="B235" s="3">
        <v>2.7388213E7</v>
      </c>
      <c r="C235" s="3" t="s">
        <v>1331</v>
      </c>
      <c r="D235" s="3" t="s">
        <v>1332</v>
      </c>
      <c r="E235" s="3" t="s">
        <v>1333</v>
      </c>
      <c r="F235" s="3" t="s">
        <v>1334</v>
      </c>
      <c r="G235" s="3" t="s">
        <v>268</v>
      </c>
      <c r="H235" s="3">
        <v>2016.0</v>
      </c>
      <c r="I235" s="7">
        <v>42560.0</v>
      </c>
      <c r="L235" s="3" t="s">
        <v>1335</v>
      </c>
    </row>
    <row r="236" ht="14.25" customHeight="1">
      <c r="A236" s="3">
        <v>78.0</v>
      </c>
      <c r="B236" s="3">
        <v>2.737694E7</v>
      </c>
      <c r="C236" s="3" t="s">
        <v>264</v>
      </c>
      <c r="D236" s="3" t="s">
        <v>265</v>
      </c>
      <c r="E236" s="3" t="s">
        <v>266</v>
      </c>
      <c r="F236" s="3" t="s">
        <v>267</v>
      </c>
      <c r="G236" s="3" t="s">
        <v>268</v>
      </c>
      <c r="H236" s="3">
        <v>2016.0</v>
      </c>
      <c r="I236" s="7">
        <v>42556.0</v>
      </c>
      <c r="L236" s="3" t="s">
        <v>269</v>
      </c>
    </row>
    <row r="237" ht="14.25" customHeight="1">
      <c r="A237" s="3">
        <v>79.0</v>
      </c>
      <c r="B237" s="3">
        <v>2.7343215E7</v>
      </c>
      <c r="C237" s="3" t="s">
        <v>1336</v>
      </c>
      <c r="D237" s="3" t="s">
        <v>1337</v>
      </c>
      <c r="E237" s="3" t="s">
        <v>1338</v>
      </c>
      <c r="F237" s="3" t="s">
        <v>1339</v>
      </c>
      <c r="G237" s="3" t="s">
        <v>167</v>
      </c>
      <c r="H237" s="3">
        <v>2016.0</v>
      </c>
      <c r="I237" s="7">
        <v>42547.0</v>
      </c>
      <c r="L237" s="3" t="s">
        <v>1340</v>
      </c>
    </row>
    <row r="238" ht="14.25" customHeight="1">
      <c r="A238" s="3">
        <v>80.0</v>
      </c>
      <c r="B238" s="3">
        <v>2.7229354E7</v>
      </c>
      <c r="C238" s="3" t="s">
        <v>276</v>
      </c>
      <c r="D238" s="3" t="s">
        <v>277</v>
      </c>
      <c r="E238" s="3" t="s">
        <v>278</v>
      </c>
      <c r="F238" s="3" t="s">
        <v>279</v>
      </c>
      <c r="G238" s="3" t="s">
        <v>167</v>
      </c>
      <c r="H238" s="3">
        <v>2016.0</v>
      </c>
      <c r="I238" s="7">
        <v>42518.0</v>
      </c>
      <c r="L238" s="3" t="s">
        <v>280</v>
      </c>
    </row>
    <row r="239" ht="14.25" customHeight="1">
      <c r="A239" s="3">
        <v>81.0</v>
      </c>
      <c r="B239" s="3">
        <v>2.7159308E7</v>
      </c>
      <c r="C239" s="3" t="s">
        <v>281</v>
      </c>
      <c r="D239" s="3" t="s">
        <v>282</v>
      </c>
      <c r="E239" s="3" t="s">
        <v>283</v>
      </c>
      <c r="F239" s="3" t="s">
        <v>284</v>
      </c>
      <c r="G239" s="3" t="s">
        <v>167</v>
      </c>
      <c r="H239" s="3">
        <v>2016.0</v>
      </c>
      <c r="I239" s="7">
        <v>42500.0</v>
      </c>
      <c r="J239" s="3" t="s">
        <v>285</v>
      </c>
      <c r="K239" s="3" t="s">
        <v>286</v>
      </c>
      <c r="L239" s="3" t="s">
        <v>287</v>
      </c>
    </row>
    <row r="240" ht="14.25" customHeight="1">
      <c r="A240" s="3">
        <v>82.0</v>
      </c>
      <c r="B240" s="3">
        <v>2.712019E7</v>
      </c>
      <c r="C240" s="3" t="s">
        <v>1341</v>
      </c>
      <c r="D240" s="3" t="s">
        <v>1342</v>
      </c>
      <c r="E240" s="3" t="s">
        <v>1343</v>
      </c>
      <c r="F240" s="3" t="s">
        <v>1344</v>
      </c>
      <c r="G240" s="3" t="s">
        <v>274</v>
      </c>
      <c r="H240" s="3">
        <v>2017.0</v>
      </c>
      <c r="I240" s="7">
        <v>42488.0</v>
      </c>
      <c r="L240" s="3" t="s">
        <v>1345</v>
      </c>
    </row>
    <row r="241" ht="14.25" customHeight="1">
      <c r="A241" s="3">
        <v>83.0</v>
      </c>
      <c r="B241" s="3">
        <v>2.6980844E7</v>
      </c>
      <c r="C241" s="3" t="s">
        <v>1346</v>
      </c>
      <c r="D241" s="3" t="s">
        <v>1347</v>
      </c>
      <c r="E241" s="3" t="s">
        <v>1348</v>
      </c>
      <c r="F241" s="3" t="s">
        <v>1349</v>
      </c>
      <c r="G241" s="3" t="s">
        <v>167</v>
      </c>
      <c r="H241" s="3">
        <v>2016.0</v>
      </c>
      <c r="I241" s="7">
        <v>42446.0</v>
      </c>
      <c r="L241" s="3" t="s">
        <v>1350</v>
      </c>
    </row>
    <row r="242" ht="14.25" customHeight="1">
      <c r="A242" s="3">
        <v>84.0</v>
      </c>
      <c r="B242" s="3">
        <v>2.6948548E7</v>
      </c>
      <c r="C242" s="3" t="s">
        <v>1351</v>
      </c>
      <c r="D242" s="3" t="s">
        <v>1352</v>
      </c>
      <c r="E242" s="3" t="s">
        <v>1353</v>
      </c>
      <c r="F242" s="3" t="s">
        <v>1354</v>
      </c>
      <c r="G242" s="3" t="s">
        <v>167</v>
      </c>
      <c r="H242" s="3">
        <v>2016.0</v>
      </c>
      <c r="I242" s="7">
        <v>42437.0</v>
      </c>
      <c r="L242" s="3" t="s">
        <v>1355</v>
      </c>
    </row>
    <row r="243" ht="14.25" customHeight="1">
      <c r="A243" s="3">
        <v>85.0</v>
      </c>
      <c r="B243" s="3">
        <v>2.6838934E7</v>
      </c>
      <c r="C243" s="3" t="s">
        <v>288</v>
      </c>
      <c r="D243" s="3" t="s">
        <v>289</v>
      </c>
      <c r="E243" s="3" t="s">
        <v>290</v>
      </c>
      <c r="F243" s="3" t="s">
        <v>291</v>
      </c>
      <c r="G243" s="3" t="s">
        <v>167</v>
      </c>
      <c r="H243" s="3">
        <v>2016.0</v>
      </c>
      <c r="I243" s="7">
        <v>42404.0</v>
      </c>
      <c r="L243" s="3" t="s">
        <v>292</v>
      </c>
    </row>
    <row r="244" ht="14.25" customHeight="1">
      <c r="A244" s="3">
        <v>86.0</v>
      </c>
      <c r="B244" s="3">
        <v>2.672505E7</v>
      </c>
      <c r="C244" s="3" t="s">
        <v>293</v>
      </c>
      <c r="D244" s="3" t="s">
        <v>294</v>
      </c>
      <c r="E244" s="3" t="s">
        <v>295</v>
      </c>
      <c r="F244" s="3" t="s">
        <v>296</v>
      </c>
      <c r="G244" s="3" t="s">
        <v>192</v>
      </c>
      <c r="H244" s="3">
        <v>2016.0</v>
      </c>
      <c r="I244" s="7">
        <v>42373.0</v>
      </c>
      <c r="L244" s="3" t="s">
        <v>297</v>
      </c>
    </row>
    <row r="245" ht="14.25" customHeight="1">
      <c r="A245" s="3">
        <v>87.0</v>
      </c>
      <c r="B245" s="3">
        <v>2.8327683E7</v>
      </c>
      <c r="C245" s="3" t="s">
        <v>1356</v>
      </c>
      <c r="D245" s="3" t="s">
        <v>1357</v>
      </c>
      <c r="E245" s="3" t="s">
        <v>1358</v>
      </c>
      <c r="F245" s="3" t="s">
        <v>1359</v>
      </c>
      <c r="G245" s="3" t="s">
        <v>1360</v>
      </c>
      <c r="H245" s="3">
        <v>2016.0</v>
      </c>
      <c r="I245" s="7">
        <v>42817.0</v>
      </c>
    </row>
    <row r="246" ht="14.25" customHeight="1">
      <c r="A246" s="3">
        <v>88.0</v>
      </c>
      <c r="B246" s="3">
        <v>2.6578718E7</v>
      </c>
      <c r="C246" s="3" t="s">
        <v>298</v>
      </c>
      <c r="D246" s="3" t="s">
        <v>299</v>
      </c>
      <c r="E246" s="3" t="s">
        <v>300</v>
      </c>
      <c r="F246" s="3" t="s">
        <v>301</v>
      </c>
      <c r="G246" s="3" t="s">
        <v>167</v>
      </c>
      <c r="H246" s="3">
        <v>2016.0</v>
      </c>
      <c r="I246" s="7">
        <v>42327.0</v>
      </c>
      <c r="L246" s="3" t="s">
        <v>302</v>
      </c>
    </row>
    <row r="247" ht="14.25" customHeight="1">
      <c r="A247" s="3">
        <v>89.0</v>
      </c>
      <c r="B247" s="3">
        <v>2.6321112E7</v>
      </c>
      <c r="C247" s="3" t="s">
        <v>1361</v>
      </c>
      <c r="D247" s="3" t="s">
        <v>1362</v>
      </c>
      <c r="E247" s="3" t="s">
        <v>1363</v>
      </c>
      <c r="F247" s="3" t="s">
        <v>374</v>
      </c>
      <c r="G247" s="3" t="s">
        <v>186</v>
      </c>
      <c r="H247" s="3">
        <v>2016.0</v>
      </c>
      <c r="I247" s="7">
        <v>42248.0</v>
      </c>
      <c r="L247" s="3" t="s">
        <v>1364</v>
      </c>
    </row>
    <row r="248" ht="14.25" customHeight="1">
      <c r="A248" s="3">
        <v>90.0</v>
      </c>
      <c r="B248" s="3">
        <v>2.6231151E7</v>
      </c>
      <c r="C248" s="3" t="s">
        <v>1365</v>
      </c>
      <c r="D248" s="3" t="s">
        <v>1366</v>
      </c>
      <c r="E248" s="3" t="s">
        <v>1367</v>
      </c>
      <c r="F248" s="3" t="s">
        <v>1368</v>
      </c>
      <c r="G248" s="3" t="s">
        <v>274</v>
      </c>
      <c r="H248" s="3">
        <v>2017.0</v>
      </c>
      <c r="I248" s="7">
        <v>42218.0</v>
      </c>
      <c r="L248" s="3" t="s">
        <v>1369</v>
      </c>
    </row>
    <row r="249" ht="14.25" customHeight="1">
      <c r="A249" s="3">
        <v>91.0</v>
      </c>
      <c r="B249" s="3">
        <v>2.6164058E7</v>
      </c>
      <c r="C249" s="3" t="s">
        <v>303</v>
      </c>
      <c r="D249" s="3" t="s">
        <v>304</v>
      </c>
      <c r="E249" s="3" t="s">
        <v>305</v>
      </c>
      <c r="F249" s="3" t="s">
        <v>306</v>
      </c>
      <c r="G249" s="3" t="s">
        <v>307</v>
      </c>
      <c r="H249" s="3">
        <v>2016.0</v>
      </c>
      <c r="I249" s="7">
        <v>42198.0</v>
      </c>
      <c r="L249" s="3" t="s">
        <v>308</v>
      </c>
    </row>
    <row r="250" ht="14.25" customHeight="1">
      <c r="A250" s="3">
        <v>92.0</v>
      </c>
      <c r="B250" s="3">
        <v>2.6109611E7</v>
      </c>
      <c r="C250" s="3" t="s">
        <v>1370</v>
      </c>
      <c r="D250" s="3" t="s">
        <v>1371</v>
      </c>
      <c r="E250" s="3" t="s">
        <v>1372</v>
      </c>
      <c r="F250" s="3" t="s">
        <v>1373</v>
      </c>
      <c r="G250" s="3" t="s">
        <v>167</v>
      </c>
      <c r="H250" s="3">
        <v>2015.0</v>
      </c>
      <c r="I250" s="7">
        <v>42181.0</v>
      </c>
      <c r="L250" s="3" t="s">
        <v>1374</v>
      </c>
    </row>
    <row r="251" ht="14.25" customHeight="1">
      <c r="A251" s="3">
        <v>93.0</v>
      </c>
      <c r="B251" s="3">
        <v>2.6051483E7</v>
      </c>
      <c r="C251" s="3" t="s">
        <v>1375</v>
      </c>
      <c r="D251" s="3" t="s">
        <v>1376</v>
      </c>
      <c r="E251" s="3" t="s">
        <v>1377</v>
      </c>
      <c r="F251" s="3" t="s">
        <v>1378</v>
      </c>
      <c r="G251" s="3" t="s">
        <v>180</v>
      </c>
      <c r="H251" s="3">
        <v>2015.0</v>
      </c>
      <c r="I251" s="7">
        <v>42164.0</v>
      </c>
      <c r="L251" s="3" t="s">
        <v>1379</v>
      </c>
    </row>
    <row r="252" ht="14.25" customHeight="1">
      <c r="A252" s="3">
        <v>94.0</v>
      </c>
      <c r="B252" s="3">
        <v>2.58545E7</v>
      </c>
      <c r="C252" s="3" t="s">
        <v>1380</v>
      </c>
      <c r="D252" s="3" t="s">
        <v>1381</v>
      </c>
      <c r="E252" s="3" t="s">
        <v>1382</v>
      </c>
      <c r="F252" s="3" t="s">
        <v>1383</v>
      </c>
      <c r="G252" s="3" t="s">
        <v>274</v>
      </c>
      <c r="H252" s="3">
        <v>2016.0</v>
      </c>
      <c r="I252" s="7">
        <v>42104.0</v>
      </c>
      <c r="L252" s="3" t="s">
        <v>1384</v>
      </c>
    </row>
    <row r="253" ht="14.25" customHeight="1">
      <c r="A253" s="3">
        <v>95.0</v>
      </c>
      <c r="B253" s="3">
        <v>2.574943E7</v>
      </c>
      <c r="C253" s="3" t="s">
        <v>1385</v>
      </c>
      <c r="D253" s="3" t="s">
        <v>1386</v>
      </c>
      <c r="E253" s="3" t="s">
        <v>1387</v>
      </c>
      <c r="F253" s="3" t="s">
        <v>1388</v>
      </c>
      <c r="G253" s="3" t="s">
        <v>1389</v>
      </c>
      <c r="H253" s="3">
        <v>2015.0</v>
      </c>
      <c r="I253" s="7">
        <v>42073.0</v>
      </c>
      <c r="L253" s="3" t="s">
        <v>1390</v>
      </c>
    </row>
    <row r="254" ht="14.25" customHeight="1">
      <c r="A254" s="3">
        <v>96.0</v>
      </c>
      <c r="B254" s="3">
        <v>2.5646363E7</v>
      </c>
      <c r="C254" s="3" t="s">
        <v>1391</v>
      </c>
      <c r="D254" s="3" t="s">
        <v>1392</v>
      </c>
      <c r="E254" s="3" t="s">
        <v>1393</v>
      </c>
      <c r="F254" s="3" t="s">
        <v>1394</v>
      </c>
      <c r="G254" s="3" t="s">
        <v>167</v>
      </c>
      <c r="H254" s="3">
        <v>2015.0</v>
      </c>
      <c r="I254" s="7">
        <v>42039.0</v>
      </c>
      <c r="L254" s="3" t="s">
        <v>1395</v>
      </c>
    </row>
    <row r="255" ht="14.25" customHeight="1">
      <c r="A255" s="3">
        <v>97.0</v>
      </c>
      <c r="B255" s="3">
        <v>2.5630275E7</v>
      </c>
      <c r="C255" s="3" t="s">
        <v>1396</v>
      </c>
      <c r="D255" s="3" t="s">
        <v>1397</v>
      </c>
      <c r="E255" s="3" t="s">
        <v>1398</v>
      </c>
      <c r="F255" s="3" t="s">
        <v>1399</v>
      </c>
      <c r="G255" s="3" t="s">
        <v>274</v>
      </c>
      <c r="H255" s="3">
        <v>2016.0</v>
      </c>
      <c r="I255" s="7">
        <v>42034.0</v>
      </c>
      <c r="L255" s="3" t="s">
        <v>1400</v>
      </c>
    </row>
    <row r="256" ht="14.25" customHeight="1">
      <c r="A256" s="3">
        <v>98.0</v>
      </c>
      <c r="B256" s="3">
        <v>2.5514139E7</v>
      </c>
      <c r="C256" s="3" t="s">
        <v>314</v>
      </c>
      <c r="D256" s="3" t="s">
        <v>315</v>
      </c>
      <c r="E256" s="3" t="s">
        <v>316</v>
      </c>
      <c r="F256" s="3" t="s">
        <v>306</v>
      </c>
      <c r="G256" s="3" t="s">
        <v>307</v>
      </c>
      <c r="H256" s="3">
        <v>2015.0</v>
      </c>
      <c r="I256" s="7">
        <v>41990.0</v>
      </c>
      <c r="L256" s="3" t="s">
        <v>317</v>
      </c>
    </row>
    <row r="257" ht="14.25" customHeight="1">
      <c r="A257" s="3">
        <v>99.0</v>
      </c>
      <c r="B257" s="3">
        <v>2.5381471E7</v>
      </c>
      <c r="C257" s="3" t="s">
        <v>1401</v>
      </c>
      <c r="D257" s="3" t="s">
        <v>1402</v>
      </c>
      <c r="E257" s="3" t="s">
        <v>1403</v>
      </c>
      <c r="F257" s="3" t="s">
        <v>1029</v>
      </c>
      <c r="G257" s="3" t="s">
        <v>192</v>
      </c>
      <c r="H257" s="3">
        <v>2015.0</v>
      </c>
      <c r="I257" s="7">
        <v>41953.0</v>
      </c>
      <c r="L257" s="3" t="s">
        <v>1404</v>
      </c>
    </row>
    <row r="258" ht="14.25" customHeight="1">
      <c r="A258" s="3">
        <v>100.0</v>
      </c>
      <c r="B258" s="3">
        <v>2.5349264E7</v>
      </c>
      <c r="C258" s="3" t="s">
        <v>1405</v>
      </c>
      <c r="D258" s="3" t="s">
        <v>1406</v>
      </c>
      <c r="E258" s="3" t="s">
        <v>1407</v>
      </c>
      <c r="F258" s="3" t="s">
        <v>616</v>
      </c>
      <c r="G258" s="3" t="s">
        <v>167</v>
      </c>
      <c r="H258" s="3">
        <v>2015.0</v>
      </c>
      <c r="I258" s="7">
        <v>41941.0</v>
      </c>
      <c r="L258" s="3" t="s">
        <v>1408</v>
      </c>
    </row>
    <row r="259" ht="14.25" customHeight="1">
      <c r="A259" s="3">
        <v>101.0</v>
      </c>
      <c r="B259" s="3">
        <v>2.5242512E7</v>
      </c>
      <c r="C259" s="3" t="s">
        <v>1409</v>
      </c>
      <c r="D259" s="3" t="s">
        <v>1392</v>
      </c>
      <c r="E259" s="3" t="s">
        <v>1410</v>
      </c>
      <c r="F259" s="3" t="s">
        <v>1394</v>
      </c>
      <c r="G259" s="3" t="s">
        <v>186</v>
      </c>
      <c r="H259" s="3">
        <v>2015.0</v>
      </c>
      <c r="I259" s="7">
        <v>41905.0</v>
      </c>
      <c r="L259" s="3" t="s">
        <v>1411</v>
      </c>
    </row>
    <row r="260" ht="14.25" customHeight="1">
      <c r="A260" s="3">
        <v>102.0</v>
      </c>
      <c r="B260" s="3">
        <v>2.5192689E7</v>
      </c>
      <c r="C260" s="3" t="s">
        <v>324</v>
      </c>
      <c r="D260" s="3" t="s">
        <v>325</v>
      </c>
      <c r="E260" s="3" t="s">
        <v>326</v>
      </c>
      <c r="F260" s="3" t="s">
        <v>327</v>
      </c>
      <c r="G260" s="3" t="s">
        <v>328</v>
      </c>
      <c r="H260" s="3">
        <v>2015.0</v>
      </c>
      <c r="I260" s="7">
        <v>41889.0</v>
      </c>
      <c r="L260" s="3" t="s">
        <v>329</v>
      </c>
    </row>
    <row r="261" ht="14.25" customHeight="1">
      <c r="A261" s="3">
        <v>103.0</v>
      </c>
      <c r="B261" s="3">
        <v>2.5128968E7</v>
      </c>
      <c r="C261" s="3" t="s">
        <v>330</v>
      </c>
      <c r="D261" s="3" t="s">
        <v>331</v>
      </c>
      <c r="E261" s="3" t="s">
        <v>332</v>
      </c>
      <c r="F261" s="3" t="s">
        <v>333</v>
      </c>
      <c r="G261" s="3" t="s">
        <v>328</v>
      </c>
      <c r="H261" s="3">
        <v>2015.0</v>
      </c>
      <c r="I261" s="7">
        <v>41869.0</v>
      </c>
      <c r="L261" s="3" t="s">
        <v>334</v>
      </c>
    </row>
    <row r="262" ht="14.25" customHeight="1">
      <c r="A262" s="3">
        <v>104.0</v>
      </c>
      <c r="B262" s="3">
        <v>2.4901918E7</v>
      </c>
      <c r="C262" s="3" t="s">
        <v>1412</v>
      </c>
      <c r="D262" s="3" t="s">
        <v>1413</v>
      </c>
      <c r="E262" s="3" t="s">
        <v>1414</v>
      </c>
      <c r="F262" s="3" t="s">
        <v>1415</v>
      </c>
      <c r="G262" s="3" t="s">
        <v>1323</v>
      </c>
      <c r="H262" s="3">
        <v>2014.0</v>
      </c>
      <c r="I262" s="7">
        <v>41796.0</v>
      </c>
      <c r="L262" s="3" t="s">
        <v>1416</v>
      </c>
    </row>
    <row r="263" ht="14.25" customHeight="1">
      <c r="A263" s="3">
        <v>105.0</v>
      </c>
      <c r="B263" s="3">
        <v>2.4825597E7</v>
      </c>
      <c r="C263" s="3" t="s">
        <v>335</v>
      </c>
      <c r="D263" s="3" t="s">
        <v>336</v>
      </c>
      <c r="E263" s="3" t="s">
        <v>337</v>
      </c>
      <c r="F263" s="3" t="s">
        <v>338</v>
      </c>
      <c r="G263" s="3" t="s">
        <v>339</v>
      </c>
      <c r="H263" s="3">
        <v>2014.0</v>
      </c>
      <c r="I263" s="7">
        <v>41774.0</v>
      </c>
      <c r="L263" s="3" t="s">
        <v>340</v>
      </c>
    </row>
    <row r="264" ht="14.25" customHeight="1">
      <c r="A264" s="3">
        <v>106.0</v>
      </c>
      <c r="B264" s="3">
        <v>2.4755056E7</v>
      </c>
      <c r="C264" s="3" t="s">
        <v>1417</v>
      </c>
      <c r="D264" s="3" t="s">
        <v>1418</v>
      </c>
      <c r="E264" s="3" t="s">
        <v>1419</v>
      </c>
      <c r="F264" s="3" t="s">
        <v>1420</v>
      </c>
      <c r="G264" s="3" t="s">
        <v>1108</v>
      </c>
      <c r="H264" s="3">
        <v>2014.0</v>
      </c>
      <c r="I264" s="7">
        <v>41753.0</v>
      </c>
    </row>
    <row r="265" ht="14.25" customHeight="1">
      <c r="A265" s="3">
        <v>107.0</v>
      </c>
      <c r="B265" s="3">
        <v>2.4644301E7</v>
      </c>
      <c r="C265" s="3" t="s">
        <v>346</v>
      </c>
      <c r="D265" s="3" t="s">
        <v>347</v>
      </c>
      <c r="E265" s="3" t="s">
        <v>348</v>
      </c>
      <c r="F265" s="3" t="s">
        <v>349</v>
      </c>
      <c r="G265" s="3" t="s">
        <v>167</v>
      </c>
      <c r="H265" s="3">
        <v>2014.0</v>
      </c>
      <c r="I265" s="7">
        <v>41718.0</v>
      </c>
      <c r="L265" s="3" t="s">
        <v>350</v>
      </c>
    </row>
    <row r="266" ht="14.25" customHeight="1">
      <c r="A266" s="3">
        <v>108.0</v>
      </c>
      <c r="B266" s="3">
        <v>2.4582053E7</v>
      </c>
      <c r="C266" s="3" t="s">
        <v>1421</v>
      </c>
      <c r="D266" s="3" t="s">
        <v>1422</v>
      </c>
      <c r="E266" s="3" t="s">
        <v>1423</v>
      </c>
      <c r="F266" s="3" t="s">
        <v>1424</v>
      </c>
      <c r="G266" s="3" t="s">
        <v>186</v>
      </c>
      <c r="H266" s="3">
        <v>2014.0</v>
      </c>
      <c r="I266" s="7">
        <v>41702.0</v>
      </c>
      <c r="L266" s="3" t="s">
        <v>1425</v>
      </c>
    </row>
    <row r="267" ht="14.25" customHeight="1">
      <c r="A267" s="3">
        <v>109.0</v>
      </c>
      <c r="B267" s="3">
        <v>2.456035E7</v>
      </c>
      <c r="C267" s="3" t="s">
        <v>1426</v>
      </c>
      <c r="D267" s="3" t="s">
        <v>1427</v>
      </c>
      <c r="E267" s="3" t="s">
        <v>1428</v>
      </c>
      <c r="F267" s="3" t="s">
        <v>1429</v>
      </c>
      <c r="G267" s="3" t="s">
        <v>1430</v>
      </c>
      <c r="H267" s="3">
        <v>2014.0</v>
      </c>
      <c r="I267" s="7">
        <v>41695.0</v>
      </c>
      <c r="L267" s="3" t="s">
        <v>1431</v>
      </c>
    </row>
    <row r="268" ht="14.25" customHeight="1">
      <c r="A268" s="3">
        <v>110.0</v>
      </c>
      <c r="B268" s="3">
        <v>2.4531357E7</v>
      </c>
      <c r="C268" s="3" t="s">
        <v>1432</v>
      </c>
      <c r="D268" s="3" t="s">
        <v>1433</v>
      </c>
      <c r="E268" s="3" t="s">
        <v>1434</v>
      </c>
      <c r="F268" s="3" t="s">
        <v>1435</v>
      </c>
      <c r="G268" s="3" t="s">
        <v>274</v>
      </c>
      <c r="H268" s="3">
        <v>2015.0</v>
      </c>
      <c r="I268" s="7">
        <v>41688.0</v>
      </c>
      <c r="L268" s="3" t="s">
        <v>1436</v>
      </c>
    </row>
    <row r="269" ht="14.25" customHeight="1">
      <c r="A269" s="3">
        <v>111.0</v>
      </c>
      <c r="B269" s="3">
        <v>2.4005332E7</v>
      </c>
      <c r="C269" s="3" t="s">
        <v>1437</v>
      </c>
      <c r="D269" s="3" t="s">
        <v>1438</v>
      </c>
      <c r="E269" s="3" t="s">
        <v>1439</v>
      </c>
      <c r="F269" s="3" t="s">
        <v>396</v>
      </c>
      <c r="G269" s="3" t="s">
        <v>274</v>
      </c>
      <c r="H269" s="3">
        <v>2014.0</v>
      </c>
      <c r="I269" s="7">
        <v>41523.0</v>
      </c>
      <c r="L269" s="3" t="s">
        <v>1440</v>
      </c>
    </row>
    <row r="270" ht="14.25" customHeight="1">
      <c r="A270" s="3">
        <v>112.0</v>
      </c>
      <c r="B270" s="3">
        <v>2.4001575E7</v>
      </c>
      <c r="C270" s="3" t="s">
        <v>356</v>
      </c>
      <c r="D270" s="3" t="s">
        <v>357</v>
      </c>
      <c r="E270" s="3" t="s">
        <v>358</v>
      </c>
      <c r="F270" s="3" t="s">
        <v>359</v>
      </c>
      <c r="G270" s="3" t="s">
        <v>167</v>
      </c>
      <c r="H270" s="3">
        <v>2013.0</v>
      </c>
      <c r="I270" s="7">
        <v>41522.0</v>
      </c>
      <c r="L270" s="3" t="s">
        <v>360</v>
      </c>
    </row>
    <row r="271" ht="14.25" customHeight="1">
      <c r="A271" s="3">
        <v>113.0</v>
      </c>
      <c r="B271" s="3">
        <v>2.3949133E7</v>
      </c>
      <c r="C271" s="3" t="s">
        <v>1441</v>
      </c>
      <c r="D271" s="3" t="s">
        <v>1386</v>
      </c>
      <c r="E271" s="3" t="s">
        <v>1442</v>
      </c>
      <c r="F271" s="3" t="s">
        <v>1388</v>
      </c>
      <c r="G271" s="3" t="s">
        <v>611</v>
      </c>
      <c r="H271" s="3">
        <v>2014.0</v>
      </c>
      <c r="I271" s="7">
        <v>41503.0</v>
      </c>
      <c r="L271" s="3" t="s">
        <v>1443</v>
      </c>
    </row>
    <row r="272" ht="14.25" customHeight="1">
      <c r="A272" s="3">
        <v>114.0</v>
      </c>
      <c r="B272" s="3">
        <v>2.3921339E7</v>
      </c>
      <c r="C272" s="3" t="s">
        <v>1444</v>
      </c>
      <c r="D272" s="3" t="s">
        <v>1445</v>
      </c>
      <c r="E272" s="3" t="s">
        <v>1446</v>
      </c>
      <c r="F272" s="3" t="s">
        <v>489</v>
      </c>
      <c r="G272" s="3" t="s">
        <v>167</v>
      </c>
      <c r="H272" s="3">
        <v>2013.0</v>
      </c>
      <c r="I272" s="7">
        <v>41494.0</v>
      </c>
      <c r="L272" s="3" t="s">
        <v>1447</v>
      </c>
    </row>
    <row r="273" ht="14.25" customHeight="1">
      <c r="A273" s="3">
        <v>115.0</v>
      </c>
      <c r="B273" s="3">
        <v>2.3793303E7</v>
      </c>
      <c r="C273" s="3" t="s">
        <v>1448</v>
      </c>
      <c r="D273" s="3" t="s">
        <v>1449</v>
      </c>
      <c r="E273" s="3" t="s">
        <v>1450</v>
      </c>
      <c r="F273" s="3" t="s">
        <v>1451</v>
      </c>
      <c r="G273" s="3" t="s">
        <v>1452</v>
      </c>
      <c r="H273" s="3">
        <v>2013.0</v>
      </c>
      <c r="I273" s="7">
        <v>41450.0</v>
      </c>
      <c r="L273" s="3" t="s">
        <v>1453</v>
      </c>
    </row>
    <row r="274" ht="14.25" customHeight="1">
      <c r="A274" s="3">
        <v>116.0</v>
      </c>
      <c r="B274" s="3">
        <v>2.369821E7</v>
      </c>
      <c r="C274" s="3" t="s">
        <v>1454</v>
      </c>
      <c r="D274" s="3" t="s">
        <v>1455</v>
      </c>
      <c r="E274" s="3" t="s">
        <v>1456</v>
      </c>
      <c r="F274" s="3" t="s">
        <v>1457</v>
      </c>
      <c r="G274" s="3" t="s">
        <v>1458</v>
      </c>
      <c r="H274" s="3">
        <v>2013.0</v>
      </c>
      <c r="I274" s="7">
        <v>41418.0</v>
      </c>
      <c r="L274" s="3" t="s">
        <v>1459</v>
      </c>
    </row>
    <row r="275" ht="14.25" customHeight="1">
      <c r="A275" s="3">
        <v>117.0</v>
      </c>
      <c r="B275" s="3">
        <v>2.3579334E7</v>
      </c>
      <c r="C275" s="3" t="s">
        <v>1460</v>
      </c>
      <c r="D275" s="3" t="s">
        <v>1461</v>
      </c>
      <c r="E275" s="3" t="s">
        <v>1462</v>
      </c>
      <c r="F275" s="3" t="s">
        <v>1463</v>
      </c>
      <c r="G275" s="3" t="s">
        <v>967</v>
      </c>
      <c r="H275" s="3">
        <v>2013.0</v>
      </c>
      <c r="I275" s="7">
        <v>41377.0</v>
      </c>
      <c r="L275" s="3" t="s">
        <v>1464</v>
      </c>
    </row>
    <row r="276" ht="14.25" customHeight="1">
      <c r="A276" s="3">
        <v>118.0</v>
      </c>
      <c r="B276" s="3">
        <v>2.3460328E7</v>
      </c>
      <c r="C276" s="3" t="s">
        <v>1465</v>
      </c>
      <c r="D276" s="3" t="s">
        <v>1466</v>
      </c>
      <c r="E276" s="3" t="s">
        <v>1467</v>
      </c>
      <c r="F276" s="3" t="s">
        <v>1468</v>
      </c>
      <c r="G276" s="3" t="s">
        <v>167</v>
      </c>
      <c r="H276" s="3">
        <v>2013.0</v>
      </c>
      <c r="I276" s="7">
        <v>41339.0</v>
      </c>
      <c r="L276" s="3" t="s">
        <v>1469</v>
      </c>
    </row>
    <row r="277" ht="14.25" customHeight="1">
      <c r="A277" s="3">
        <v>119.0</v>
      </c>
      <c r="B277" s="3">
        <v>2.3423316E7</v>
      </c>
      <c r="C277" s="3" t="s">
        <v>1470</v>
      </c>
      <c r="D277" s="3" t="s">
        <v>1471</v>
      </c>
      <c r="E277" s="3" t="s">
        <v>1472</v>
      </c>
      <c r="F277" s="3" t="s">
        <v>1473</v>
      </c>
      <c r="G277" s="3" t="s">
        <v>167</v>
      </c>
      <c r="H277" s="3">
        <v>2013.0</v>
      </c>
      <c r="I277" s="7">
        <v>41326.0</v>
      </c>
      <c r="L277" s="3" t="s">
        <v>1474</v>
      </c>
    </row>
    <row r="278" ht="14.25" customHeight="1">
      <c r="A278" s="3">
        <v>120.0</v>
      </c>
      <c r="B278" s="3">
        <v>2.3307675E7</v>
      </c>
      <c r="C278" s="3" t="s">
        <v>1475</v>
      </c>
      <c r="D278" s="3" t="s">
        <v>1476</v>
      </c>
      <c r="E278" s="3" t="s">
        <v>1477</v>
      </c>
      <c r="F278" s="3" t="s">
        <v>1478</v>
      </c>
      <c r="G278" s="3" t="s">
        <v>1479</v>
      </c>
      <c r="H278" s="3">
        <v>2013.0</v>
      </c>
      <c r="I278" s="7">
        <v>41286.0</v>
      </c>
      <c r="L278" s="3" t="s">
        <v>1480</v>
      </c>
    </row>
    <row r="279" ht="14.25" customHeight="1">
      <c r="A279" s="3">
        <v>121.0</v>
      </c>
      <c r="B279" s="3">
        <v>2.3276416E7</v>
      </c>
      <c r="C279" s="3" t="s">
        <v>1481</v>
      </c>
      <c r="D279" s="3" t="s">
        <v>1482</v>
      </c>
      <c r="E279" s="3" t="s">
        <v>1483</v>
      </c>
      <c r="F279" s="3" t="s">
        <v>1484</v>
      </c>
      <c r="G279" s="3" t="s">
        <v>186</v>
      </c>
      <c r="H279" s="3">
        <v>2013.0</v>
      </c>
      <c r="I279" s="7">
        <v>41276.0</v>
      </c>
      <c r="L279" s="3" t="s">
        <v>1485</v>
      </c>
    </row>
    <row r="280" ht="14.25" customHeight="1">
      <c r="A280" s="3">
        <v>122.0</v>
      </c>
      <c r="B280" s="3">
        <v>2.3276415E7</v>
      </c>
      <c r="C280" s="3" t="s">
        <v>1486</v>
      </c>
      <c r="D280" s="3" t="s">
        <v>1487</v>
      </c>
      <c r="E280" s="3" t="s">
        <v>1488</v>
      </c>
      <c r="F280" s="3" t="s">
        <v>1489</v>
      </c>
      <c r="G280" s="3" t="s">
        <v>186</v>
      </c>
      <c r="H280" s="3">
        <v>2013.0</v>
      </c>
      <c r="I280" s="7">
        <v>41276.0</v>
      </c>
      <c r="L280" s="3" t="s">
        <v>1490</v>
      </c>
    </row>
    <row r="281" ht="14.25" customHeight="1">
      <c r="A281" s="3">
        <v>123.0</v>
      </c>
      <c r="B281" s="3">
        <v>2.3268821E7</v>
      </c>
      <c r="C281" s="3" t="s">
        <v>1491</v>
      </c>
      <c r="D281" s="3" t="s">
        <v>1492</v>
      </c>
      <c r="E281" s="3" t="s">
        <v>1493</v>
      </c>
      <c r="F281" s="3" t="s">
        <v>1478</v>
      </c>
      <c r="G281" s="3" t="s">
        <v>1323</v>
      </c>
      <c r="H281" s="3">
        <v>2012.0</v>
      </c>
      <c r="I281" s="7">
        <v>41271.0</v>
      </c>
      <c r="L281" s="3" t="s">
        <v>1494</v>
      </c>
    </row>
    <row r="282" ht="14.25" customHeight="1">
      <c r="A282" s="3">
        <v>124.0</v>
      </c>
      <c r="B282" s="3">
        <v>2.3242378E7</v>
      </c>
      <c r="C282" s="3" t="s">
        <v>1495</v>
      </c>
      <c r="D282" s="3" t="s">
        <v>1496</v>
      </c>
      <c r="E282" s="3" t="s">
        <v>1497</v>
      </c>
      <c r="F282" s="3" t="s">
        <v>1498</v>
      </c>
      <c r="G282" s="3" t="s">
        <v>274</v>
      </c>
      <c r="H282" s="3">
        <v>2014.0</v>
      </c>
      <c r="I282" s="7">
        <v>41261.0</v>
      </c>
      <c r="L282" s="3" t="s">
        <v>1499</v>
      </c>
    </row>
    <row r="283" ht="14.25" customHeight="1">
      <c r="A283" s="3">
        <v>125.0</v>
      </c>
      <c r="B283" s="3">
        <v>2.3203338E7</v>
      </c>
      <c r="C283" s="3" t="s">
        <v>1500</v>
      </c>
      <c r="D283" s="3" t="s">
        <v>1501</v>
      </c>
      <c r="E283" s="3" t="s">
        <v>1502</v>
      </c>
      <c r="F283" s="3" t="s">
        <v>1503</v>
      </c>
      <c r="G283" s="3" t="s">
        <v>274</v>
      </c>
      <c r="H283" s="3">
        <v>2013.0</v>
      </c>
      <c r="I283" s="7">
        <v>41247.0</v>
      </c>
      <c r="L283" s="3" t="s">
        <v>1504</v>
      </c>
    </row>
    <row r="284" ht="14.25" customHeight="1">
      <c r="A284" s="3">
        <v>126.0</v>
      </c>
      <c r="B284" s="3">
        <v>2.3145756E7</v>
      </c>
      <c r="C284" s="3" t="s">
        <v>1505</v>
      </c>
      <c r="D284" s="3" t="s">
        <v>1506</v>
      </c>
      <c r="E284" s="3" t="s">
        <v>1507</v>
      </c>
      <c r="F284" s="3" t="s">
        <v>1508</v>
      </c>
      <c r="G284" s="3" t="s">
        <v>1509</v>
      </c>
      <c r="H284" s="3">
        <v>2012.0</v>
      </c>
      <c r="I284" s="7">
        <v>41227.0</v>
      </c>
    </row>
    <row r="285" ht="14.25" customHeight="1">
      <c r="A285" s="3">
        <v>127.0</v>
      </c>
      <c r="B285" s="3">
        <v>2.285071E7</v>
      </c>
      <c r="C285" s="3" t="s">
        <v>1510</v>
      </c>
      <c r="D285" s="3" t="s">
        <v>1511</v>
      </c>
      <c r="E285" s="3" t="s">
        <v>1512</v>
      </c>
      <c r="F285" s="3" t="s">
        <v>1498</v>
      </c>
      <c r="G285" s="3" t="s">
        <v>1513</v>
      </c>
      <c r="H285" s="3">
        <v>2012.0</v>
      </c>
      <c r="I285" s="7">
        <v>41123.0</v>
      </c>
      <c r="L285" s="3" t="s">
        <v>1514</v>
      </c>
    </row>
    <row r="286" ht="14.25" customHeight="1">
      <c r="A286" s="3">
        <v>128.0</v>
      </c>
      <c r="B286" s="3">
        <v>2.2816221E7</v>
      </c>
      <c r="C286" s="3" t="s">
        <v>1515</v>
      </c>
      <c r="D286" s="3" t="s">
        <v>1516</v>
      </c>
      <c r="E286" s="3" t="s">
        <v>1517</v>
      </c>
      <c r="F286" s="3" t="s">
        <v>1518</v>
      </c>
      <c r="G286" s="3" t="s">
        <v>1519</v>
      </c>
      <c r="H286" s="3">
        <v>2012.0</v>
      </c>
      <c r="I286" s="7">
        <v>41114.0</v>
      </c>
    </row>
    <row r="287" ht="14.25" customHeight="1">
      <c r="A287" s="3">
        <v>129.0</v>
      </c>
      <c r="B287" s="3">
        <v>2.2713551E7</v>
      </c>
      <c r="C287" s="3" t="s">
        <v>1520</v>
      </c>
      <c r="D287" s="3" t="s">
        <v>1521</v>
      </c>
      <c r="E287" s="3" t="s">
        <v>1522</v>
      </c>
      <c r="F287" s="3" t="s">
        <v>1523</v>
      </c>
      <c r="G287" s="3" t="s">
        <v>167</v>
      </c>
      <c r="H287" s="3">
        <v>2012.0</v>
      </c>
      <c r="I287" s="7">
        <v>41081.0</v>
      </c>
      <c r="L287" s="3" t="s">
        <v>1524</v>
      </c>
    </row>
    <row r="288" ht="14.25" customHeight="1">
      <c r="A288" s="3">
        <v>130.0</v>
      </c>
      <c r="B288" s="3">
        <v>2.2691456E7</v>
      </c>
      <c r="C288" s="3" t="s">
        <v>1525</v>
      </c>
      <c r="D288" s="3" t="s">
        <v>1526</v>
      </c>
      <c r="E288" s="3" t="s">
        <v>1527</v>
      </c>
      <c r="F288" s="3" t="s">
        <v>1528</v>
      </c>
      <c r="G288" s="3" t="s">
        <v>167</v>
      </c>
      <c r="H288" s="3">
        <v>2012.0</v>
      </c>
      <c r="I288" s="7">
        <v>41074.0</v>
      </c>
      <c r="L288" s="3" t="s">
        <v>1529</v>
      </c>
    </row>
    <row r="289" ht="14.25" customHeight="1">
      <c r="A289" s="3">
        <v>131.0</v>
      </c>
      <c r="B289" s="3">
        <v>2.2425308E7</v>
      </c>
      <c r="C289" s="3" t="s">
        <v>388</v>
      </c>
      <c r="D289" s="3" t="s">
        <v>389</v>
      </c>
      <c r="E289" s="3" t="s">
        <v>390</v>
      </c>
      <c r="F289" s="3" t="s">
        <v>391</v>
      </c>
      <c r="G289" s="3" t="s">
        <v>180</v>
      </c>
      <c r="H289" s="3">
        <v>2012.0</v>
      </c>
      <c r="I289" s="7">
        <v>40988.0</v>
      </c>
      <c r="L289" s="3" t="s">
        <v>392</v>
      </c>
    </row>
    <row r="290" ht="14.25" customHeight="1">
      <c r="A290" s="3">
        <v>132.0</v>
      </c>
      <c r="B290" s="3">
        <v>2.2407182E7</v>
      </c>
      <c r="C290" s="3" t="s">
        <v>393</v>
      </c>
      <c r="D290" s="3" t="s">
        <v>394</v>
      </c>
      <c r="E290" s="3" t="s">
        <v>395</v>
      </c>
      <c r="F290" s="3" t="s">
        <v>396</v>
      </c>
      <c r="G290" s="3" t="s">
        <v>274</v>
      </c>
      <c r="H290" s="3">
        <v>2013.0</v>
      </c>
      <c r="I290" s="7">
        <v>40981.0</v>
      </c>
      <c r="L290" s="3" t="s">
        <v>397</v>
      </c>
    </row>
    <row r="291" ht="14.25" customHeight="1">
      <c r="A291" s="3">
        <v>133.0</v>
      </c>
      <c r="B291" s="3">
        <v>2.2407095E7</v>
      </c>
      <c r="C291" s="3" t="s">
        <v>1530</v>
      </c>
      <c r="D291" s="3" t="s">
        <v>1531</v>
      </c>
      <c r="E291" s="3" t="s">
        <v>1532</v>
      </c>
      <c r="F291" s="3" t="s">
        <v>1533</v>
      </c>
      <c r="G291" s="3" t="s">
        <v>1389</v>
      </c>
      <c r="H291" s="3">
        <v>2012.0</v>
      </c>
      <c r="I291" s="7">
        <v>40981.0</v>
      </c>
      <c r="L291" s="3" t="s">
        <v>1534</v>
      </c>
    </row>
    <row r="292" ht="14.25" customHeight="1">
      <c r="A292" s="3">
        <v>134.0</v>
      </c>
      <c r="B292" s="3">
        <v>2.2273781E7</v>
      </c>
      <c r="C292" s="3" t="s">
        <v>1535</v>
      </c>
      <c r="D292" s="3" t="s">
        <v>1536</v>
      </c>
      <c r="E292" s="3" t="s">
        <v>1537</v>
      </c>
      <c r="F292" s="3" t="s">
        <v>1538</v>
      </c>
      <c r="G292" s="3" t="s">
        <v>274</v>
      </c>
      <c r="H292" s="3">
        <v>2012.0</v>
      </c>
      <c r="I292" s="7">
        <v>40934.0</v>
      </c>
      <c r="L292" s="3" t="s">
        <v>1539</v>
      </c>
    </row>
    <row r="293" ht="14.25" customHeight="1">
      <c r="A293" s="3">
        <v>135.0</v>
      </c>
      <c r="B293" s="3">
        <v>2.218428E7</v>
      </c>
      <c r="C293" s="3" t="s">
        <v>398</v>
      </c>
      <c r="D293" s="3" t="s">
        <v>399</v>
      </c>
      <c r="E293" s="3" t="s">
        <v>400</v>
      </c>
      <c r="F293" s="3" t="s">
        <v>401</v>
      </c>
      <c r="G293" s="3" t="s">
        <v>167</v>
      </c>
      <c r="H293" s="3">
        <v>2012.0</v>
      </c>
      <c r="I293" s="7">
        <v>40898.0</v>
      </c>
      <c r="L293" s="3" t="s">
        <v>402</v>
      </c>
    </row>
    <row r="294" ht="14.25" customHeight="1">
      <c r="A294" s="3">
        <v>136.0</v>
      </c>
      <c r="B294" s="3">
        <v>2.2154365E7</v>
      </c>
      <c r="C294" s="3" t="s">
        <v>1540</v>
      </c>
      <c r="D294" s="3" t="s">
        <v>1541</v>
      </c>
      <c r="E294" s="3" t="s">
        <v>1542</v>
      </c>
      <c r="F294" s="3" t="s">
        <v>1543</v>
      </c>
      <c r="G294" s="3" t="s">
        <v>186</v>
      </c>
      <c r="H294" s="3">
        <v>2012.0</v>
      </c>
      <c r="I294" s="7">
        <v>40891.0</v>
      </c>
      <c r="L294" s="3" t="s">
        <v>1544</v>
      </c>
    </row>
    <row r="295" ht="14.25" customHeight="1">
      <c r="A295" s="3">
        <v>137.0</v>
      </c>
      <c r="B295" s="3">
        <v>2.2085729E7</v>
      </c>
      <c r="C295" s="3" t="s">
        <v>1545</v>
      </c>
      <c r="D295" s="3" t="s">
        <v>1546</v>
      </c>
      <c r="E295" s="3" t="s">
        <v>1547</v>
      </c>
      <c r="F295" s="3" t="s">
        <v>1548</v>
      </c>
      <c r="G295" s="3" t="s">
        <v>167</v>
      </c>
      <c r="H295" s="3">
        <v>2012.0</v>
      </c>
      <c r="I295" s="7">
        <v>40864.0</v>
      </c>
      <c r="L295" s="3" t="s">
        <v>1549</v>
      </c>
    </row>
    <row r="296" ht="14.25" customHeight="1">
      <c r="A296" s="3">
        <v>138.0</v>
      </c>
      <c r="B296" s="3">
        <v>2.1924856E7</v>
      </c>
      <c r="C296" s="3" t="s">
        <v>1550</v>
      </c>
      <c r="D296" s="3" t="s">
        <v>1551</v>
      </c>
      <c r="E296" s="3" t="s">
        <v>1552</v>
      </c>
      <c r="F296" s="3" t="s">
        <v>1553</v>
      </c>
      <c r="G296" s="3" t="s">
        <v>186</v>
      </c>
      <c r="H296" s="3">
        <v>2011.0</v>
      </c>
      <c r="I296" s="7">
        <v>40806.0</v>
      </c>
      <c r="L296" s="3" t="s">
        <v>1554</v>
      </c>
    </row>
    <row r="297" ht="14.25" customHeight="1">
      <c r="A297" s="3">
        <v>139.0</v>
      </c>
      <c r="B297" s="3">
        <v>2.1712483E7</v>
      </c>
      <c r="C297" s="3" t="s">
        <v>403</v>
      </c>
      <c r="D297" s="3" t="s">
        <v>404</v>
      </c>
      <c r="E297" s="3" t="s">
        <v>405</v>
      </c>
      <c r="F297" s="3" t="s">
        <v>251</v>
      </c>
      <c r="G297" s="3" t="s">
        <v>167</v>
      </c>
      <c r="H297" s="3">
        <v>2011.0</v>
      </c>
      <c r="I297" s="7">
        <v>40724.0</v>
      </c>
      <c r="L297" s="3" t="s">
        <v>406</v>
      </c>
    </row>
    <row r="298" ht="14.25" customHeight="1">
      <c r="A298" s="3">
        <v>140.0</v>
      </c>
      <c r="B298" s="3">
        <v>2.1694588E7</v>
      </c>
      <c r="C298" s="3" t="s">
        <v>412</v>
      </c>
      <c r="D298" s="3" t="s">
        <v>413</v>
      </c>
      <c r="E298" s="3" t="s">
        <v>414</v>
      </c>
      <c r="F298" s="3" t="s">
        <v>415</v>
      </c>
      <c r="G298" s="3" t="s">
        <v>307</v>
      </c>
      <c r="H298" s="3">
        <v>2011.0</v>
      </c>
      <c r="I298" s="7">
        <v>40717.0</v>
      </c>
      <c r="L298" s="3" t="s">
        <v>416</v>
      </c>
    </row>
    <row r="299" ht="14.25" customHeight="1">
      <c r="A299" s="3">
        <v>141.0</v>
      </c>
      <c r="B299" s="3">
        <v>2.1667181E7</v>
      </c>
      <c r="C299" s="3" t="s">
        <v>1555</v>
      </c>
      <c r="D299" s="3" t="s">
        <v>1556</v>
      </c>
      <c r="E299" s="3" t="s">
        <v>1557</v>
      </c>
      <c r="F299" s="3" t="s">
        <v>581</v>
      </c>
      <c r="G299" s="3" t="s">
        <v>500</v>
      </c>
      <c r="H299" s="3">
        <v>2012.0</v>
      </c>
      <c r="I299" s="7">
        <v>40708.0</v>
      </c>
      <c r="J299" s="3" t="s">
        <v>1558</v>
      </c>
      <c r="L299" s="3" t="s">
        <v>1559</v>
      </c>
    </row>
    <row r="300" ht="14.25" customHeight="1">
      <c r="A300" s="3">
        <v>142.0</v>
      </c>
      <c r="B300" s="3">
        <v>2.1663722E7</v>
      </c>
      <c r="C300" s="3" t="s">
        <v>417</v>
      </c>
      <c r="D300" s="3" t="s">
        <v>418</v>
      </c>
      <c r="E300" s="3" t="s">
        <v>419</v>
      </c>
      <c r="F300" s="3" t="s">
        <v>420</v>
      </c>
      <c r="G300" s="3" t="s">
        <v>186</v>
      </c>
      <c r="H300" s="3">
        <v>2011.0</v>
      </c>
      <c r="I300" s="7">
        <v>40708.0</v>
      </c>
      <c r="L300" s="3" t="s">
        <v>421</v>
      </c>
    </row>
    <row r="301" ht="14.25" customHeight="1">
      <c r="A301" s="3">
        <v>143.0</v>
      </c>
      <c r="B301" s="3">
        <v>2.1624672E7</v>
      </c>
      <c r="C301" s="3" t="s">
        <v>1560</v>
      </c>
      <c r="D301" s="3" t="s">
        <v>1561</v>
      </c>
      <c r="E301" s="3" t="s">
        <v>1562</v>
      </c>
      <c r="F301" s="3" t="s">
        <v>1563</v>
      </c>
      <c r="G301" s="3" t="s">
        <v>186</v>
      </c>
      <c r="H301" s="3">
        <v>2011.0</v>
      </c>
      <c r="I301" s="7">
        <v>40695.0</v>
      </c>
      <c r="L301" s="3" t="s">
        <v>1564</v>
      </c>
    </row>
    <row r="302" ht="14.25" customHeight="1">
      <c r="A302" s="3">
        <v>144.0</v>
      </c>
      <c r="B302" s="3">
        <v>2.1622815E7</v>
      </c>
      <c r="C302" s="3" t="s">
        <v>1565</v>
      </c>
      <c r="D302" s="3" t="s">
        <v>1566</v>
      </c>
      <c r="E302" s="3" t="s">
        <v>1567</v>
      </c>
      <c r="F302" s="3" t="s">
        <v>1568</v>
      </c>
      <c r="G302" s="3" t="s">
        <v>167</v>
      </c>
      <c r="H302" s="3">
        <v>2011.0</v>
      </c>
      <c r="I302" s="7">
        <v>40694.0</v>
      </c>
      <c r="L302" s="3" t="s">
        <v>1569</v>
      </c>
    </row>
    <row r="303" ht="14.25" customHeight="1">
      <c r="A303" s="3">
        <v>145.0</v>
      </c>
      <c r="B303" s="3">
        <v>2.1610263E7</v>
      </c>
      <c r="C303" s="3" t="s">
        <v>1570</v>
      </c>
      <c r="D303" s="3" t="s">
        <v>1571</v>
      </c>
      <c r="E303" s="3" t="s">
        <v>1572</v>
      </c>
      <c r="F303" s="3" t="s">
        <v>1528</v>
      </c>
      <c r="G303" s="3" t="s">
        <v>167</v>
      </c>
      <c r="H303" s="3">
        <v>2011.0</v>
      </c>
      <c r="I303" s="7">
        <v>40689.0</v>
      </c>
      <c r="L303" s="3" t="s">
        <v>1573</v>
      </c>
    </row>
    <row r="304" ht="14.25" customHeight="1">
      <c r="A304" s="3">
        <v>146.0</v>
      </c>
      <c r="B304" s="3">
        <v>2.159028E7</v>
      </c>
      <c r="C304" s="3" t="s">
        <v>1574</v>
      </c>
      <c r="D304" s="3" t="s">
        <v>1575</v>
      </c>
      <c r="E304" s="3" t="s">
        <v>1576</v>
      </c>
      <c r="F304" s="3" t="s">
        <v>567</v>
      </c>
      <c r="G304" s="3" t="s">
        <v>274</v>
      </c>
      <c r="H304" s="3">
        <v>2011.0</v>
      </c>
      <c r="I304" s="7">
        <v>40682.0</v>
      </c>
      <c r="L304" s="3" t="s">
        <v>1577</v>
      </c>
    </row>
    <row r="305" ht="14.25" customHeight="1">
      <c r="A305" s="3">
        <v>147.0</v>
      </c>
      <c r="B305" s="3">
        <v>2.1350065E7</v>
      </c>
      <c r="C305" s="3" t="s">
        <v>1578</v>
      </c>
      <c r="D305" s="3" t="s">
        <v>1579</v>
      </c>
      <c r="E305" s="3" t="s">
        <v>1580</v>
      </c>
      <c r="F305" s="3" t="s">
        <v>1581</v>
      </c>
      <c r="G305" s="3" t="s">
        <v>167</v>
      </c>
      <c r="H305" s="3">
        <v>2011.0</v>
      </c>
      <c r="I305" s="7">
        <v>40600.0</v>
      </c>
      <c r="L305" s="3" t="s">
        <v>1582</v>
      </c>
    </row>
    <row r="306" ht="14.25" customHeight="1">
      <c r="A306" s="3">
        <v>148.0</v>
      </c>
      <c r="B306" s="3">
        <v>2.1036618E7</v>
      </c>
      <c r="C306" s="3" t="s">
        <v>1583</v>
      </c>
      <c r="D306" s="3" t="s">
        <v>1584</v>
      </c>
      <c r="E306" s="3" t="s">
        <v>1585</v>
      </c>
      <c r="F306" s="3" t="s">
        <v>1586</v>
      </c>
      <c r="G306" s="3" t="s">
        <v>180</v>
      </c>
      <c r="H306" s="3">
        <v>2011.0</v>
      </c>
      <c r="I306" s="7">
        <v>40484.0</v>
      </c>
      <c r="L306" s="3" t="s">
        <v>1587</v>
      </c>
    </row>
    <row r="307" ht="14.25" customHeight="1">
      <c r="A307" s="3">
        <v>149.0</v>
      </c>
      <c r="B307" s="3">
        <v>2.0934845E7</v>
      </c>
      <c r="C307" s="3" t="s">
        <v>1588</v>
      </c>
      <c r="D307" s="3" t="s">
        <v>1589</v>
      </c>
      <c r="E307" s="3" t="s">
        <v>1590</v>
      </c>
      <c r="F307" s="3" t="s">
        <v>1591</v>
      </c>
      <c r="G307" s="3" t="s">
        <v>186</v>
      </c>
      <c r="H307" s="3">
        <v>2010.0</v>
      </c>
      <c r="I307" s="7">
        <v>40463.0</v>
      </c>
      <c r="L307" s="3" t="s">
        <v>1592</v>
      </c>
    </row>
    <row r="308" ht="14.25" customHeight="1">
      <c r="A308" s="3">
        <v>150.0</v>
      </c>
      <c r="B308" s="3">
        <v>2.0668835E7</v>
      </c>
      <c r="C308" s="3" t="s">
        <v>443</v>
      </c>
      <c r="D308" s="3" t="s">
        <v>444</v>
      </c>
      <c r="E308" s="3" t="s">
        <v>445</v>
      </c>
      <c r="F308" s="3" t="s">
        <v>446</v>
      </c>
      <c r="G308" s="3" t="s">
        <v>274</v>
      </c>
      <c r="H308" s="3">
        <v>2011.0</v>
      </c>
      <c r="I308" s="7">
        <v>40389.0</v>
      </c>
      <c r="L308" s="3" t="s">
        <v>447</v>
      </c>
    </row>
    <row r="309" ht="14.25" customHeight="1">
      <c r="A309" s="3">
        <v>151.0</v>
      </c>
      <c r="B309" s="3">
        <v>2.0575918E7</v>
      </c>
      <c r="C309" s="3" t="s">
        <v>1593</v>
      </c>
      <c r="D309" s="3" t="s">
        <v>1594</v>
      </c>
      <c r="E309" s="3" t="s">
        <v>1595</v>
      </c>
      <c r="F309" s="3" t="s">
        <v>1596</v>
      </c>
      <c r="G309" s="3" t="s">
        <v>1597</v>
      </c>
      <c r="H309" s="3">
        <v>2010.0</v>
      </c>
      <c r="I309" s="7">
        <v>40355.0</v>
      </c>
      <c r="L309" s="3" t="s">
        <v>1598</v>
      </c>
    </row>
    <row r="310" ht="14.25" customHeight="1">
      <c r="A310" s="3">
        <v>152.0</v>
      </c>
      <c r="B310" s="3">
        <v>2.0566719E7</v>
      </c>
      <c r="C310" s="3" t="s">
        <v>448</v>
      </c>
      <c r="D310" s="3" t="s">
        <v>449</v>
      </c>
      <c r="E310" s="3" t="s">
        <v>450</v>
      </c>
      <c r="F310" s="3" t="s">
        <v>349</v>
      </c>
      <c r="G310" s="3" t="s">
        <v>167</v>
      </c>
      <c r="H310" s="3">
        <v>2010.0</v>
      </c>
      <c r="I310" s="7">
        <v>40352.0</v>
      </c>
      <c r="L310" s="3" t="s">
        <v>451</v>
      </c>
    </row>
    <row r="311" ht="14.25" customHeight="1">
      <c r="A311" s="3">
        <v>153.0</v>
      </c>
      <c r="B311" s="3">
        <v>2.051768E7</v>
      </c>
      <c r="C311" s="3" t="s">
        <v>1599</v>
      </c>
      <c r="D311" s="3" t="s">
        <v>1600</v>
      </c>
      <c r="E311" s="3" t="s">
        <v>1601</v>
      </c>
      <c r="F311" s="3" t="s">
        <v>1602</v>
      </c>
      <c r="G311" s="3" t="s">
        <v>339</v>
      </c>
      <c r="H311" s="3">
        <v>2010.0</v>
      </c>
      <c r="I311" s="7">
        <v>40332.0</v>
      </c>
      <c r="L311" s="3" t="s">
        <v>1603</v>
      </c>
    </row>
    <row r="312" ht="14.25" customHeight="1">
      <c r="A312" s="3">
        <v>154.0</v>
      </c>
      <c r="B312" s="3">
        <v>2.039297E7</v>
      </c>
      <c r="C312" s="3" t="s">
        <v>1604</v>
      </c>
      <c r="D312" s="3" t="s">
        <v>1605</v>
      </c>
      <c r="E312" s="3" t="s">
        <v>1606</v>
      </c>
      <c r="F312" s="3" t="s">
        <v>1607</v>
      </c>
      <c r="G312" s="3" t="s">
        <v>167</v>
      </c>
      <c r="H312" s="3">
        <v>2010.0</v>
      </c>
      <c r="I312" s="7">
        <v>40284.0</v>
      </c>
      <c r="L312" s="3" t="s">
        <v>1608</v>
      </c>
    </row>
    <row r="313" ht="14.25" customHeight="1">
      <c r="A313" s="3">
        <v>155.0</v>
      </c>
      <c r="B313" s="3">
        <v>2.0357328E7</v>
      </c>
      <c r="C313" s="3" t="s">
        <v>1609</v>
      </c>
      <c r="D313" s="3" t="s">
        <v>1610</v>
      </c>
      <c r="E313" s="3" t="s">
        <v>1611</v>
      </c>
      <c r="F313" s="3" t="s">
        <v>1612</v>
      </c>
      <c r="G313" s="3" t="s">
        <v>726</v>
      </c>
      <c r="H313" s="3">
        <v>2010.0</v>
      </c>
      <c r="I313" s="7">
        <v>40270.0</v>
      </c>
      <c r="L313" s="3" t="s">
        <v>1613</v>
      </c>
    </row>
    <row r="314" ht="14.25" customHeight="1">
      <c r="A314" s="3">
        <v>156.0</v>
      </c>
      <c r="B314" s="3">
        <v>2.0194956E7</v>
      </c>
      <c r="C314" s="3" t="s">
        <v>457</v>
      </c>
      <c r="D314" s="3" t="s">
        <v>458</v>
      </c>
      <c r="E314" s="3" t="s">
        <v>459</v>
      </c>
      <c r="F314" s="3" t="s">
        <v>460</v>
      </c>
      <c r="G314" s="3" t="s">
        <v>167</v>
      </c>
      <c r="H314" s="3">
        <v>2010.0</v>
      </c>
      <c r="I314" s="7">
        <v>40240.0</v>
      </c>
      <c r="L314" s="3" t="s">
        <v>461</v>
      </c>
    </row>
    <row r="315" ht="14.25" customHeight="1">
      <c r="A315" s="3">
        <v>157.0</v>
      </c>
      <c r="B315" s="3">
        <v>2.0175049E7</v>
      </c>
      <c r="C315" s="3" t="s">
        <v>1614</v>
      </c>
      <c r="D315" s="3" t="s">
        <v>1615</v>
      </c>
      <c r="E315" s="3" t="s">
        <v>1616</v>
      </c>
      <c r="F315" s="3" t="s">
        <v>1617</v>
      </c>
      <c r="G315" s="3" t="s">
        <v>1618</v>
      </c>
      <c r="H315" s="3">
        <v>2010.0</v>
      </c>
      <c r="I315" s="7">
        <v>40232.0</v>
      </c>
      <c r="L315" s="3" t="s">
        <v>1619</v>
      </c>
    </row>
    <row r="316" ht="14.25" customHeight="1">
      <c r="A316" s="3">
        <v>158.0</v>
      </c>
      <c r="B316" s="3">
        <v>2.0097928E7</v>
      </c>
      <c r="C316" s="3" t="s">
        <v>462</v>
      </c>
      <c r="D316" s="3" t="s">
        <v>463</v>
      </c>
      <c r="E316" s="3" t="s">
        <v>464</v>
      </c>
      <c r="F316" s="3" t="s">
        <v>465</v>
      </c>
      <c r="G316" s="3" t="s">
        <v>167</v>
      </c>
      <c r="H316" s="3">
        <v>2010.0</v>
      </c>
      <c r="I316" s="7">
        <v>40204.0</v>
      </c>
      <c r="L316" s="3" t="s">
        <v>466</v>
      </c>
    </row>
    <row r="317" ht="14.25" customHeight="1">
      <c r="A317" s="3">
        <v>159.0</v>
      </c>
      <c r="B317" s="3">
        <v>2.0044497E7</v>
      </c>
      <c r="C317" s="3" t="s">
        <v>1620</v>
      </c>
      <c r="D317" s="3" t="s">
        <v>1621</v>
      </c>
      <c r="E317" s="3" t="s">
        <v>1622</v>
      </c>
      <c r="F317" s="3" t="s">
        <v>1623</v>
      </c>
      <c r="G317" s="3" t="s">
        <v>167</v>
      </c>
      <c r="H317" s="3">
        <v>2010.0</v>
      </c>
      <c r="I317" s="7">
        <v>40180.0</v>
      </c>
      <c r="L317" s="3" t="s">
        <v>1624</v>
      </c>
    </row>
    <row r="318" ht="14.25" customHeight="1">
      <c r="A318" s="3">
        <v>160.0</v>
      </c>
      <c r="B318" s="3">
        <v>1.9956928E7</v>
      </c>
      <c r="C318" s="3" t="s">
        <v>467</v>
      </c>
      <c r="D318" s="3" t="s">
        <v>468</v>
      </c>
      <c r="E318" s="3" t="s">
        <v>469</v>
      </c>
      <c r="F318" s="3" t="s">
        <v>435</v>
      </c>
      <c r="G318" s="3" t="s">
        <v>274</v>
      </c>
      <c r="H318" s="3">
        <v>2010.0</v>
      </c>
      <c r="I318" s="7">
        <v>40151.0</v>
      </c>
      <c r="L318" s="3" t="s">
        <v>470</v>
      </c>
    </row>
    <row r="319" ht="14.25" customHeight="1">
      <c r="A319" s="3">
        <v>161.0</v>
      </c>
      <c r="B319" s="3">
        <v>1.9794165E7</v>
      </c>
      <c r="C319" s="3" t="s">
        <v>1625</v>
      </c>
      <c r="D319" s="3" t="s">
        <v>1626</v>
      </c>
      <c r="E319" s="3" t="s">
        <v>1627</v>
      </c>
      <c r="F319" s="3" t="s">
        <v>616</v>
      </c>
      <c r="G319" s="3" t="s">
        <v>726</v>
      </c>
      <c r="H319" s="3">
        <v>2009.0</v>
      </c>
      <c r="I319" s="7">
        <v>40088.0</v>
      </c>
      <c r="L319" s="3" t="s">
        <v>1628</v>
      </c>
    </row>
    <row r="320" ht="14.25" customHeight="1">
      <c r="A320" s="3">
        <v>162.0</v>
      </c>
      <c r="B320" s="3">
        <v>1.9793927E7</v>
      </c>
      <c r="C320" s="3" t="s">
        <v>1629</v>
      </c>
      <c r="D320" s="3" t="s">
        <v>1630</v>
      </c>
      <c r="E320" s="3" t="s">
        <v>1631</v>
      </c>
      <c r="F320" s="3" t="s">
        <v>655</v>
      </c>
      <c r="G320" s="3" t="s">
        <v>167</v>
      </c>
      <c r="H320" s="3">
        <v>2010.0</v>
      </c>
      <c r="I320" s="7">
        <v>40088.0</v>
      </c>
      <c r="L320" s="3" t="s">
        <v>1632</v>
      </c>
    </row>
    <row r="321" ht="14.25" customHeight="1">
      <c r="A321" s="3">
        <v>163.0</v>
      </c>
      <c r="B321" s="3">
        <v>1.9684298E7</v>
      </c>
      <c r="C321" s="3" t="s">
        <v>481</v>
      </c>
      <c r="D321" s="3" t="s">
        <v>482</v>
      </c>
      <c r="E321" s="3" t="s">
        <v>483</v>
      </c>
      <c r="F321" s="3" t="s">
        <v>484</v>
      </c>
      <c r="G321" s="3" t="s">
        <v>167</v>
      </c>
      <c r="H321" s="3">
        <v>2009.0</v>
      </c>
      <c r="I321" s="7">
        <v>40043.0</v>
      </c>
      <c r="L321" s="3" t="s">
        <v>485</v>
      </c>
    </row>
    <row r="322" ht="14.25" customHeight="1">
      <c r="A322" s="3">
        <v>164.0</v>
      </c>
      <c r="B322" s="3">
        <v>1.957518E7</v>
      </c>
      <c r="C322" s="3" t="s">
        <v>486</v>
      </c>
      <c r="D322" s="3" t="s">
        <v>487</v>
      </c>
      <c r="E322" s="3" t="s">
        <v>488</v>
      </c>
      <c r="F322" s="3" t="s">
        <v>489</v>
      </c>
      <c r="G322" s="3" t="s">
        <v>274</v>
      </c>
      <c r="H322" s="3">
        <v>2009.0</v>
      </c>
      <c r="I322" s="7">
        <v>39998.0</v>
      </c>
      <c r="L322" s="3" t="s">
        <v>490</v>
      </c>
    </row>
    <row r="323" ht="14.25" customHeight="1">
      <c r="A323" s="3">
        <v>165.0</v>
      </c>
      <c r="B323" s="3">
        <v>1.9557391E7</v>
      </c>
      <c r="C323" s="3" t="s">
        <v>1633</v>
      </c>
      <c r="D323" s="3" t="s">
        <v>1634</v>
      </c>
      <c r="E323" s="3" t="s">
        <v>1635</v>
      </c>
      <c r="F323" s="3" t="s">
        <v>1636</v>
      </c>
      <c r="G323" s="3" t="s">
        <v>274</v>
      </c>
      <c r="H323" s="3">
        <v>2010.0</v>
      </c>
      <c r="I323" s="7">
        <v>39991.0</v>
      </c>
      <c r="L323" s="3" t="s">
        <v>1637</v>
      </c>
    </row>
    <row r="324" ht="14.25" customHeight="1">
      <c r="A324" s="3">
        <v>166.0</v>
      </c>
      <c r="B324" s="3">
        <v>1.9486478E7</v>
      </c>
      <c r="C324" s="3" t="s">
        <v>1638</v>
      </c>
      <c r="D324" s="3" t="s">
        <v>1639</v>
      </c>
      <c r="E324" s="3" t="s">
        <v>1640</v>
      </c>
      <c r="F324" s="3" t="s">
        <v>1641</v>
      </c>
      <c r="G324" s="3" t="s">
        <v>591</v>
      </c>
      <c r="H324" s="3">
        <v>2010.0</v>
      </c>
      <c r="I324" s="7">
        <v>39967.0</v>
      </c>
      <c r="L324" s="3" t="s">
        <v>1642</v>
      </c>
    </row>
    <row r="325" ht="14.25" customHeight="1">
      <c r="A325" s="3">
        <v>167.0</v>
      </c>
      <c r="B325" s="3">
        <v>1.9483077E7</v>
      </c>
      <c r="C325" s="3" t="s">
        <v>1643</v>
      </c>
      <c r="D325" s="3" t="s">
        <v>1644</v>
      </c>
      <c r="E325" s="3" t="s">
        <v>1645</v>
      </c>
      <c r="F325" s="3" t="s">
        <v>1646</v>
      </c>
      <c r="G325" s="3" t="s">
        <v>167</v>
      </c>
      <c r="H325" s="3">
        <v>2009.0</v>
      </c>
      <c r="I325" s="7">
        <v>39966.0</v>
      </c>
      <c r="L325" s="3" t="s">
        <v>1647</v>
      </c>
    </row>
    <row r="326" ht="14.25" customHeight="1">
      <c r="A326" s="3">
        <v>168.0</v>
      </c>
      <c r="B326" s="3">
        <v>1.9423416E7</v>
      </c>
      <c r="C326" s="3" t="s">
        <v>1648</v>
      </c>
      <c r="D326" s="3" t="s">
        <v>1649</v>
      </c>
      <c r="E326" s="3" t="s">
        <v>1650</v>
      </c>
      <c r="F326" s="3" t="s">
        <v>1651</v>
      </c>
      <c r="G326" s="3" t="s">
        <v>257</v>
      </c>
      <c r="H326" s="3">
        <v>2009.0</v>
      </c>
      <c r="I326" s="7">
        <v>39942.0</v>
      </c>
      <c r="L326" s="3" t="s">
        <v>1652</v>
      </c>
    </row>
    <row r="327" ht="14.25" customHeight="1">
      <c r="A327" s="3">
        <v>169.0</v>
      </c>
      <c r="B327" s="3">
        <v>1.9374299E7</v>
      </c>
      <c r="C327" s="3" t="s">
        <v>491</v>
      </c>
      <c r="D327" s="3" t="s">
        <v>492</v>
      </c>
      <c r="E327" s="3" t="s">
        <v>493</v>
      </c>
      <c r="F327" s="3" t="s">
        <v>494</v>
      </c>
      <c r="G327" s="3" t="s">
        <v>495</v>
      </c>
      <c r="H327" s="3">
        <v>2009.0</v>
      </c>
      <c r="I327" s="7">
        <v>39924.0</v>
      </c>
    </row>
    <row r="328" ht="14.25" customHeight="1">
      <c r="A328" s="3">
        <v>170.0</v>
      </c>
      <c r="B328" s="3">
        <v>1.9323939E7</v>
      </c>
      <c r="C328" s="3" t="s">
        <v>1653</v>
      </c>
      <c r="D328" s="3" t="s">
        <v>1654</v>
      </c>
      <c r="E328" s="3" t="s">
        <v>1655</v>
      </c>
      <c r="F328" s="3" t="s">
        <v>1656</v>
      </c>
      <c r="G328" s="3" t="s">
        <v>1657</v>
      </c>
      <c r="H328" s="3">
        <v>2009.0</v>
      </c>
      <c r="I328" s="7">
        <v>39900.0</v>
      </c>
    </row>
    <row r="329" ht="14.25" customHeight="1">
      <c r="A329" s="3">
        <v>171.0</v>
      </c>
      <c r="B329" s="3">
        <v>1.9193599E7</v>
      </c>
      <c r="C329" s="3" t="s">
        <v>1658</v>
      </c>
      <c r="D329" s="3" t="s">
        <v>1659</v>
      </c>
      <c r="E329" s="3" t="s">
        <v>1660</v>
      </c>
      <c r="F329" s="3" t="s">
        <v>864</v>
      </c>
      <c r="G329" s="3" t="s">
        <v>167</v>
      </c>
      <c r="H329" s="3">
        <v>2009.0</v>
      </c>
      <c r="I329" s="7">
        <v>39850.0</v>
      </c>
      <c r="L329" s="3" t="s">
        <v>1661</v>
      </c>
    </row>
    <row r="330" ht="14.25" customHeight="1">
      <c r="A330" s="3">
        <v>172.0</v>
      </c>
      <c r="B330" s="3">
        <v>1.9169783E7</v>
      </c>
      <c r="C330" s="3" t="s">
        <v>1662</v>
      </c>
      <c r="D330" s="3" t="s">
        <v>1663</v>
      </c>
      <c r="E330" s="3" t="s">
        <v>1664</v>
      </c>
      <c r="F330" s="3" t="s">
        <v>1665</v>
      </c>
      <c r="G330" s="3" t="s">
        <v>1666</v>
      </c>
      <c r="H330" s="3">
        <v>2008.0</v>
      </c>
      <c r="I330" s="7">
        <v>39840.0</v>
      </c>
      <c r="L330" s="3" t="s">
        <v>1667</v>
      </c>
    </row>
    <row r="331" ht="14.25" customHeight="1">
      <c r="A331" s="3">
        <v>173.0</v>
      </c>
      <c r="B331" s="3">
        <v>1.9102185E7</v>
      </c>
      <c r="C331" s="3" t="s">
        <v>1668</v>
      </c>
      <c r="D331" s="3" t="s">
        <v>1669</v>
      </c>
      <c r="E331" s="3" t="s">
        <v>1670</v>
      </c>
      <c r="F331" s="3" t="s">
        <v>1671</v>
      </c>
      <c r="G331" s="3" t="s">
        <v>1672</v>
      </c>
      <c r="H331" s="3">
        <v>2008.0</v>
      </c>
      <c r="I331" s="7">
        <v>39806.0</v>
      </c>
    </row>
    <row r="332" ht="14.25" customHeight="1">
      <c r="A332" s="3">
        <v>174.0</v>
      </c>
      <c r="B332" s="3">
        <v>1.8989731E7</v>
      </c>
      <c r="C332" s="3" t="s">
        <v>496</v>
      </c>
      <c r="D332" s="3" t="s">
        <v>497</v>
      </c>
      <c r="E332" s="3" t="s">
        <v>498</v>
      </c>
      <c r="F332" s="3" t="s">
        <v>499</v>
      </c>
      <c r="G332" s="3" t="s">
        <v>500</v>
      </c>
      <c r="H332" s="3">
        <v>2009.0</v>
      </c>
      <c r="I332" s="7">
        <v>39760.0</v>
      </c>
      <c r="J332" s="3" t="s">
        <v>501</v>
      </c>
      <c r="L332" s="3" t="s">
        <v>502</v>
      </c>
    </row>
    <row r="333" ht="14.25" customHeight="1">
      <c r="A333" s="3">
        <v>175.0</v>
      </c>
      <c r="B333" s="3">
        <v>1.8929746E7</v>
      </c>
      <c r="C333" s="3" t="s">
        <v>503</v>
      </c>
      <c r="D333" s="3" t="s">
        <v>504</v>
      </c>
      <c r="E333" s="3" t="s">
        <v>505</v>
      </c>
      <c r="F333" s="3" t="s">
        <v>506</v>
      </c>
      <c r="G333" s="3" t="s">
        <v>507</v>
      </c>
      <c r="H333" s="3">
        <v>2008.0</v>
      </c>
      <c r="I333" s="7">
        <v>39743.0</v>
      </c>
      <c r="L333" s="3" t="s">
        <v>508</v>
      </c>
    </row>
    <row r="334" ht="14.25" customHeight="1">
      <c r="A334" s="3">
        <v>176.0</v>
      </c>
      <c r="B334" s="3">
        <v>1.8762911E7</v>
      </c>
      <c r="C334" s="3" t="s">
        <v>1673</v>
      </c>
      <c r="D334" s="3" t="s">
        <v>1674</v>
      </c>
      <c r="E334" s="3" t="s">
        <v>1675</v>
      </c>
      <c r="F334" s="3" t="s">
        <v>1676</v>
      </c>
      <c r="G334" s="3" t="s">
        <v>274</v>
      </c>
      <c r="H334" s="3">
        <v>2008.0</v>
      </c>
      <c r="I334" s="7">
        <v>39694.0</v>
      </c>
      <c r="L334" s="3" t="s">
        <v>1677</v>
      </c>
    </row>
    <row r="335" ht="14.25" customHeight="1">
      <c r="A335" s="3">
        <v>177.0</v>
      </c>
      <c r="B335" s="3">
        <v>1.8630561E7</v>
      </c>
      <c r="C335" s="3" t="s">
        <v>1678</v>
      </c>
      <c r="D335" s="3" t="s">
        <v>1679</v>
      </c>
      <c r="E335" s="3" t="s">
        <v>1680</v>
      </c>
      <c r="F335" s="3" t="s">
        <v>1681</v>
      </c>
      <c r="G335" s="3" t="s">
        <v>1010</v>
      </c>
      <c r="H335" s="3">
        <v>2008.0</v>
      </c>
      <c r="I335" s="7">
        <v>39647.0</v>
      </c>
    </row>
    <row r="336" ht="14.25" customHeight="1">
      <c r="A336" s="3">
        <v>178.0</v>
      </c>
      <c r="B336" s="3">
        <v>1.8589271E7</v>
      </c>
      <c r="C336" s="3" t="s">
        <v>1682</v>
      </c>
      <c r="D336" s="3" t="s">
        <v>1683</v>
      </c>
      <c r="E336" s="3" t="s">
        <v>1684</v>
      </c>
      <c r="F336" s="3" t="s">
        <v>1685</v>
      </c>
      <c r="G336" s="3" t="s">
        <v>186</v>
      </c>
      <c r="H336" s="3">
        <v>2008.0</v>
      </c>
      <c r="I336" s="7">
        <v>39630.0</v>
      </c>
      <c r="L336" s="3" t="s">
        <v>1686</v>
      </c>
    </row>
    <row r="337" ht="14.25" customHeight="1">
      <c r="A337" s="3">
        <v>179.0</v>
      </c>
      <c r="B337" s="3">
        <v>1.8490472E7</v>
      </c>
      <c r="C337" s="3" t="s">
        <v>1687</v>
      </c>
      <c r="D337" s="3" t="s">
        <v>1688</v>
      </c>
      <c r="E337" s="3" t="s">
        <v>1689</v>
      </c>
      <c r="F337" s="3" t="s">
        <v>1690</v>
      </c>
      <c r="G337" s="3" t="s">
        <v>167</v>
      </c>
      <c r="H337" s="3">
        <v>2008.0</v>
      </c>
      <c r="I337" s="7">
        <v>39589.0</v>
      </c>
      <c r="L337" s="3" t="s">
        <v>1691</v>
      </c>
    </row>
    <row r="338" ht="14.25" customHeight="1">
      <c r="A338" s="3">
        <v>180.0</v>
      </c>
      <c r="B338" s="3">
        <v>1.838598E7</v>
      </c>
      <c r="C338" s="3" t="s">
        <v>1692</v>
      </c>
      <c r="D338" s="3" t="s">
        <v>1693</v>
      </c>
      <c r="E338" s="3" t="s">
        <v>1694</v>
      </c>
      <c r="F338" s="3" t="s">
        <v>1695</v>
      </c>
      <c r="G338" s="3" t="s">
        <v>274</v>
      </c>
      <c r="H338" s="3">
        <v>2008.0</v>
      </c>
      <c r="I338" s="7">
        <v>39542.0</v>
      </c>
      <c r="J338" s="3" t="s">
        <v>1696</v>
      </c>
      <c r="L338" s="3" t="s">
        <v>1697</v>
      </c>
    </row>
    <row r="339" ht="14.25" customHeight="1">
      <c r="A339" s="3">
        <v>181.0</v>
      </c>
      <c r="B339" s="3">
        <v>1.8367398E7</v>
      </c>
      <c r="C339" s="3" t="s">
        <v>1698</v>
      </c>
      <c r="D339" s="3" t="s">
        <v>1699</v>
      </c>
      <c r="E339" s="3" t="s">
        <v>1700</v>
      </c>
      <c r="F339" s="3" t="s">
        <v>1701</v>
      </c>
      <c r="G339" s="3" t="s">
        <v>180</v>
      </c>
      <c r="H339" s="3">
        <v>2008.0</v>
      </c>
      <c r="I339" s="7">
        <v>39535.0</v>
      </c>
      <c r="L339" s="3" t="s">
        <v>1702</v>
      </c>
    </row>
    <row r="340" ht="14.25" customHeight="1">
      <c r="A340" s="3">
        <v>182.0</v>
      </c>
      <c r="B340" s="3">
        <v>1.8237696E7</v>
      </c>
      <c r="C340" s="3" t="s">
        <v>1703</v>
      </c>
      <c r="D340" s="3" t="s">
        <v>1704</v>
      </c>
      <c r="E340" s="3" t="s">
        <v>1705</v>
      </c>
      <c r="F340" s="3" t="s">
        <v>1706</v>
      </c>
      <c r="G340" s="3" t="s">
        <v>186</v>
      </c>
      <c r="H340" s="3">
        <v>2008.0</v>
      </c>
      <c r="I340" s="7">
        <v>39480.0</v>
      </c>
      <c r="L340" s="3" t="s">
        <v>1707</v>
      </c>
    </row>
    <row r="341" ht="14.25" customHeight="1">
      <c r="A341" s="3">
        <v>183.0</v>
      </c>
      <c r="B341" s="3">
        <v>1.8212347E7</v>
      </c>
      <c r="C341" s="3" t="s">
        <v>1708</v>
      </c>
      <c r="D341" s="3" t="s">
        <v>1709</v>
      </c>
      <c r="E341" s="3" t="s">
        <v>1710</v>
      </c>
      <c r="F341" s="3" t="s">
        <v>1711</v>
      </c>
      <c r="G341" s="3" t="s">
        <v>167</v>
      </c>
      <c r="H341" s="3">
        <v>2008.0</v>
      </c>
      <c r="I341" s="7">
        <v>39471.0</v>
      </c>
      <c r="L341" s="3" t="s">
        <v>1712</v>
      </c>
    </row>
    <row r="342" ht="14.25" customHeight="1">
      <c r="A342" s="3">
        <v>184.0</v>
      </c>
      <c r="B342" s="3">
        <v>1.8208432E7</v>
      </c>
      <c r="C342" s="3" t="s">
        <v>1713</v>
      </c>
      <c r="D342" s="3" t="s">
        <v>1714</v>
      </c>
      <c r="E342" s="3" t="s">
        <v>1715</v>
      </c>
      <c r="F342" s="3" t="s">
        <v>446</v>
      </c>
      <c r="G342" s="3" t="s">
        <v>591</v>
      </c>
      <c r="H342" s="3">
        <v>2008.0</v>
      </c>
      <c r="I342" s="7">
        <v>39470.0</v>
      </c>
      <c r="L342" s="3" t="s">
        <v>1716</v>
      </c>
    </row>
    <row r="343" ht="14.25" customHeight="1">
      <c r="A343" s="3">
        <v>185.0</v>
      </c>
      <c r="B343" s="3">
        <v>1.8193194E7</v>
      </c>
      <c r="C343" s="3" t="s">
        <v>1717</v>
      </c>
      <c r="D343" s="3" t="s">
        <v>1718</v>
      </c>
      <c r="E343" s="3" t="s">
        <v>1719</v>
      </c>
      <c r="F343" s="3" t="s">
        <v>1720</v>
      </c>
      <c r="G343" s="3" t="s">
        <v>274</v>
      </c>
      <c r="H343" s="3">
        <v>2008.0</v>
      </c>
      <c r="I343" s="7">
        <v>39462.0</v>
      </c>
      <c r="L343" s="3" t="s">
        <v>1721</v>
      </c>
    </row>
    <row r="344" ht="14.25" customHeight="1">
      <c r="A344" s="3">
        <v>186.0</v>
      </c>
      <c r="B344" s="3">
        <v>1.8192493E7</v>
      </c>
      <c r="C344" s="3" t="s">
        <v>1722</v>
      </c>
      <c r="D344" s="3" t="s">
        <v>1723</v>
      </c>
      <c r="E344" s="3" t="s">
        <v>1724</v>
      </c>
      <c r="F344" s="3" t="s">
        <v>1725</v>
      </c>
      <c r="G344" s="3" t="s">
        <v>167</v>
      </c>
      <c r="H344" s="3">
        <v>2008.0</v>
      </c>
      <c r="I344" s="7">
        <v>39462.0</v>
      </c>
      <c r="L344" s="3" t="s">
        <v>1726</v>
      </c>
    </row>
    <row r="345" ht="14.25" customHeight="1">
      <c r="A345" s="3">
        <v>187.0</v>
      </c>
      <c r="B345" s="3">
        <v>1.8063177E7</v>
      </c>
      <c r="C345" s="3" t="s">
        <v>1727</v>
      </c>
      <c r="D345" s="3" t="s">
        <v>1728</v>
      </c>
      <c r="E345" s="3" t="s">
        <v>1729</v>
      </c>
      <c r="F345" s="3" t="s">
        <v>1730</v>
      </c>
      <c r="G345" s="3" t="s">
        <v>186</v>
      </c>
      <c r="H345" s="3">
        <v>2007.0</v>
      </c>
      <c r="I345" s="7">
        <v>39424.0</v>
      </c>
      <c r="L345" s="3" t="s">
        <v>1731</v>
      </c>
    </row>
    <row r="346" ht="14.25" customHeight="1">
      <c r="A346" s="3">
        <v>188.0</v>
      </c>
      <c r="B346" s="3">
        <v>1.7940146E7</v>
      </c>
      <c r="C346" s="3" t="s">
        <v>1732</v>
      </c>
      <c r="D346" s="3" t="s">
        <v>1733</v>
      </c>
      <c r="E346" s="3" t="s">
        <v>1734</v>
      </c>
      <c r="F346" s="3" t="s">
        <v>1641</v>
      </c>
      <c r="G346" s="3" t="s">
        <v>167</v>
      </c>
      <c r="H346" s="3">
        <v>2008.0</v>
      </c>
      <c r="I346" s="7">
        <v>39373.0</v>
      </c>
      <c r="L346" s="3" t="s">
        <v>1735</v>
      </c>
    </row>
    <row r="347" ht="14.25" customHeight="1">
      <c r="A347" s="3">
        <v>189.0</v>
      </c>
      <c r="B347" s="3">
        <v>1.7940145E7</v>
      </c>
      <c r="C347" s="3" t="s">
        <v>1736</v>
      </c>
      <c r="D347" s="3" t="s">
        <v>1737</v>
      </c>
      <c r="E347" s="3" t="s">
        <v>1738</v>
      </c>
      <c r="F347" s="3" t="s">
        <v>816</v>
      </c>
      <c r="G347" s="3" t="s">
        <v>167</v>
      </c>
      <c r="H347" s="3">
        <v>2008.0</v>
      </c>
      <c r="I347" s="7">
        <v>39373.0</v>
      </c>
      <c r="L347" s="3" t="s">
        <v>1739</v>
      </c>
    </row>
    <row r="348" ht="14.25" customHeight="1">
      <c r="A348" s="3">
        <v>190.0</v>
      </c>
      <c r="B348" s="3">
        <v>1.7934715E7</v>
      </c>
      <c r="C348" s="3" t="s">
        <v>1740</v>
      </c>
      <c r="D348" s="3" t="s">
        <v>1741</v>
      </c>
      <c r="E348" s="3" t="s">
        <v>1742</v>
      </c>
      <c r="F348" s="3" t="s">
        <v>1743</v>
      </c>
      <c r="G348" s="3" t="s">
        <v>274</v>
      </c>
      <c r="H348" s="3">
        <v>2008.0</v>
      </c>
      <c r="I348" s="7">
        <v>39371.0</v>
      </c>
      <c r="L348" s="3" t="s">
        <v>1744</v>
      </c>
    </row>
    <row r="349" ht="14.25" customHeight="1">
      <c r="A349" s="3">
        <v>191.0</v>
      </c>
      <c r="B349" s="3">
        <v>1.7905952E7</v>
      </c>
      <c r="C349" s="3" t="s">
        <v>1745</v>
      </c>
      <c r="D349" s="3" t="s">
        <v>1746</v>
      </c>
      <c r="E349" s="3" t="s">
        <v>1747</v>
      </c>
      <c r="F349" s="3" t="s">
        <v>1748</v>
      </c>
      <c r="G349" s="3" t="s">
        <v>726</v>
      </c>
      <c r="H349" s="3">
        <v>2007.0</v>
      </c>
      <c r="I349" s="7">
        <v>39357.0</v>
      </c>
      <c r="L349" s="3" t="s">
        <v>1749</v>
      </c>
    </row>
    <row r="350" ht="14.25" customHeight="1">
      <c r="A350" s="3">
        <v>192.0</v>
      </c>
      <c r="B350" s="3">
        <v>1.7637413E7</v>
      </c>
      <c r="C350" s="3" t="s">
        <v>1750</v>
      </c>
      <c r="D350" s="3" t="s">
        <v>1751</v>
      </c>
      <c r="E350" s="3" t="s">
        <v>1752</v>
      </c>
      <c r="F350" s="3" t="s">
        <v>1753</v>
      </c>
      <c r="G350" s="3" t="s">
        <v>186</v>
      </c>
      <c r="H350" s="3">
        <v>2007.0</v>
      </c>
      <c r="I350" s="7">
        <v>39283.0</v>
      </c>
      <c r="L350" s="3" t="s">
        <v>1754</v>
      </c>
    </row>
    <row r="351" ht="14.25" customHeight="1">
      <c r="A351" s="3">
        <v>193.0</v>
      </c>
      <c r="B351" s="3">
        <v>1.7560476E7</v>
      </c>
      <c r="C351" s="3" t="s">
        <v>1755</v>
      </c>
      <c r="D351" s="3" t="s">
        <v>1756</v>
      </c>
      <c r="E351" s="3" t="s">
        <v>1757</v>
      </c>
      <c r="F351" s="3" t="s">
        <v>1758</v>
      </c>
      <c r="G351" s="3" t="s">
        <v>186</v>
      </c>
      <c r="H351" s="3">
        <v>2007.0</v>
      </c>
      <c r="I351" s="7">
        <v>39248.0</v>
      </c>
      <c r="L351" s="3" t="s">
        <v>1759</v>
      </c>
    </row>
    <row r="352" ht="14.25" customHeight="1">
      <c r="A352" s="3">
        <v>194.0</v>
      </c>
      <c r="B352" s="3">
        <v>1.7431619E7</v>
      </c>
      <c r="C352" s="3" t="s">
        <v>524</v>
      </c>
      <c r="D352" s="3" t="s">
        <v>525</v>
      </c>
      <c r="E352" s="3" t="s">
        <v>526</v>
      </c>
      <c r="F352" s="3" t="s">
        <v>251</v>
      </c>
      <c r="G352" s="3" t="s">
        <v>328</v>
      </c>
      <c r="H352" s="3">
        <v>2008.0</v>
      </c>
      <c r="I352" s="7">
        <v>39186.0</v>
      </c>
      <c r="J352" s="3" t="s">
        <v>527</v>
      </c>
      <c r="L352" s="3" t="s">
        <v>528</v>
      </c>
    </row>
    <row r="353" ht="14.25" customHeight="1">
      <c r="A353" s="3">
        <v>195.0</v>
      </c>
      <c r="B353" s="3">
        <v>1.7293471E7</v>
      </c>
      <c r="C353" s="3" t="s">
        <v>529</v>
      </c>
      <c r="D353" s="3" t="s">
        <v>530</v>
      </c>
      <c r="E353" s="3" t="s">
        <v>531</v>
      </c>
      <c r="F353" s="3" t="s">
        <v>532</v>
      </c>
      <c r="G353" s="3" t="s">
        <v>167</v>
      </c>
      <c r="H353" s="3">
        <v>2007.0</v>
      </c>
      <c r="I353" s="7">
        <v>39126.0</v>
      </c>
      <c r="L353" s="3" t="s">
        <v>533</v>
      </c>
    </row>
    <row r="354" ht="14.25" customHeight="1">
      <c r="A354" s="3">
        <v>196.0</v>
      </c>
      <c r="B354" s="3">
        <v>1.7261567E7</v>
      </c>
      <c r="C354" s="3" t="s">
        <v>534</v>
      </c>
      <c r="D354" s="3" t="s">
        <v>535</v>
      </c>
      <c r="E354" s="3" t="s">
        <v>536</v>
      </c>
      <c r="F354" s="3" t="s">
        <v>537</v>
      </c>
      <c r="G354" s="3" t="s">
        <v>167</v>
      </c>
      <c r="H354" s="3">
        <v>2007.0</v>
      </c>
      <c r="I354" s="7">
        <v>39113.0</v>
      </c>
      <c r="L354" s="3" t="s">
        <v>538</v>
      </c>
    </row>
    <row r="355" ht="14.25" customHeight="1">
      <c r="A355" s="3">
        <v>197.0</v>
      </c>
      <c r="B355" s="3">
        <v>1.7251174E7</v>
      </c>
      <c r="C355" s="3" t="s">
        <v>539</v>
      </c>
      <c r="D355" s="3" t="s">
        <v>540</v>
      </c>
      <c r="E355" s="3" t="s">
        <v>541</v>
      </c>
      <c r="F355" s="3" t="s">
        <v>542</v>
      </c>
      <c r="G355" s="3" t="s">
        <v>167</v>
      </c>
      <c r="H355" s="3">
        <v>2007.0</v>
      </c>
      <c r="I355" s="7">
        <v>39108.0</v>
      </c>
      <c r="L355" s="3" t="s">
        <v>543</v>
      </c>
    </row>
    <row r="356" ht="14.25" customHeight="1">
      <c r="A356" s="3">
        <v>198.0</v>
      </c>
      <c r="B356" s="3">
        <v>1.7219226E7</v>
      </c>
      <c r="C356" s="3" t="s">
        <v>549</v>
      </c>
      <c r="D356" s="3" t="s">
        <v>550</v>
      </c>
      <c r="E356" s="3" t="s">
        <v>551</v>
      </c>
      <c r="F356" s="3" t="s">
        <v>552</v>
      </c>
      <c r="G356" s="3" t="s">
        <v>274</v>
      </c>
      <c r="H356" s="3">
        <v>2007.0</v>
      </c>
      <c r="I356" s="7">
        <v>39098.0</v>
      </c>
      <c r="L356" s="3" t="s">
        <v>553</v>
      </c>
    </row>
    <row r="357" ht="14.25" customHeight="1">
      <c r="A357" s="3">
        <v>199.0</v>
      </c>
      <c r="B357" s="3">
        <v>1.7218661E7</v>
      </c>
      <c r="C357" s="3" t="s">
        <v>554</v>
      </c>
      <c r="D357" s="3" t="s">
        <v>555</v>
      </c>
      <c r="E357" s="3" t="s">
        <v>556</v>
      </c>
      <c r="F357" s="3" t="s">
        <v>557</v>
      </c>
      <c r="G357" s="3" t="s">
        <v>167</v>
      </c>
      <c r="H357" s="3">
        <v>2007.0</v>
      </c>
      <c r="I357" s="7">
        <v>39098.0</v>
      </c>
      <c r="L357" s="3" t="s">
        <v>558</v>
      </c>
    </row>
    <row r="358" ht="14.25" customHeight="1">
      <c r="A358" s="3">
        <v>200.0</v>
      </c>
      <c r="B358" s="3">
        <v>1.7216271E7</v>
      </c>
      <c r="C358" s="3" t="s">
        <v>1760</v>
      </c>
      <c r="D358" s="3" t="s">
        <v>1761</v>
      </c>
      <c r="E358" s="3" t="s">
        <v>1762</v>
      </c>
      <c r="F358" s="3" t="s">
        <v>816</v>
      </c>
      <c r="G358" s="3" t="s">
        <v>274</v>
      </c>
      <c r="H358" s="3">
        <v>2007.0</v>
      </c>
      <c r="I358" s="7">
        <v>39094.0</v>
      </c>
      <c r="L358" s="3" t="s">
        <v>1763</v>
      </c>
    </row>
    <row r="359" ht="14.25" customHeight="1">
      <c r="A359" s="3">
        <v>201.0</v>
      </c>
      <c r="B359" s="3">
        <v>1.7129731E7</v>
      </c>
      <c r="C359" s="3" t="s">
        <v>559</v>
      </c>
      <c r="D359" s="3" t="s">
        <v>560</v>
      </c>
      <c r="E359" s="3" t="s">
        <v>561</v>
      </c>
      <c r="F359" s="3" t="s">
        <v>562</v>
      </c>
      <c r="G359" s="3" t="s">
        <v>180</v>
      </c>
      <c r="H359" s="3">
        <v>2007.0</v>
      </c>
      <c r="I359" s="7">
        <v>39051.0</v>
      </c>
      <c r="L359" s="3" t="s">
        <v>563</v>
      </c>
    </row>
    <row r="360" ht="14.25" customHeight="1">
      <c r="A360" s="3">
        <v>202.0</v>
      </c>
      <c r="B360" s="3">
        <v>1.7091015E7</v>
      </c>
      <c r="C360" s="3" t="s">
        <v>1764</v>
      </c>
      <c r="D360" s="3" t="s">
        <v>1765</v>
      </c>
      <c r="E360" s="3" t="s">
        <v>1766</v>
      </c>
      <c r="F360" s="3" t="s">
        <v>1767</v>
      </c>
      <c r="G360" s="3" t="s">
        <v>500</v>
      </c>
      <c r="H360" s="3">
        <v>2007.0</v>
      </c>
      <c r="I360" s="7">
        <v>39030.0</v>
      </c>
      <c r="L360" s="3" t="s">
        <v>1768</v>
      </c>
    </row>
    <row r="361" ht="14.25" customHeight="1">
      <c r="A361" s="3">
        <v>203.0</v>
      </c>
      <c r="B361" s="3">
        <v>1.6923826E7</v>
      </c>
      <c r="C361" s="3" t="s">
        <v>569</v>
      </c>
      <c r="D361" s="3" t="s">
        <v>570</v>
      </c>
      <c r="E361" s="3" t="s">
        <v>571</v>
      </c>
      <c r="F361" s="3" t="s">
        <v>251</v>
      </c>
      <c r="G361" s="3" t="s">
        <v>167</v>
      </c>
      <c r="H361" s="3">
        <v>2006.0</v>
      </c>
      <c r="I361" s="7">
        <v>38952.0</v>
      </c>
      <c r="L361" s="3" t="s">
        <v>572</v>
      </c>
    </row>
    <row r="362" ht="14.25" customHeight="1">
      <c r="A362" s="3">
        <v>204.0</v>
      </c>
      <c r="B362" s="3">
        <v>1.6685087E7</v>
      </c>
      <c r="C362" s="3" t="s">
        <v>1769</v>
      </c>
      <c r="D362" s="3" t="s">
        <v>1770</v>
      </c>
      <c r="E362" s="3" t="s">
        <v>1771</v>
      </c>
      <c r="F362" s="3" t="s">
        <v>636</v>
      </c>
      <c r="G362" s="3" t="s">
        <v>167</v>
      </c>
      <c r="H362" s="3">
        <v>2006.0</v>
      </c>
      <c r="I362" s="7">
        <v>38848.0</v>
      </c>
      <c r="L362" s="3" t="s">
        <v>1772</v>
      </c>
    </row>
    <row r="363" ht="14.25" customHeight="1">
      <c r="A363" s="3">
        <v>205.0</v>
      </c>
      <c r="B363" s="3">
        <v>1.6552549E7</v>
      </c>
      <c r="C363" s="3" t="s">
        <v>573</v>
      </c>
      <c r="D363" s="3" t="s">
        <v>574</v>
      </c>
      <c r="E363" s="3" t="s">
        <v>575</v>
      </c>
      <c r="F363" s="3" t="s">
        <v>576</v>
      </c>
      <c r="G363" s="3" t="s">
        <v>274</v>
      </c>
      <c r="H363" s="3">
        <v>2006.0</v>
      </c>
      <c r="I363" s="7">
        <v>38799.0</v>
      </c>
      <c r="L363" s="3" t="s">
        <v>577</v>
      </c>
    </row>
    <row r="364" ht="14.25" customHeight="1">
      <c r="A364" s="3">
        <v>206.0</v>
      </c>
      <c r="B364" s="3">
        <v>1.6517306E7</v>
      </c>
      <c r="C364" s="3" t="s">
        <v>1773</v>
      </c>
      <c r="D364" s="3" t="s">
        <v>1774</v>
      </c>
      <c r="E364" s="3" t="s">
        <v>1775</v>
      </c>
      <c r="F364" s="3" t="s">
        <v>1543</v>
      </c>
      <c r="G364" s="3" t="s">
        <v>186</v>
      </c>
      <c r="H364" s="3">
        <v>2006.0</v>
      </c>
      <c r="I364" s="7">
        <v>38783.0</v>
      </c>
      <c r="L364" s="3" t="s">
        <v>1776</v>
      </c>
    </row>
    <row r="365" ht="14.25" customHeight="1">
      <c r="A365" s="3">
        <v>207.0</v>
      </c>
      <c r="B365" s="3">
        <v>1.6496124E7</v>
      </c>
      <c r="C365" s="3" t="s">
        <v>578</v>
      </c>
      <c r="D365" s="3" t="s">
        <v>579</v>
      </c>
      <c r="E365" s="3" t="s">
        <v>580</v>
      </c>
      <c r="F365" s="3" t="s">
        <v>581</v>
      </c>
      <c r="G365" s="3" t="s">
        <v>274</v>
      </c>
      <c r="H365" s="3">
        <v>2006.0</v>
      </c>
      <c r="I365" s="7">
        <v>38772.0</v>
      </c>
      <c r="L365" s="3" t="s">
        <v>582</v>
      </c>
    </row>
    <row r="366" ht="14.25" customHeight="1">
      <c r="A366" s="3">
        <v>208.0</v>
      </c>
      <c r="B366" s="3">
        <v>1.6465537E7</v>
      </c>
      <c r="C366" s="3" t="s">
        <v>1777</v>
      </c>
      <c r="D366" s="3" t="s">
        <v>1778</v>
      </c>
      <c r="E366" s="3" t="s">
        <v>1779</v>
      </c>
      <c r="F366" s="3" t="s">
        <v>1780</v>
      </c>
      <c r="G366" s="3" t="s">
        <v>274</v>
      </c>
      <c r="H366" s="3">
        <v>2006.0</v>
      </c>
      <c r="I366" s="7">
        <v>38757.0</v>
      </c>
      <c r="L366" s="3" t="s">
        <v>1781</v>
      </c>
    </row>
    <row r="367" ht="14.25" customHeight="1">
      <c r="A367" s="3">
        <v>209.0</v>
      </c>
      <c r="B367" s="3">
        <v>1.6325084E7</v>
      </c>
      <c r="C367" s="3" t="s">
        <v>1782</v>
      </c>
      <c r="D367" s="3" t="s">
        <v>1783</v>
      </c>
      <c r="E367" s="3" t="s">
        <v>1784</v>
      </c>
      <c r="F367" s="3" t="s">
        <v>1785</v>
      </c>
      <c r="G367" s="3" t="s">
        <v>186</v>
      </c>
      <c r="H367" s="3">
        <v>2005.0</v>
      </c>
      <c r="I367" s="7">
        <v>38692.0</v>
      </c>
      <c r="L367" s="3" t="s">
        <v>1786</v>
      </c>
    </row>
    <row r="368" ht="14.25" customHeight="1">
      <c r="A368" s="3">
        <v>210.0</v>
      </c>
      <c r="B368" s="3">
        <v>1.6292682E7</v>
      </c>
      <c r="C368" s="3" t="s">
        <v>593</v>
      </c>
      <c r="D368" s="3" t="s">
        <v>594</v>
      </c>
      <c r="E368" s="3" t="s">
        <v>595</v>
      </c>
      <c r="F368" s="3" t="s">
        <v>596</v>
      </c>
      <c r="G368" s="3" t="s">
        <v>274</v>
      </c>
      <c r="H368" s="3">
        <v>2006.0</v>
      </c>
      <c r="I368" s="7">
        <v>38674.0</v>
      </c>
      <c r="L368" s="3" t="s">
        <v>597</v>
      </c>
    </row>
    <row r="369" ht="14.25" customHeight="1">
      <c r="A369" s="3">
        <v>211.0</v>
      </c>
      <c r="B369" s="3">
        <v>1.6282583E7</v>
      </c>
      <c r="C369" s="3" t="s">
        <v>598</v>
      </c>
      <c r="D369" s="3" t="s">
        <v>599</v>
      </c>
      <c r="E369" s="3" t="s">
        <v>600</v>
      </c>
      <c r="F369" s="3" t="s">
        <v>601</v>
      </c>
      <c r="G369" s="3" t="s">
        <v>167</v>
      </c>
      <c r="H369" s="3">
        <v>2006.0</v>
      </c>
      <c r="I369" s="7">
        <v>38668.0</v>
      </c>
      <c r="L369" s="3" t="s">
        <v>602</v>
      </c>
    </row>
    <row r="370" ht="14.25" customHeight="1">
      <c r="A370" s="3">
        <v>212.0</v>
      </c>
      <c r="B370" s="3">
        <v>1.6167266E7</v>
      </c>
      <c r="C370" s="3" t="s">
        <v>1787</v>
      </c>
      <c r="D370" s="3" t="s">
        <v>1788</v>
      </c>
      <c r="E370" s="3" t="s">
        <v>1789</v>
      </c>
      <c r="F370" s="3" t="s">
        <v>1790</v>
      </c>
      <c r="G370" s="3" t="s">
        <v>1791</v>
      </c>
      <c r="H370" s="3">
        <v>2005.0</v>
      </c>
      <c r="I370" s="7">
        <v>38612.0</v>
      </c>
      <c r="L370" s="3" t="s">
        <v>1792</v>
      </c>
    </row>
    <row r="371" ht="14.25" customHeight="1">
      <c r="A371" s="3">
        <v>213.0</v>
      </c>
      <c r="B371" s="3">
        <v>1.6131675E7</v>
      </c>
      <c r="C371" s="3" t="s">
        <v>1793</v>
      </c>
      <c r="D371" s="3" t="s">
        <v>1794</v>
      </c>
      <c r="E371" s="3" t="s">
        <v>1795</v>
      </c>
      <c r="F371" s="3" t="s">
        <v>1796</v>
      </c>
      <c r="G371" s="3" t="s">
        <v>231</v>
      </c>
      <c r="H371" s="3">
        <v>2005.0</v>
      </c>
      <c r="I371" s="7">
        <v>38596.0</v>
      </c>
      <c r="L371" s="3" t="s">
        <v>1797</v>
      </c>
    </row>
    <row r="372" ht="14.25" customHeight="1">
      <c r="A372" s="3">
        <v>214.0</v>
      </c>
      <c r="B372" s="3">
        <v>1.6024251E7</v>
      </c>
      <c r="C372" s="3" t="s">
        <v>1798</v>
      </c>
      <c r="D372" s="3" t="s">
        <v>1799</v>
      </c>
      <c r="E372" s="3" t="s">
        <v>1800</v>
      </c>
      <c r="F372" s="3" t="s">
        <v>1753</v>
      </c>
      <c r="G372" s="3" t="s">
        <v>180</v>
      </c>
      <c r="H372" s="3">
        <v>2006.0</v>
      </c>
      <c r="I372" s="7">
        <v>38552.0</v>
      </c>
      <c r="L372" s="3" t="s">
        <v>1801</v>
      </c>
    </row>
    <row r="373" ht="14.25" customHeight="1">
      <c r="A373" s="3">
        <v>215.0</v>
      </c>
      <c r="B373" s="3">
        <v>1.580052E7</v>
      </c>
      <c r="C373" s="3" t="s">
        <v>613</v>
      </c>
      <c r="D373" s="3" t="s">
        <v>614</v>
      </c>
      <c r="E373" s="3" t="s">
        <v>615</v>
      </c>
      <c r="F373" s="3" t="s">
        <v>616</v>
      </c>
      <c r="G373" s="3" t="s">
        <v>186</v>
      </c>
      <c r="H373" s="3">
        <v>2005.0</v>
      </c>
      <c r="I373" s="7">
        <v>38443.0</v>
      </c>
      <c r="L373" s="3" t="s">
        <v>617</v>
      </c>
    </row>
    <row r="374" ht="14.25" customHeight="1">
      <c r="A374" s="3">
        <v>216.0</v>
      </c>
      <c r="B374" s="3">
        <v>1.5756612E7</v>
      </c>
      <c r="C374" s="3" t="s">
        <v>1802</v>
      </c>
      <c r="D374" s="3" t="s">
        <v>1803</v>
      </c>
      <c r="E374" s="3" t="s">
        <v>1804</v>
      </c>
      <c r="F374" s="3" t="s">
        <v>1805</v>
      </c>
      <c r="G374" s="3" t="s">
        <v>274</v>
      </c>
      <c r="H374" s="3">
        <v>2005.0</v>
      </c>
      <c r="I374" s="7">
        <v>38421.0</v>
      </c>
      <c r="L374" s="3" t="s">
        <v>1806</v>
      </c>
    </row>
    <row r="375" ht="14.25" customHeight="1">
      <c r="A375" s="3">
        <v>217.0</v>
      </c>
      <c r="B375" s="3">
        <v>1.5756179E7</v>
      </c>
      <c r="C375" s="3" t="s">
        <v>1807</v>
      </c>
      <c r="D375" s="3" t="s">
        <v>1808</v>
      </c>
      <c r="E375" s="3" t="s">
        <v>1809</v>
      </c>
      <c r="F375" s="3" t="s">
        <v>581</v>
      </c>
      <c r="G375" s="3" t="s">
        <v>186</v>
      </c>
      <c r="H375" s="3">
        <v>2005.0</v>
      </c>
      <c r="I375" s="7">
        <v>38421.0</v>
      </c>
      <c r="L375" s="3" t="s">
        <v>1810</v>
      </c>
    </row>
    <row r="376" ht="14.25" customHeight="1">
      <c r="A376" s="3">
        <v>218.0</v>
      </c>
      <c r="B376" s="3">
        <v>1.5723704E7</v>
      </c>
      <c r="C376" s="3" t="s">
        <v>1811</v>
      </c>
      <c r="D376" s="3" t="s">
        <v>1812</v>
      </c>
      <c r="E376" s="3" t="s">
        <v>1813</v>
      </c>
      <c r="F376" s="3" t="s">
        <v>1646</v>
      </c>
      <c r="G376" s="3" t="s">
        <v>1023</v>
      </c>
      <c r="H376" s="3">
        <v>2005.0</v>
      </c>
      <c r="I376" s="7">
        <v>38406.0</v>
      </c>
      <c r="J376" s="3" t="s">
        <v>1814</v>
      </c>
      <c r="L376" s="3" t="s">
        <v>1815</v>
      </c>
    </row>
    <row r="377" ht="14.25" customHeight="1">
      <c r="A377" s="3">
        <v>219.0</v>
      </c>
      <c r="B377" s="3">
        <v>1.5711494E7</v>
      </c>
      <c r="C377" s="3" t="s">
        <v>623</v>
      </c>
      <c r="D377" s="3" t="s">
        <v>624</v>
      </c>
      <c r="E377" s="3" t="s">
        <v>625</v>
      </c>
      <c r="F377" s="3" t="s">
        <v>626</v>
      </c>
      <c r="G377" s="3" t="s">
        <v>507</v>
      </c>
      <c r="H377" s="3">
        <v>2004.0</v>
      </c>
      <c r="I377" s="7">
        <v>38399.0</v>
      </c>
      <c r="L377" s="3" t="s">
        <v>627</v>
      </c>
    </row>
    <row r="378" ht="14.25" customHeight="1">
      <c r="A378" s="3">
        <v>220.0</v>
      </c>
      <c r="B378" s="3">
        <v>1.5650664E7</v>
      </c>
      <c r="C378" s="3" t="s">
        <v>633</v>
      </c>
      <c r="D378" s="3" t="s">
        <v>634</v>
      </c>
      <c r="E378" s="3" t="s">
        <v>635</v>
      </c>
      <c r="F378" s="3" t="s">
        <v>636</v>
      </c>
      <c r="G378" s="3" t="s">
        <v>186</v>
      </c>
      <c r="H378" s="3">
        <v>2005.0</v>
      </c>
      <c r="I378" s="7">
        <v>38367.0</v>
      </c>
      <c r="L378" s="3" t="s">
        <v>637</v>
      </c>
    </row>
    <row r="379" ht="14.25" customHeight="1">
      <c r="A379" s="3">
        <v>221.0</v>
      </c>
      <c r="B379" s="3">
        <v>1.5650663E7</v>
      </c>
      <c r="C379" s="3" t="s">
        <v>1816</v>
      </c>
      <c r="D379" s="3" t="s">
        <v>1817</v>
      </c>
      <c r="E379" s="3" t="s">
        <v>1818</v>
      </c>
      <c r="F379" s="3" t="s">
        <v>576</v>
      </c>
      <c r="G379" s="3" t="s">
        <v>186</v>
      </c>
      <c r="H379" s="3">
        <v>2005.0</v>
      </c>
      <c r="I379" s="7">
        <v>38367.0</v>
      </c>
      <c r="L379" s="3" t="s">
        <v>1819</v>
      </c>
    </row>
    <row r="380" ht="14.25" customHeight="1">
      <c r="A380" s="3">
        <v>222.0</v>
      </c>
      <c r="B380" s="3">
        <v>1.5611004E7</v>
      </c>
      <c r="C380" s="3" t="s">
        <v>638</v>
      </c>
      <c r="D380" s="3" t="s">
        <v>639</v>
      </c>
      <c r="E380" s="3" t="s">
        <v>640</v>
      </c>
      <c r="F380" s="3" t="s">
        <v>641</v>
      </c>
      <c r="G380" s="3" t="s">
        <v>167</v>
      </c>
      <c r="H380" s="3">
        <v>2005.0</v>
      </c>
      <c r="I380" s="7">
        <v>38343.0</v>
      </c>
      <c r="L380" s="3" t="s">
        <v>642</v>
      </c>
    </row>
    <row r="381" ht="14.25" customHeight="1">
      <c r="A381" s="3">
        <v>223.0</v>
      </c>
      <c r="B381" s="3">
        <v>1.5516013E7</v>
      </c>
      <c r="C381" s="3" t="s">
        <v>648</v>
      </c>
      <c r="D381" s="3" t="s">
        <v>649</v>
      </c>
      <c r="E381" s="3" t="s">
        <v>650</v>
      </c>
      <c r="F381" s="3" t="s">
        <v>651</v>
      </c>
      <c r="G381" s="3" t="s">
        <v>495</v>
      </c>
      <c r="H381" s="3">
        <v>2004.0</v>
      </c>
      <c r="I381" s="7">
        <v>38293.0</v>
      </c>
    </row>
    <row r="382" ht="14.25" customHeight="1">
      <c r="A382" s="3">
        <v>224.0</v>
      </c>
      <c r="B382" s="3">
        <v>1.5466722E7</v>
      </c>
      <c r="C382" s="3" t="s">
        <v>652</v>
      </c>
      <c r="D382" s="3" t="s">
        <v>653</v>
      </c>
      <c r="E382" s="3" t="s">
        <v>654</v>
      </c>
      <c r="F382" s="3" t="s">
        <v>655</v>
      </c>
      <c r="G382" s="3" t="s">
        <v>225</v>
      </c>
      <c r="H382" s="3">
        <v>2004.0</v>
      </c>
      <c r="I382" s="7">
        <v>38267.0</v>
      </c>
    </row>
    <row r="383" ht="14.25" customHeight="1">
      <c r="A383" s="3">
        <v>225.0</v>
      </c>
      <c r="B383" s="3">
        <v>1.5292958E7</v>
      </c>
      <c r="C383" s="3" t="s">
        <v>1820</v>
      </c>
      <c r="D383" s="3" t="s">
        <v>1821</v>
      </c>
      <c r="E383" s="3" t="s">
        <v>1822</v>
      </c>
      <c r="F383" s="3" t="s">
        <v>1823</v>
      </c>
      <c r="G383" s="3" t="s">
        <v>611</v>
      </c>
      <c r="H383" s="3">
        <v>2004.0</v>
      </c>
      <c r="I383" s="7">
        <v>38204.0</v>
      </c>
      <c r="L383" s="3" t="s">
        <v>1824</v>
      </c>
    </row>
    <row r="384" ht="14.25" customHeight="1">
      <c r="A384" s="3">
        <v>226.0</v>
      </c>
      <c r="B384" s="3">
        <v>1.5174545E7</v>
      </c>
      <c r="C384" s="3" t="s">
        <v>1825</v>
      </c>
      <c r="D384" s="3" t="s">
        <v>1826</v>
      </c>
      <c r="E384" s="3" t="s">
        <v>1827</v>
      </c>
      <c r="F384" s="3" t="s">
        <v>1828</v>
      </c>
      <c r="G384" s="3" t="s">
        <v>726</v>
      </c>
      <c r="H384" s="3">
        <v>2004.0</v>
      </c>
      <c r="I384" s="7">
        <v>38142.0</v>
      </c>
    </row>
    <row r="385" ht="14.25" customHeight="1">
      <c r="A385" s="3">
        <v>227.0</v>
      </c>
      <c r="B385" s="3">
        <v>1.5060762E7</v>
      </c>
      <c r="C385" s="3" t="s">
        <v>1829</v>
      </c>
      <c r="D385" s="3" t="s">
        <v>1830</v>
      </c>
      <c r="E385" s="3" t="s">
        <v>1831</v>
      </c>
      <c r="F385" s="3" t="s">
        <v>1832</v>
      </c>
      <c r="G385" s="3" t="s">
        <v>274</v>
      </c>
      <c r="H385" s="3">
        <v>2004.0</v>
      </c>
      <c r="I385" s="7">
        <v>38080.0</v>
      </c>
      <c r="L385" s="3" t="s">
        <v>1833</v>
      </c>
    </row>
    <row r="386" ht="14.25" customHeight="1">
      <c r="A386" s="3">
        <v>228.0</v>
      </c>
      <c r="B386" s="3">
        <v>1.4754739E7</v>
      </c>
      <c r="C386" s="3" t="s">
        <v>1834</v>
      </c>
      <c r="D386" s="3" t="s">
        <v>1835</v>
      </c>
      <c r="E386" s="3" t="s">
        <v>1836</v>
      </c>
      <c r="F386" s="3" t="s">
        <v>1837</v>
      </c>
      <c r="G386" s="3" t="s">
        <v>167</v>
      </c>
      <c r="H386" s="3">
        <v>2004.0</v>
      </c>
      <c r="I386" s="7">
        <v>38020.0</v>
      </c>
      <c r="L386" s="3" t="s">
        <v>1838</v>
      </c>
    </row>
    <row r="387" ht="14.25" customHeight="1">
      <c r="A387" s="3">
        <v>229.0</v>
      </c>
      <c r="B387" s="3">
        <v>1.3680104E7</v>
      </c>
      <c r="C387" s="3" t="s">
        <v>1839</v>
      </c>
      <c r="D387" s="3" t="s">
        <v>1840</v>
      </c>
      <c r="E387" s="3" t="s">
        <v>1841</v>
      </c>
      <c r="F387" s="3" t="s">
        <v>1651</v>
      </c>
      <c r="G387" s="3" t="s">
        <v>274</v>
      </c>
      <c r="H387" s="3">
        <v>2004.0</v>
      </c>
      <c r="I387" s="7">
        <v>37883.0</v>
      </c>
      <c r="L387" s="3" t="s">
        <v>1842</v>
      </c>
    </row>
    <row r="388" ht="14.25" customHeight="1">
      <c r="A388" s="3">
        <v>230.0</v>
      </c>
      <c r="B388" s="3">
        <v>1.2860546E7</v>
      </c>
      <c r="C388" s="3" t="s">
        <v>670</v>
      </c>
      <c r="D388" s="3" t="s">
        <v>671</v>
      </c>
      <c r="E388" s="3" t="s">
        <v>672</v>
      </c>
      <c r="F388" s="3" t="s">
        <v>673</v>
      </c>
      <c r="G388" s="3" t="s">
        <v>167</v>
      </c>
      <c r="H388" s="3">
        <v>2003.0</v>
      </c>
      <c r="I388" s="7">
        <v>37818.0</v>
      </c>
      <c r="L388" s="3" t="s">
        <v>674</v>
      </c>
    </row>
    <row r="389" ht="14.25" customHeight="1">
      <c r="A389" s="3">
        <v>231.0</v>
      </c>
      <c r="B389" s="3">
        <v>1.2860538E7</v>
      </c>
      <c r="C389" s="3" t="s">
        <v>1843</v>
      </c>
      <c r="D389" s="3" t="s">
        <v>1844</v>
      </c>
      <c r="E389" s="3" t="s">
        <v>1845</v>
      </c>
      <c r="F389" s="3" t="s">
        <v>1846</v>
      </c>
      <c r="G389" s="3" t="s">
        <v>167</v>
      </c>
      <c r="H389" s="3">
        <v>2003.0</v>
      </c>
      <c r="I389" s="7">
        <v>37818.0</v>
      </c>
      <c r="L389" s="3" t="s">
        <v>1847</v>
      </c>
    </row>
    <row r="390" ht="14.25" customHeight="1">
      <c r="A390" s="3">
        <v>232.0</v>
      </c>
      <c r="B390" s="3">
        <v>1.2793556E7</v>
      </c>
      <c r="C390" s="3" t="s">
        <v>1848</v>
      </c>
      <c r="D390" s="3" t="s">
        <v>1849</v>
      </c>
      <c r="E390" s="3" t="s">
        <v>1850</v>
      </c>
      <c r="F390" s="3" t="s">
        <v>1851</v>
      </c>
      <c r="G390" s="3" t="s">
        <v>726</v>
      </c>
      <c r="H390" s="3">
        <v>2003.0</v>
      </c>
      <c r="I390" s="7">
        <v>37782.0</v>
      </c>
      <c r="L390" s="3" t="s">
        <v>1852</v>
      </c>
    </row>
    <row r="391" ht="14.25" customHeight="1">
      <c r="A391" s="3">
        <v>233.0</v>
      </c>
      <c r="B391" s="3">
        <v>1.2531752E7</v>
      </c>
      <c r="C391" s="3" t="s">
        <v>685</v>
      </c>
      <c r="D391" s="3" t="s">
        <v>686</v>
      </c>
      <c r="E391" s="3" t="s">
        <v>687</v>
      </c>
      <c r="F391" s="3" t="s">
        <v>688</v>
      </c>
      <c r="G391" s="3" t="s">
        <v>167</v>
      </c>
      <c r="H391" s="3">
        <v>2003.0</v>
      </c>
      <c r="I391" s="7">
        <v>37639.0</v>
      </c>
      <c r="L391" s="3" t="s">
        <v>689</v>
      </c>
    </row>
    <row r="392" ht="14.25" customHeight="1">
      <c r="A392" s="3">
        <v>234.0</v>
      </c>
      <c r="B392" s="3">
        <v>1.2531751E7</v>
      </c>
      <c r="C392" s="3" t="s">
        <v>690</v>
      </c>
      <c r="D392" s="3" t="s">
        <v>691</v>
      </c>
      <c r="E392" s="3" t="s">
        <v>692</v>
      </c>
      <c r="F392" s="3" t="s">
        <v>693</v>
      </c>
      <c r="G392" s="3" t="s">
        <v>167</v>
      </c>
      <c r="H392" s="3">
        <v>2003.0</v>
      </c>
      <c r="I392" s="7">
        <v>37639.0</v>
      </c>
      <c r="L392" s="3" t="s">
        <v>694</v>
      </c>
    </row>
    <row r="393" ht="14.25" customHeight="1">
      <c r="A393" s="3">
        <v>235.0</v>
      </c>
      <c r="B393" s="3">
        <v>1.2208905E7</v>
      </c>
      <c r="C393" s="3" t="s">
        <v>704</v>
      </c>
      <c r="D393" s="3" t="s">
        <v>705</v>
      </c>
      <c r="E393" s="3" t="s">
        <v>706</v>
      </c>
      <c r="F393" s="3" t="s">
        <v>621</v>
      </c>
      <c r="G393" s="3" t="s">
        <v>225</v>
      </c>
      <c r="H393" s="3">
        <v>2002.0</v>
      </c>
      <c r="I393" s="7">
        <v>37504.0</v>
      </c>
      <c r="L393" s="3" t="s">
        <v>707</v>
      </c>
    </row>
    <row r="394" ht="14.25" customHeight="1">
      <c r="A394" s="3">
        <v>236.0</v>
      </c>
      <c r="B394" s="3">
        <v>1.2130407E7</v>
      </c>
      <c r="C394" s="3" t="s">
        <v>713</v>
      </c>
      <c r="D394" s="3" t="s">
        <v>714</v>
      </c>
      <c r="E394" s="3" t="s">
        <v>715</v>
      </c>
      <c r="F394" s="3" t="s">
        <v>537</v>
      </c>
      <c r="G394" s="3" t="s">
        <v>167</v>
      </c>
      <c r="H394" s="3">
        <v>2002.0</v>
      </c>
      <c r="I394" s="7">
        <v>37457.0</v>
      </c>
      <c r="L394" s="3" t="s">
        <v>716</v>
      </c>
    </row>
    <row r="395" ht="14.25" customHeight="1">
      <c r="A395" s="3">
        <v>237.0</v>
      </c>
      <c r="B395" s="3">
        <v>1.2121424E7</v>
      </c>
      <c r="C395" s="3" t="s">
        <v>717</v>
      </c>
      <c r="D395" s="3" t="s">
        <v>718</v>
      </c>
      <c r="E395" s="3" t="s">
        <v>719</v>
      </c>
      <c r="F395" s="3" t="s">
        <v>720</v>
      </c>
      <c r="G395" s="3" t="s">
        <v>591</v>
      </c>
      <c r="H395" s="3">
        <v>2002.0</v>
      </c>
      <c r="I395" s="7">
        <v>37455.0</v>
      </c>
      <c r="L395" s="3" t="s">
        <v>721</v>
      </c>
    </row>
    <row r="396" ht="14.25" customHeight="1">
      <c r="A396" s="3">
        <v>238.0</v>
      </c>
      <c r="B396" s="3">
        <v>1.1973544E7</v>
      </c>
      <c r="C396" s="3" t="s">
        <v>733</v>
      </c>
      <c r="D396" s="3" t="s">
        <v>734</v>
      </c>
      <c r="E396" s="3" t="s">
        <v>735</v>
      </c>
      <c r="F396" s="3" t="s">
        <v>736</v>
      </c>
      <c r="G396" s="3" t="s">
        <v>507</v>
      </c>
      <c r="H396" s="3">
        <v>2002.0</v>
      </c>
      <c r="I396" s="7">
        <v>37372.0</v>
      </c>
    </row>
    <row r="397" ht="14.25" customHeight="1">
      <c r="A397" s="3">
        <v>239.0</v>
      </c>
      <c r="B397" s="3">
        <v>1.1912091E7</v>
      </c>
      <c r="C397" s="3" t="s">
        <v>737</v>
      </c>
      <c r="D397" s="3" t="s">
        <v>738</v>
      </c>
      <c r="E397" s="3" t="s">
        <v>739</v>
      </c>
      <c r="F397" s="3" t="s">
        <v>740</v>
      </c>
      <c r="G397" s="3" t="s">
        <v>167</v>
      </c>
      <c r="H397" s="3">
        <v>2002.0</v>
      </c>
      <c r="I397" s="7">
        <v>37341.0</v>
      </c>
      <c r="L397" s="3" t="s">
        <v>741</v>
      </c>
    </row>
    <row r="398" ht="14.25" customHeight="1">
      <c r="A398" s="3">
        <v>240.0</v>
      </c>
      <c r="B398" s="3">
        <v>1.1877607E7</v>
      </c>
      <c r="C398" s="3" t="s">
        <v>1853</v>
      </c>
      <c r="D398" s="3" t="s">
        <v>1854</v>
      </c>
      <c r="E398" s="3" t="s">
        <v>1855</v>
      </c>
      <c r="F398" s="3" t="s">
        <v>1856</v>
      </c>
      <c r="G398" s="3" t="s">
        <v>186</v>
      </c>
      <c r="H398" s="3">
        <v>2002.0</v>
      </c>
      <c r="I398" s="7">
        <v>37321.0</v>
      </c>
      <c r="L398" s="3" t="s">
        <v>1857</v>
      </c>
    </row>
    <row r="399" ht="14.25" customHeight="1">
      <c r="A399" s="3">
        <v>241.0</v>
      </c>
      <c r="B399" s="3">
        <v>1.1734484E7</v>
      </c>
      <c r="C399" s="3" t="s">
        <v>752</v>
      </c>
      <c r="D399" s="3" t="s">
        <v>753</v>
      </c>
      <c r="E399" s="3" t="s">
        <v>754</v>
      </c>
      <c r="F399" s="3" t="s">
        <v>755</v>
      </c>
      <c r="G399" s="3" t="s">
        <v>167</v>
      </c>
      <c r="H399" s="3">
        <v>2001.0</v>
      </c>
      <c r="I399" s="7">
        <v>37231.0</v>
      </c>
      <c r="L399" s="3" t="s">
        <v>756</v>
      </c>
    </row>
    <row r="400" ht="14.25" customHeight="1">
      <c r="A400" s="3">
        <v>242.0</v>
      </c>
      <c r="B400" s="3">
        <v>1.1685356E7</v>
      </c>
      <c r="C400" s="3" t="s">
        <v>757</v>
      </c>
      <c r="D400" s="3" t="s">
        <v>758</v>
      </c>
      <c r="E400" s="3" t="s">
        <v>759</v>
      </c>
      <c r="F400" s="3" t="s">
        <v>673</v>
      </c>
      <c r="G400" s="3" t="s">
        <v>274</v>
      </c>
      <c r="H400" s="3">
        <v>2001.0</v>
      </c>
      <c r="I400" s="7">
        <v>37195.0</v>
      </c>
      <c r="L400" s="3" t="s">
        <v>760</v>
      </c>
    </row>
    <row r="401" ht="14.25" customHeight="1">
      <c r="A401" s="3">
        <v>243.0</v>
      </c>
      <c r="B401" s="3">
        <v>1.1600976E7</v>
      </c>
      <c r="C401" s="3" t="s">
        <v>1858</v>
      </c>
      <c r="D401" s="3" t="s">
        <v>1859</v>
      </c>
      <c r="E401" s="3" t="s">
        <v>1860</v>
      </c>
      <c r="F401" s="3" t="s">
        <v>1861</v>
      </c>
      <c r="G401" s="3" t="s">
        <v>186</v>
      </c>
      <c r="H401" s="3">
        <v>2001.0</v>
      </c>
      <c r="I401" s="7">
        <v>37180.0</v>
      </c>
      <c r="L401" s="3" t="s">
        <v>1862</v>
      </c>
    </row>
    <row r="402" ht="14.25" customHeight="1">
      <c r="A402" s="3">
        <v>244.0</v>
      </c>
      <c r="B402" s="3">
        <v>1.1568194E7</v>
      </c>
      <c r="C402" s="3" t="s">
        <v>1863</v>
      </c>
      <c r="D402" s="3" t="s">
        <v>1864</v>
      </c>
      <c r="E402" s="3" t="s">
        <v>1865</v>
      </c>
      <c r="F402" s="3" t="s">
        <v>1866</v>
      </c>
      <c r="G402" s="3" t="s">
        <v>225</v>
      </c>
      <c r="H402" s="3">
        <v>2001.0</v>
      </c>
      <c r="I402" s="7">
        <v>37159.0</v>
      </c>
      <c r="L402" s="3" t="s">
        <v>1867</v>
      </c>
    </row>
    <row r="403" ht="14.25" customHeight="1">
      <c r="A403" s="3">
        <v>245.0</v>
      </c>
      <c r="B403" s="3">
        <v>1.1401167E7</v>
      </c>
      <c r="C403" s="3" t="s">
        <v>1868</v>
      </c>
      <c r="D403" s="3" t="s">
        <v>1869</v>
      </c>
      <c r="E403" s="3" t="s">
        <v>1870</v>
      </c>
      <c r="F403" s="3" t="s">
        <v>1871</v>
      </c>
      <c r="G403" s="3" t="s">
        <v>870</v>
      </c>
      <c r="H403" s="3">
        <v>2001.0</v>
      </c>
      <c r="I403" s="7">
        <v>37055.0</v>
      </c>
    </row>
    <row r="404" ht="14.25" customHeight="1">
      <c r="A404" s="3">
        <v>246.0</v>
      </c>
      <c r="B404" s="3">
        <v>1.1394593E7</v>
      </c>
      <c r="C404" s="3" t="s">
        <v>771</v>
      </c>
      <c r="D404" s="3" t="s">
        <v>772</v>
      </c>
      <c r="E404" s="3" t="s">
        <v>773</v>
      </c>
      <c r="F404" s="3" t="s">
        <v>774</v>
      </c>
      <c r="G404" s="3" t="s">
        <v>167</v>
      </c>
      <c r="H404" s="3">
        <v>2001.0</v>
      </c>
      <c r="I404" s="7">
        <v>37050.0</v>
      </c>
      <c r="L404" s="3" t="s">
        <v>775</v>
      </c>
    </row>
    <row r="405" ht="14.25" customHeight="1">
      <c r="A405" s="3">
        <v>247.0</v>
      </c>
      <c r="B405" s="3">
        <v>1.1374431E7</v>
      </c>
      <c r="C405" s="3" t="s">
        <v>776</v>
      </c>
      <c r="D405" s="3" t="s">
        <v>777</v>
      </c>
      <c r="E405" s="3" t="s">
        <v>778</v>
      </c>
      <c r="F405" s="3" t="s">
        <v>779</v>
      </c>
      <c r="G405" s="3" t="s">
        <v>591</v>
      </c>
      <c r="H405" s="3">
        <v>2001.0</v>
      </c>
      <c r="I405" s="7">
        <v>37037.0</v>
      </c>
    </row>
    <row r="406" ht="14.25" customHeight="1">
      <c r="A406" s="3">
        <v>248.0</v>
      </c>
      <c r="B406" s="3">
        <v>1.1357697E7</v>
      </c>
      <c r="C406" s="3" t="s">
        <v>1872</v>
      </c>
      <c r="D406" s="3" t="s">
        <v>1873</v>
      </c>
      <c r="E406" s="3" t="s">
        <v>1874</v>
      </c>
      <c r="F406" s="3" t="s">
        <v>1875</v>
      </c>
      <c r="G406" s="3" t="s">
        <v>611</v>
      </c>
      <c r="H406" s="3">
        <v>2001.0</v>
      </c>
      <c r="I406" s="7">
        <v>37030.0</v>
      </c>
      <c r="L406" s="3" t="s">
        <v>1876</v>
      </c>
    </row>
    <row r="407" ht="14.25" customHeight="1">
      <c r="A407" s="3">
        <v>249.0</v>
      </c>
      <c r="B407" s="3">
        <v>1.1341418E7</v>
      </c>
      <c r="C407" s="3" t="s">
        <v>780</v>
      </c>
      <c r="D407" s="3" t="s">
        <v>781</v>
      </c>
      <c r="E407" s="3" t="s">
        <v>782</v>
      </c>
      <c r="F407" s="3" t="s">
        <v>779</v>
      </c>
      <c r="G407" s="3" t="s">
        <v>726</v>
      </c>
      <c r="H407" s="3">
        <v>2001.0</v>
      </c>
      <c r="I407" s="7">
        <v>37020.0</v>
      </c>
      <c r="L407" s="3" t="s">
        <v>783</v>
      </c>
    </row>
    <row r="408" ht="14.25" customHeight="1">
      <c r="A408" s="3">
        <v>250.0</v>
      </c>
      <c r="B408" s="3">
        <v>1.1248568E7</v>
      </c>
      <c r="C408" s="3" t="s">
        <v>1877</v>
      </c>
      <c r="D408" s="3" t="s">
        <v>1878</v>
      </c>
      <c r="E408" s="3" t="s">
        <v>1879</v>
      </c>
      <c r="F408" s="3" t="s">
        <v>1880</v>
      </c>
      <c r="G408" s="3" t="s">
        <v>180</v>
      </c>
      <c r="H408" s="3">
        <v>2001.0</v>
      </c>
      <c r="I408" s="7">
        <v>36965.0</v>
      </c>
      <c r="L408" s="3" t="s">
        <v>1881</v>
      </c>
    </row>
    <row r="409" ht="14.25" customHeight="1">
      <c r="A409" s="3">
        <v>251.0</v>
      </c>
      <c r="B409" s="3">
        <v>1.1147151E7</v>
      </c>
      <c r="C409" s="3" t="s">
        <v>1882</v>
      </c>
      <c r="D409" s="3" t="s">
        <v>1883</v>
      </c>
      <c r="E409" s="3" t="s">
        <v>1884</v>
      </c>
      <c r="F409" s="3" t="s">
        <v>663</v>
      </c>
      <c r="G409" s="3" t="s">
        <v>274</v>
      </c>
      <c r="H409" s="3">
        <v>2000.0</v>
      </c>
      <c r="I409" s="7">
        <v>36900.0</v>
      </c>
      <c r="L409" s="3" t="s">
        <v>1885</v>
      </c>
    </row>
    <row r="410" ht="14.25" customHeight="1">
      <c r="A410" s="3">
        <v>252.0</v>
      </c>
      <c r="B410" s="3">
        <v>1.1027754E7</v>
      </c>
      <c r="C410" s="3" t="s">
        <v>1886</v>
      </c>
      <c r="D410" s="3" t="s">
        <v>1887</v>
      </c>
      <c r="E410" s="3" t="s">
        <v>1888</v>
      </c>
      <c r="F410" s="3" t="s">
        <v>1871</v>
      </c>
      <c r="G410" s="3" t="s">
        <v>186</v>
      </c>
      <c r="H410" s="3">
        <v>2000.0</v>
      </c>
      <c r="I410" s="7">
        <v>36811.0</v>
      </c>
      <c r="L410" s="3" t="s">
        <v>1889</v>
      </c>
    </row>
    <row r="411" ht="14.25" customHeight="1">
      <c r="A411" s="3">
        <v>253.0</v>
      </c>
      <c r="B411" s="3">
        <v>1.0663317E7</v>
      </c>
      <c r="C411" s="3" t="s">
        <v>1890</v>
      </c>
      <c r="D411" s="3" t="s">
        <v>1891</v>
      </c>
      <c r="E411" s="3" t="s">
        <v>1892</v>
      </c>
      <c r="F411" s="3" t="s">
        <v>1893</v>
      </c>
      <c r="G411" s="3" t="s">
        <v>274</v>
      </c>
      <c r="H411" s="3">
        <v>2000.0</v>
      </c>
      <c r="I411" s="7">
        <v>36565.0</v>
      </c>
      <c r="L411" s="3" t="s">
        <v>1894</v>
      </c>
    </row>
    <row r="412" ht="14.25" customHeight="1">
      <c r="A412" s="3">
        <v>254.0</v>
      </c>
      <c r="B412" s="3">
        <v>1.0525698E7</v>
      </c>
      <c r="C412" s="3" t="s">
        <v>824</v>
      </c>
      <c r="D412" s="3" t="s">
        <v>825</v>
      </c>
      <c r="E412" s="3" t="s">
        <v>826</v>
      </c>
      <c r="F412" s="3" t="s">
        <v>693</v>
      </c>
      <c r="G412" s="3" t="s">
        <v>274</v>
      </c>
      <c r="H412" s="3">
        <v>1999.0</v>
      </c>
      <c r="I412" s="7">
        <v>36453.0</v>
      </c>
      <c r="L412" s="3" t="s">
        <v>827</v>
      </c>
    </row>
    <row r="413" ht="14.25" customHeight="1">
      <c r="A413" s="3">
        <v>255.0</v>
      </c>
      <c r="B413" s="3">
        <v>1.0401649E7</v>
      </c>
      <c r="C413" s="3" t="s">
        <v>1895</v>
      </c>
      <c r="D413" s="3" t="s">
        <v>1896</v>
      </c>
      <c r="E413" s="3" t="s">
        <v>1897</v>
      </c>
      <c r="F413" s="3" t="s">
        <v>1898</v>
      </c>
      <c r="G413" s="3" t="s">
        <v>274</v>
      </c>
      <c r="H413" s="3">
        <v>1999.0</v>
      </c>
      <c r="I413" s="7">
        <v>36354.0</v>
      </c>
      <c r="L413" s="3" t="s">
        <v>1899</v>
      </c>
    </row>
    <row r="414" ht="14.25" customHeight="1">
      <c r="A414" s="3">
        <v>256.0</v>
      </c>
      <c r="B414" s="3">
        <v>9604189.0</v>
      </c>
      <c r="C414" s="3" t="s">
        <v>861</v>
      </c>
      <c r="D414" s="3" t="s">
        <v>862</v>
      </c>
      <c r="E414" s="3" t="s">
        <v>863</v>
      </c>
      <c r="F414" s="3" t="s">
        <v>864</v>
      </c>
      <c r="G414" s="3" t="s">
        <v>274</v>
      </c>
      <c r="H414" s="3">
        <v>1998.0</v>
      </c>
      <c r="I414" s="7">
        <v>35945.0</v>
      </c>
      <c r="L414" s="3" t="s">
        <v>865</v>
      </c>
    </row>
    <row r="415" ht="14.25" customHeight="1">
      <c r="A415" s="3">
        <v>257.0</v>
      </c>
      <c r="B415" s="3">
        <v>9474630.0</v>
      </c>
      <c r="C415" s="3" t="s">
        <v>1900</v>
      </c>
      <c r="D415" s="3" t="s">
        <v>1901</v>
      </c>
      <c r="E415" s="3" t="s">
        <v>1902</v>
      </c>
      <c r="F415" s="3" t="s">
        <v>1903</v>
      </c>
      <c r="G415" s="3" t="s">
        <v>917</v>
      </c>
      <c r="H415" s="3">
        <v>1998.0</v>
      </c>
      <c r="I415" s="7">
        <v>35851.0</v>
      </c>
      <c r="L415" s="3" t="s">
        <v>1904</v>
      </c>
    </row>
    <row r="416" ht="14.25" customHeight="1">
      <c r="A416" s="3">
        <v>258.0</v>
      </c>
      <c r="B416" s="3">
        <v>9048389.0</v>
      </c>
      <c r="C416" s="3" t="s">
        <v>1905</v>
      </c>
      <c r="D416" s="3" t="s">
        <v>1906</v>
      </c>
      <c r="E416" s="3" t="s">
        <v>1907</v>
      </c>
      <c r="F416" s="3" t="s">
        <v>1908</v>
      </c>
      <c r="G416" s="3" t="s">
        <v>917</v>
      </c>
      <c r="H416" s="3">
        <v>1997.0</v>
      </c>
      <c r="I416" s="7">
        <v>35462.0</v>
      </c>
      <c r="L416" s="3" t="s">
        <v>1909</v>
      </c>
    </row>
    <row r="417" ht="14.25" customHeight="1">
      <c r="A417" s="3">
        <v>259.0</v>
      </c>
      <c r="B417" s="3">
        <v>9127846.0</v>
      </c>
      <c r="C417" s="3" t="s">
        <v>889</v>
      </c>
      <c r="D417" s="3" t="s">
        <v>890</v>
      </c>
      <c r="E417" s="3" t="s">
        <v>891</v>
      </c>
      <c r="F417" s="3" t="s">
        <v>892</v>
      </c>
      <c r="G417" s="3" t="s">
        <v>274</v>
      </c>
      <c r="H417" s="3">
        <v>1997.0</v>
      </c>
      <c r="I417" s="7">
        <v>35431.0</v>
      </c>
      <c r="L417" s="3" t="s">
        <v>893</v>
      </c>
    </row>
    <row r="418" ht="14.25" customHeight="1">
      <c r="A418" s="3">
        <v>260.0</v>
      </c>
      <c r="B418" s="3">
        <v>8947399.0</v>
      </c>
      <c r="C418" s="3" t="s">
        <v>894</v>
      </c>
      <c r="D418" s="3" t="s">
        <v>895</v>
      </c>
      <c r="E418" s="3" t="s">
        <v>896</v>
      </c>
      <c r="F418" s="3" t="s">
        <v>897</v>
      </c>
      <c r="G418" s="3" t="s">
        <v>167</v>
      </c>
      <c r="H418" s="3">
        <v>1996.0</v>
      </c>
      <c r="I418" s="7">
        <v>35370.0</v>
      </c>
      <c r="L418" s="3" t="s">
        <v>898</v>
      </c>
    </row>
    <row r="419" ht="14.25" customHeight="1">
      <c r="A419" s="3">
        <v>261.0</v>
      </c>
      <c r="B419" s="3">
        <v>8947397.0</v>
      </c>
      <c r="C419" s="3" t="s">
        <v>1910</v>
      </c>
      <c r="D419" s="3" t="s">
        <v>1911</v>
      </c>
      <c r="E419" s="3" t="s">
        <v>1912</v>
      </c>
      <c r="F419" s="3" t="s">
        <v>1913</v>
      </c>
      <c r="G419" s="3" t="s">
        <v>167</v>
      </c>
      <c r="H419" s="3">
        <v>1996.0</v>
      </c>
      <c r="I419" s="7">
        <v>35370.0</v>
      </c>
      <c r="L419" s="3" t="s">
        <v>1914</v>
      </c>
    </row>
    <row r="420" ht="14.25" customHeight="1">
      <c r="A420" s="3">
        <v>262.0</v>
      </c>
      <c r="B420" s="3">
        <v>8666597.0</v>
      </c>
      <c r="C420" s="3" t="s">
        <v>1915</v>
      </c>
      <c r="D420" s="3" t="s">
        <v>1864</v>
      </c>
      <c r="E420" s="3" t="s">
        <v>1916</v>
      </c>
      <c r="F420" s="3" t="s">
        <v>1866</v>
      </c>
      <c r="G420" s="3" t="s">
        <v>225</v>
      </c>
      <c r="H420" s="3">
        <v>1996.0</v>
      </c>
      <c r="I420" s="7">
        <v>35217.0</v>
      </c>
    </row>
    <row r="421" ht="14.25" customHeight="1">
      <c r="A421" s="3">
        <v>263.0</v>
      </c>
      <c r="B421" s="3">
        <v>8526275.0</v>
      </c>
      <c r="C421" s="3" t="s">
        <v>1917</v>
      </c>
      <c r="D421" s="3" t="s">
        <v>1918</v>
      </c>
      <c r="E421" s="3" t="s">
        <v>1919</v>
      </c>
      <c r="F421" s="3" t="s">
        <v>897</v>
      </c>
      <c r="G421" s="3" t="s">
        <v>167</v>
      </c>
      <c r="H421" s="3">
        <v>1995.0</v>
      </c>
      <c r="I421" s="7">
        <v>34943.0</v>
      </c>
      <c r="L421" s="3" t="s">
        <v>1920</v>
      </c>
    </row>
    <row r="422" ht="14.25" customHeight="1">
      <c r="A422" s="3">
        <v>264.0</v>
      </c>
      <c r="B422" s="3">
        <v>7827632.0</v>
      </c>
      <c r="C422" s="3" t="s">
        <v>1921</v>
      </c>
      <c r="D422" s="3" t="s">
        <v>1922</v>
      </c>
      <c r="E422" s="3" t="s">
        <v>1923</v>
      </c>
      <c r="F422" s="3" t="s">
        <v>1924</v>
      </c>
      <c r="G422" s="3" t="s">
        <v>1925</v>
      </c>
      <c r="H422" s="3">
        <v>1994.0</v>
      </c>
      <c r="I422" s="7">
        <v>34639.0</v>
      </c>
      <c r="L422" s="3" t="s">
        <v>1926</v>
      </c>
    </row>
    <row r="423" ht="14.25" customHeight="1">
      <c r="A423" s="3">
        <v>265.0</v>
      </c>
      <c r="B423" s="3">
        <v>7810790.0</v>
      </c>
      <c r="C423" s="3" t="s">
        <v>1927</v>
      </c>
      <c r="D423" s="3" t="s">
        <v>1928</v>
      </c>
      <c r="E423" s="3" t="s">
        <v>1929</v>
      </c>
      <c r="F423" s="3" t="s">
        <v>1930</v>
      </c>
      <c r="G423" s="3" t="s">
        <v>167</v>
      </c>
      <c r="H423" s="3">
        <v>1994.0</v>
      </c>
      <c r="I423" s="7">
        <v>34578.0</v>
      </c>
      <c r="L423" s="3" t="s">
        <v>1931</v>
      </c>
    </row>
    <row r="424" ht="14.25" customHeight="1">
      <c r="A424" s="3">
        <v>266.0</v>
      </c>
      <c r="B424" s="3">
        <v>7810785.0</v>
      </c>
      <c r="C424" s="3" t="s">
        <v>1932</v>
      </c>
      <c r="D424" s="3" t="s">
        <v>1933</v>
      </c>
      <c r="E424" s="3" t="s">
        <v>1934</v>
      </c>
      <c r="F424" s="3" t="s">
        <v>774</v>
      </c>
      <c r="G424" s="3" t="s">
        <v>167</v>
      </c>
      <c r="H424" s="3">
        <v>1994.0</v>
      </c>
      <c r="I424" s="7">
        <v>34578.0</v>
      </c>
      <c r="L424" s="3" t="s">
        <v>1935</v>
      </c>
    </row>
    <row r="425" ht="14.25" customHeight="1">
      <c r="A425" s="3">
        <v>267.0</v>
      </c>
      <c r="B425" s="3">
        <v>7943519.0</v>
      </c>
      <c r="C425" s="3" t="s">
        <v>1936</v>
      </c>
      <c r="D425" s="3" t="s">
        <v>1937</v>
      </c>
      <c r="E425" s="3" t="s">
        <v>1938</v>
      </c>
      <c r="F425" s="3" t="s">
        <v>1939</v>
      </c>
      <c r="G425" s="3" t="s">
        <v>167</v>
      </c>
      <c r="H425" s="3">
        <v>1994.0</v>
      </c>
      <c r="I425" s="7">
        <v>34516.0</v>
      </c>
      <c r="L425" s="3" t="s">
        <v>1940</v>
      </c>
    </row>
    <row r="426" ht="14.25" customHeight="1">
      <c r="A426" s="3">
        <v>268.0</v>
      </c>
      <c r="B426" s="3">
        <v>7899626.0</v>
      </c>
      <c r="C426" s="3" t="s">
        <v>1941</v>
      </c>
      <c r="D426" s="3" t="s">
        <v>1942</v>
      </c>
      <c r="E426" s="3" t="s">
        <v>1943</v>
      </c>
      <c r="F426" s="3" t="s">
        <v>1944</v>
      </c>
      <c r="G426" s="3" t="s">
        <v>507</v>
      </c>
      <c r="H426" s="3">
        <v>1994.0</v>
      </c>
      <c r="I426" s="7">
        <v>34335.0</v>
      </c>
    </row>
    <row r="427" ht="14.25" customHeight="1">
      <c r="A427" s="3">
        <v>0.0</v>
      </c>
      <c r="B427" s="3">
        <v>4.0944765E7</v>
      </c>
      <c r="C427" s="3" t="s">
        <v>1945</v>
      </c>
      <c r="D427" s="3" t="s">
        <v>1946</v>
      </c>
      <c r="E427" s="3" t="s">
        <v>1947</v>
      </c>
      <c r="F427" s="3" t="s">
        <v>1948</v>
      </c>
      <c r="G427" s="3" t="s">
        <v>268</v>
      </c>
      <c r="H427" s="3">
        <v>2025.0</v>
      </c>
      <c r="I427" s="7">
        <v>45913.0</v>
      </c>
      <c r="L427" s="3" t="s">
        <v>1949</v>
      </c>
    </row>
    <row r="428" ht="14.25" customHeight="1">
      <c r="A428" s="3">
        <v>1.0</v>
      </c>
      <c r="B428" s="3">
        <v>4.0351242E7</v>
      </c>
      <c r="C428" s="3" t="s">
        <v>957</v>
      </c>
      <c r="D428" s="3" t="s">
        <v>958</v>
      </c>
      <c r="E428" s="3" t="s">
        <v>959</v>
      </c>
      <c r="F428" s="3" t="s">
        <v>960</v>
      </c>
      <c r="G428" s="3" t="s">
        <v>274</v>
      </c>
      <c r="H428" s="3">
        <v>2026.0</v>
      </c>
      <c r="I428" s="7">
        <v>45789.0</v>
      </c>
      <c r="J428" s="3" t="s">
        <v>961</v>
      </c>
      <c r="L428" s="3" t="s">
        <v>962</v>
      </c>
    </row>
    <row r="429" ht="14.25" customHeight="1">
      <c r="A429" s="3">
        <v>2.0</v>
      </c>
      <c r="B429" s="3">
        <v>3.9970465E7</v>
      </c>
      <c r="C429" s="3" t="s">
        <v>1950</v>
      </c>
      <c r="D429" s="3" t="s">
        <v>1951</v>
      </c>
      <c r="E429" s="3" t="s">
        <v>1952</v>
      </c>
      <c r="F429" s="3" t="s">
        <v>1953</v>
      </c>
      <c r="G429" s="3" t="s">
        <v>1954</v>
      </c>
      <c r="H429" s="3">
        <v>2025.0</v>
      </c>
      <c r="I429" s="7">
        <v>45707.0</v>
      </c>
      <c r="L429" s="3" t="s">
        <v>1955</v>
      </c>
    </row>
    <row r="430" ht="14.25" customHeight="1">
      <c r="A430" s="3">
        <v>3.0</v>
      </c>
      <c r="B430" s="3">
        <v>3.9947195E7</v>
      </c>
      <c r="C430" s="3" t="s">
        <v>963</v>
      </c>
      <c r="D430" s="3" t="s">
        <v>964</v>
      </c>
      <c r="E430" s="3" t="s">
        <v>965</v>
      </c>
      <c r="F430" s="3" t="s">
        <v>966</v>
      </c>
      <c r="G430" s="3" t="s">
        <v>967</v>
      </c>
      <c r="H430" s="3">
        <v>2025.0</v>
      </c>
      <c r="I430" s="7">
        <v>45701.0</v>
      </c>
      <c r="L430" s="3" t="s">
        <v>968</v>
      </c>
    </row>
    <row r="431" ht="14.25" customHeight="1">
      <c r="A431" s="3">
        <v>4.0</v>
      </c>
      <c r="B431" s="3">
        <v>3.9855903E7</v>
      </c>
      <c r="C431" s="3" t="s">
        <v>969</v>
      </c>
      <c r="D431" s="3" t="s">
        <v>970</v>
      </c>
      <c r="E431" s="3" t="s">
        <v>971</v>
      </c>
      <c r="F431" s="3" t="s">
        <v>972</v>
      </c>
      <c r="G431" s="3" t="s">
        <v>973</v>
      </c>
      <c r="H431" s="3">
        <v>2025.0</v>
      </c>
      <c r="I431" s="7">
        <v>45681.0</v>
      </c>
    </row>
    <row r="432" ht="14.25" customHeight="1">
      <c r="A432" s="3">
        <v>5.0</v>
      </c>
      <c r="B432" s="3">
        <v>3.9810716E7</v>
      </c>
      <c r="C432" s="3" t="s">
        <v>974</v>
      </c>
      <c r="D432" s="3" t="s">
        <v>975</v>
      </c>
      <c r="E432" s="3" t="s">
        <v>976</v>
      </c>
      <c r="F432" s="3" t="s">
        <v>977</v>
      </c>
      <c r="G432" s="3" t="s">
        <v>274</v>
      </c>
      <c r="H432" s="3">
        <v>2025.0</v>
      </c>
      <c r="I432" s="7">
        <v>45672.0</v>
      </c>
      <c r="L432" s="3" t="s">
        <v>978</v>
      </c>
    </row>
    <row r="433" ht="14.25" customHeight="1">
      <c r="A433" s="3">
        <v>6.0</v>
      </c>
      <c r="B433" s="3">
        <v>3.9385323E7</v>
      </c>
      <c r="C433" s="3" t="s">
        <v>1956</v>
      </c>
      <c r="D433" s="3" t="s">
        <v>1957</v>
      </c>
      <c r="E433" s="3" t="s">
        <v>1958</v>
      </c>
      <c r="F433" s="3" t="s">
        <v>1959</v>
      </c>
      <c r="G433" s="3" t="s">
        <v>1657</v>
      </c>
      <c r="H433" s="3">
        <v>2025.0</v>
      </c>
      <c r="I433" s="7">
        <v>45575.0</v>
      </c>
      <c r="J433" s="3" t="s">
        <v>1960</v>
      </c>
      <c r="L433" s="3" t="s">
        <v>1961</v>
      </c>
    </row>
    <row r="434" ht="14.25" customHeight="1">
      <c r="A434" s="3">
        <v>7.0</v>
      </c>
      <c r="B434" s="3">
        <v>3.8284303E7</v>
      </c>
      <c r="C434" s="3" t="s">
        <v>1013</v>
      </c>
      <c r="D434" s="3" t="s">
        <v>1014</v>
      </c>
      <c r="E434" s="3" t="s">
        <v>1015</v>
      </c>
      <c r="F434" s="3" t="s">
        <v>1016</v>
      </c>
      <c r="G434" s="3" t="s">
        <v>167</v>
      </c>
      <c r="H434" s="3">
        <v>2024.0</v>
      </c>
      <c r="I434" s="7">
        <v>45320.0</v>
      </c>
      <c r="J434" s="3" t="s">
        <v>1017</v>
      </c>
      <c r="L434" s="3" t="s">
        <v>1018</v>
      </c>
    </row>
    <row r="435" ht="14.25" customHeight="1">
      <c r="A435" s="3">
        <v>8.0</v>
      </c>
      <c r="B435" s="3">
        <v>3.7468645E7</v>
      </c>
      <c r="C435" s="3" t="s">
        <v>1044</v>
      </c>
      <c r="D435" s="3" t="s">
        <v>1045</v>
      </c>
      <c r="E435" s="3" t="s">
        <v>1046</v>
      </c>
      <c r="F435" s="3" t="s">
        <v>1047</v>
      </c>
      <c r="G435" s="3" t="s">
        <v>268</v>
      </c>
      <c r="H435" s="3">
        <v>2024.0</v>
      </c>
      <c r="I435" s="7">
        <v>45126.0</v>
      </c>
      <c r="L435" s="3" t="s">
        <v>1048</v>
      </c>
    </row>
    <row r="436" ht="14.25" customHeight="1">
      <c r="A436" s="3">
        <v>9.0</v>
      </c>
      <c r="B436" s="3">
        <v>3.6190389E7</v>
      </c>
      <c r="C436" s="3" t="s">
        <v>1092</v>
      </c>
      <c r="D436" s="3" t="s">
        <v>1093</v>
      </c>
      <c r="E436" s="3" t="s">
        <v>1094</v>
      </c>
      <c r="F436" s="3" t="s">
        <v>1095</v>
      </c>
      <c r="G436" s="3" t="s">
        <v>1096</v>
      </c>
      <c r="H436" s="3">
        <v>2022.0</v>
      </c>
      <c r="I436" s="7">
        <v>44837.0</v>
      </c>
      <c r="J436" s="3" t="s">
        <v>1097</v>
      </c>
      <c r="L436" s="3" t="s">
        <v>1098</v>
      </c>
    </row>
    <row r="437" ht="14.25" customHeight="1">
      <c r="A437" s="3">
        <v>10.0</v>
      </c>
      <c r="B437" s="3">
        <v>3.6096886E7</v>
      </c>
      <c r="C437" s="3" t="s">
        <v>1962</v>
      </c>
      <c r="D437" s="3" t="s">
        <v>1963</v>
      </c>
      <c r="E437" s="3" t="s">
        <v>1964</v>
      </c>
      <c r="F437" s="3" t="s">
        <v>1965</v>
      </c>
      <c r="G437" s="3" t="s">
        <v>1966</v>
      </c>
      <c r="H437" s="3">
        <v>2022.0</v>
      </c>
      <c r="I437" s="7">
        <v>44816.0</v>
      </c>
      <c r="J437" s="3" t="s">
        <v>1967</v>
      </c>
      <c r="L437" s="3" t="s">
        <v>1968</v>
      </c>
    </row>
    <row r="438" ht="14.25" customHeight="1">
      <c r="A438" s="3">
        <v>11.0</v>
      </c>
      <c r="B438" s="3">
        <v>3.5486517E7</v>
      </c>
      <c r="C438" s="3" t="s">
        <v>1969</v>
      </c>
      <c r="D438" s="3" t="s">
        <v>1970</v>
      </c>
      <c r="E438" s="3" t="s">
        <v>1971</v>
      </c>
      <c r="F438" s="3" t="s">
        <v>1251</v>
      </c>
      <c r="G438" s="3" t="s">
        <v>167</v>
      </c>
      <c r="H438" s="3">
        <v>2022.0</v>
      </c>
      <c r="I438" s="7">
        <v>44680.0</v>
      </c>
      <c r="L438" s="3" t="s">
        <v>1972</v>
      </c>
    </row>
    <row r="439" ht="14.25" customHeight="1">
      <c r="A439" s="3">
        <v>12.0</v>
      </c>
      <c r="B439" s="3">
        <v>3.546833E7</v>
      </c>
      <c r="C439" s="3" t="s">
        <v>176</v>
      </c>
      <c r="D439" s="3" t="s">
        <v>177</v>
      </c>
      <c r="E439" s="3" t="s">
        <v>178</v>
      </c>
      <c r="F439" s="3" t="s">
        <v>179</v>
      </c>
      <c r="G439" s="3" t="s">
        <v>180</v>
      </c>
      <c r="H439" s="3">
        <v>2022.0</v>
      </c>
      <c r="I439" s="7">
        <v>44676.0</v>
      </c>
      <c r="L439" s="3" t="s">
        <v>181</v>
      </c>
    </row>
    <row r="440" ht="14.25" customHeight="1">
      <c r="A440" s="3">
        <v>13.0</v>
      </c>
      <c r="B440" s="3">
        <v>3.4814896E7</v>
      </c>
      <c r="C440" s="3" t="s">
        <v>1973</v>
      </c>
      <c r="D440" s="3" t="s">
        <v>1974</v>
      </c>
      <c r="E440" s="3" t="s">
        <v>1975</v>
      </c>
      <c r="F440" s="3" t="s">
        <v>1976</v>
      </c>
      <c r="G440" s="3" t="s">
        <v>1144</v>
      </c>
      <c r="H440" s="3">
        <v>2021.0</v>
      </c>
      <c r="I440" s="7">
        <v>44524.0</v>
      </c>
      <c r="J440" s="3" t="s">
        <v>1977</v>
      </c>
      <c r="L440" s="3" t="s">
        <v>1978</v>
      </c>
    </row>
    <row r="441" ht="14.25" customHeight="1">
      <c r="A441" s="3">
        <v>14.0</v>
      </c>
      <c r="B441" s="3">
        <v>3.4601649E7</v>
      </c>
      <c r="C441" s="3" t="s">
        <v>188</v>
      </c>
      <c r="D441" s="3" t="s">
        <v>189</v>
      </c>
      <c r="E441" s="3" t="s">
        <v>190</v>
      </c>
      <c r="F441" s="3" t="s">
        <v>191</v>
      </c>
      <c r="G441" s="3" t="s">
        <v>192</v>
      </c>
      <c r="H441" s="3">
        <v>2022.0</v>
      </c>
      <c r="I441" s="7">
        <v>44472.0</v>
      </c>
      <c r="L441" s="3" t="s">
        <v>193</v>
      </c>
    </row>
    <row r="442" ht="14.25" customHeight="1">
      <c r="A442" s="3">
        <v>15.0</v>
      </c>
      <c r="B442" s="3">
        <v>3.4542671E7</v>
      </c>
      <c r="C442" s="3" t="s">
        <v>1979</v>
      </c>
      <c r="D442" s="3" t="s">
        <v>1980</v>
      </c>
      <c r="E442" s="3" t="s">
        <v>1981</v>
      </c>
      <c r="F442" s="3" t="s">
        <v>1982</v>
      </c>
      <c r="G442" s="3" t="s">
        <v>1983</v>
      </c>
      <c r="H442" s="3">
        <v>2021.0</v>
      </c>
      <c r="I442" s="7">
        <v>44459.0</v>
      </c>
      <c r="L442" s="3" t="s">
        <v>1984</v>
      </c>
    </row>
    <row r="443" ht="14.25" customHeight="1">
      <c r="A443" s="3">
        <v>16.0</v>
      </c>
      <c r="B443" s="3">
        <v>3.4348704E7</v>
      </c>
      <c r="C443" s="3" t="s">
        <v>1140</v>
      </c>
      <c r="D443" s="3" t="s">
        <v>1141</v>
      </c>
      <c r="E443" s="3" t="s">
        <v>1142</v>
      </c>
      <c r="F443" s="3" t="s">
        <v>1143</v>
      </c>
      <c r="G443" s="3" t="s">
        <v>1144</v>
      </c>
      <c r="H443" s="3">
        <v>2021.0</v>
      </c>
      <c r="I443" s="7">
        <v>44413.0</v>
      </c>
      <c r="J443" s="3" t="s">
        <v>1145</v>
      </c>
      <c r="L443" s="3" t="s">
        <v>1146</v>
      </c>
    </row>
    <row r="444" ht="14.25" customHeight="1">
      <c r="A444" s="3">
        <v>17.0</v>
      </c>
      <c r="B444" s="3">
        <v>3.3970295E7</v>
      </c>
      <c r="C444" s="3" t="s">
        <v>1985</v>
      </c>
      <c r="D444" s="3" t="s">
        <v>1986</v>
      </c>
      <c r="E444" s="3" t="s">
        <v>1987</v>
      </c>
      <c r="F444" s="3" t="s">
        <v>1988</v>
      </c>
      <c r="G444" s="3" t="s">
        <v>274</v>
      </c>
      <c r="H444" s="3">
        <v>2021.0</v>
      </c>
      <c r="I444" s="7">
        <v>44326.0</v>
      </c>
      <c r="J444" s="3" t="s">
        <v>1989</v>
      </c>
      <c r="L444" s="3" t="s">
        <v>1990</v>
      </c>
    </row>
    <row r="445" ht="14.25" customHeight="1">
      <c r="A445" s="3">
        <v>18.0</v>
      </c>
      <c r="B445" s="3">
        <v>3.3742222E7</v>
      </c>
      <c r="C445" s="3" t="s">
        <v>1147</v>
      </c>
      <c r="D445" s="3" t="s">
        <v>1148</v>
      </c>
      <c r="E445" s="3" t="s">
        <v>1149</v>
      </c>
      <c r="F445" s="3" t="s">
        <v>1150</v>
      </c>
      <c r="G445" s="3" t="s">
        <v>192</v>
      </c>
      <c r="H445" s="3">
        <v>2022.0</v>
      </c>
      <c r="I445" s="7">
        <v>44275.0</v>
      </c>
      <c r="J445" s="3" t="s">
        <v>1151</v>
      </c>
      <c r="L445" s="3" t="s">
        <v>1152</v>
      </c>
    </row>
    <row r="446" ht="14.25" customHeight="1">
      <c r="A446" s="3">
        <v>19.0</v>
      </c>
      <c r="B446" s="3">
        <v>3.2699919E7</v>
      </c>
      <c r="C446" s="3" t="s">
        <v>1175</v>
      </c>
      <c r="D446" s="3" t="s">
        <v>1176</v>
      </c>
      <c r="E446" s="3" t="s">
        <v>1177</v>
      </c>
      <c r="F446" s="3" t="s">
        <v>1178</v>
      </c>
      <c r="G446" s="3" t="s">
        <v>274</v>
      </c>
      <c r="H446" s="3">
        <v>2020.0</v>
      </c>
      <c r="I446" s="7">
        <v>44036.0</v>
      </c>
      <c r="L446" s="3" t="s">
        <v>1179</v>
      </c>
    </row>
    <row r="447" ht="14.25" customHeight="1">
      <c r="A447" s="3">
        <v>20.0</v>
      </c>
      <c r="B447" s="3">
        <v>3.2589515E7</v>
      </c>
      <c r="C447" s="3" t="s">
        <v>1180</v>
      </c>
      <c r="D447" s="3" t="s">
        <v>1181</v>
      </c>
      <c r="E447" s="3" t="s">
        <v>1182</v>
      </c>
      <c r="F447" s="3" t="s">
        <v>1183</v>
      </c>
      <c r="G447" s="3" t="s">
        <v>1184</v>
      </c>
      <c r="H447" s="3">
        <v>2020.0</v>
      </c>
      <c r="I447" s="7">
        <v>44009.0</v>
      </c>
      <c r="J447" s="3" t="s">
        <v>1185</v>
      </c>
      <c r="L447" s="3" t="s">
        <v>1186</v>
      </c>
    </row>
    <row r="448" ht="14.25" customHeight="1">
      <c r="A448" s="3">
        <v>21.0</v>
      </c>
      <c r="B448" s="3">
        <v>3.2504178E7</v>
      </c>
      <c r="C448" s="3" t="s">
        <v>199</v>
      </c>
      <c r="D448" s="3" t="s">
        <v>200</v>
      </c>
      <c r="E448" s="3" t="s">
        <v>201</v>
      </c>
      <c r="F448" s="3" t="s">
        <v>202</v>
      </c>
      <c r="G448" s="3" t="s">
        <v>192</v>
      </c>
      <c r="H448" s="3">
        <v>2020.0</v>
      </c>
      <c r="I448" s="7">
        <v>43989.0</v>
      </c>
      <c r="J448" s="3" t="s">
        <v>203</v>
      </c>
      <c r="L448" s="3" t="s">
        <v>204</v>
      </c>
    </row>
    <row r="449" ht="14.25" customHeight="1">
      <c r="A449" s="3">
        <v>22.0</v>
      </c>
      <c r="B449" s="3">
        <v>3.2152642E7</v>
      </c>
      <c r="C449" s="3" t="s">
        <v>1991</v>
      </c>
      <c r="D449" s="3" t="s">
        <v>1992</v>
      </c>
      <c r="E449" s="3" t="s">
        <v>1993</v>
      </c>
      <c r="F449" s="3" t="s">
        <v>1994</v>
      </c>
      <c r="G449" s="3" t="s">
        <v>1096</v>
      </c>
      <c r="H449" s="3">
        <v>2020.0</v>
      </c>
      <c r="I449" s="7">
        <v>43901.0</v>
      </c>
      <c r="L449" s="3" t="s">
        <v>1995</v>
      </c>
    </row>
    <row r="450" ht="14.25" customHeight="1">
      <c r="A450" s="3">
        <v>23.0</v>
      </c>
      <c r="B450" s="3">
        <v>3.2125668E7</v>
      </c>
      <c r="C450" s="3" t="s">
        <v>1197</v>
      </c>
      <c r="D450" s="3" t="s">
        <v>1198</v>
      </c>
      <c r="E450" s="3" t="s">
        <v>1199</v>
      </c>
      <c r="F450" s="3" t="s">
        <v>1200</v>
      </c>
      <c r="G450" s="3" t="s">
        <v>1201</v>
      </c>
      <c r="H450" s="3">
        <v>2020.0</v>
      </c>
      <c r="I450" s="7">
        <v>43894.0</v>
      </c>
      <c r="L450" s="3" t="s">
        <v>1202</v>
      </c>
    </row>
    <row r="451" ht="14.25" customHeight="1">
      <c r="A451" s="3">
        <v>24.0</v>
      </c>
      <c r="B451" s="3">
        <v>3.1967599E7</v>
      </c>
      <c r="C451" s="3" t="s">
        <v>1203</v>
      </c>
      <c r="D451" s="3" t="s">
        <v>1204</v>
      </c>
      <c r="E451" s="3" t="s">
        <v>1205</v>
      </c>
      <c r="F451" s="3" t="s">
        <v>1206</v>
      </c>
      <c r="G451" s="3" t="s">
        <v>1207</v>
      </c>
      <c r="H451" s="3">
        <v>2020.0</v>
      </c>
      <c r="I451" s="7">
        <v>43853.0</v>
      </c>
      <c r="L451" s="3" t="s">
        <v>1208</v>
      </c>
    </row>
    <row r="452" ht="14.25" customHeight="1">
      <c r="A452" s="3">
        <v>25.0</v>
      </c>
      <c r="B452" s="3">
        <v>3.1704697E7</v>
      </c>
      <c r="C452" s="3" t="s">
        <v>1213</v>
      </c>
      <c r="D452" s="3" t="s">
        <v>1214</v>
      </c>
      <c r="E452" s="3" t="s">
        <v>1215</v>
      </c>
      <c r="F452" s="3" t="s">
        <v>1216</v>
      </c>
      <c r="G452" s="3" t="s">
        <v>1217</v>
      </c>
      <c r="H452" s="3">
        <v>2020.0</v>
      </c>
      <c r="I452" s="7">
        <v>43779.0</v>
      </c>
      <c r="L452" s="3" t="s">
        <v>1218</v>
      </c>
    </row>
    <row r="453" ht="14.25" customHeight="1">
      <c r="A453" s="3">
        <v>26.0</v>
      </c>
      <c r="B453" s="3">
        <v>3.1512448E7</v>
      </c>
      <c r="C453" s="3" t="s">
        <v>1219</v>
      </c>
      <c r="D453" s="3" t="s">
        <v>1220</v>
      </c>
      <c r="E453" s="3" t="s">
        <v>1221</v>
      </c>
      <c r="F453" s="3" t="s">
        <v>1222</v>
      </c>
      <c r="G453" s="3" t="s">
        <v>1010</v>
      </c>
      <c r="H453" s="3">
        <v>2019.0</v>
      </c>
      <c r="I453" s="7">
        <v>43721.0</v>
      </c>
      <c r="J453" s="3" t="s">
        <v>1223</v>
      </c>
      <c r="L453" s="3" t="s">
        <v>1224</v>
      </c>
    </row>
    <row r="454" ht="14.25" customHeight="1">
      <c r="A454" s="3">
        <v>27.0</v>
      </c>
      <c r="B454" s="3">
        <v>3.1351901E7</v>
      </c>
      <c r="C454" s="3" t="s">
        <v>1996</v>
      </c>
      <c r="D454" s="3" t="s">
        <v>1997</v>
      </c>
      <c r="E454" s="3" t="s">
        <v>1998</v>
      </c>
      <c r="F454" s="3" t="s">
        <v>1999</v>
      </c>
      <c r="G454" s="3" t="s">
        <v>2000</v>
      </c>
      <c r="H454" s="3">
        <v>2020.0</v>
      </c>
      <c r="I454" s="7">
        <v>43675.0</v>
      </c>
      <c r="J454" s="3" t="s">
        <v>2001</v>
      </c>
      <c r="L454" s="3" t="s">
        <v>2002</v>
      </c>
    </row>
    <row r="455" ht="14.25" customHeight="1">
      <c r="A455" s="3">
        <v>28.0</v>
      </c>
      <c r="B455" s="3">
        <v>3.0822124E7</v>
      </c>
      <c r="C455" s="3" t="s">
        <v>1248</v>
      </c>
      <c r="D455" s="3" t="s">
        <v>1249</v>
      </c>
      <c r="E455" s="3" t="s">
        <v>1250</v>
      </c>
      <c r="F455" s="3" t="s">
        <v>1251</v>
      </c>
      <c r="G455" s="3" t="s">
        <v>167</v>
      </c>
      <c r="H455" s="3">
        <v>2019.0</v>
      </c>
      <c r="I455" s="7">
        <v>43526.0</v>
      </c>
      <c r="L455" s="3" t="s">
        <v>1252</v>
      </c>
    </row>
    <row r="456" ht="14.25" customHeight="1">
      <c r="A456" s="3">
        <v>29.0</v>
      </c>
      <c r="B456" s="3">
        <v>3.0733025E7</v>
      </c>
      <c r="C456" s="3" t="s">
        <v>238</v>
      </c>
      <c r="D456" s="3" t="s">
        <v>239</v>
      </c>
      <c r="E456" s="3" t="s">
        <v>240</v>
      </c>
      <c r="F456" s="3" t="s">
        <v>241</v>
      </c>
      <c r="G456" s="3" t="s">
        <v>186</v>
      </c>
      <c r="H456" s="3">
        <v>2019.0</v>
      </c>
      <c r="I456" s="7">
        <v>43505.0</v>
      </c>
      <c r="L456" s="3" t="s">
        <v>242</v>
      </c>
    </row>
    <row r="457" ht="14.25" customHeight="1">
      <c r="A457" s="3">
        <v>30.0</v>
      </c>
      <c r="B457" s="3">
        <v>2.9959448E7</v>
      </c>
      <c r="C457" s="3" t="s">
        <v>1253</v>
      </c>
      <c r="D457" s="3" t="s">
        <v>1254</v>
      </c>
      <c r="E457" s="3" t="s">
        <v>1255</v>
      </c>
      <c r="F457" s="3" t="s">
        <v>1256</v>
      </c>
      <c r="G457" s="3" t="s">
        <v>274</v>
      </c>
      <c r="H457" s="3">
        <v>2019.0</v>
      </c>
      <c r="I457" s="7">
        <v>43282.0</v>
      </c>
      <c r="L457" s="3" t="s">
        <v>1257</v>
      </c>
    </row>
    <row r="458" ht="14.25" customHeight="1">
      <c r="A458" s="3">
        <v>31.0</v>
      </c>
      <c r="B458" s="3">
        <v>2.9776815E7</v>
      </c>
      <c r="C458" s="3" t="s">
        <v>1262</v>
      </c>
      <c r="D458" s="3" t="s">
        <v>1263</v>
      </c>
      <c r="E458" s="3" t="s">
        <v>1264</v>
      </c>
      <c r="F458" s="3" t="s">
        <v>1265</v>
      </c>
      <c r="G458" s="3" t="s">
        <v>180</v>
      </c>
      <c r="H458" s="3">
        <v>2018.0</v>
      </c>
      <c r="I458" s="7">
        <v>43240.0</v>
      </c>
      <c r="L458" s="3" t="s">
        <v>1266</v>
      </c>
    </row>
    <row r="459" ht="14.25" customHeight="1">
      <c r="A459" s="3">
        <v>32.0</v>
      </c>
      <c r="B459" s="3">
        <v>2.8918506E7</v>
      </c>
      <c r="C459" s="3" t="s">
        <v>2003</v>
      </c>
      <c r="D459" s="3" t="s">
        <v>2004</v>
      </c>
      <c r="E459" s="3" t="s">
        <v>2005</v>
      </c>
      <c r="F459" s="3" t="s">
        <v>2006</v>
      </c>
      <c r="G459" s="3" t="s">
        <v>274</v>
      </c>
      <c r="H459" s="3">
        <v>2018.0</v>
      </c>
      <c r="I459" s="7">
        <v>42996.0</v>
      </c>
      <c r="L459" s="3" t="s">
        <v>2007</v>
      </c>
    </row>
    <row r="460" ht="14.25" customHeight="1">
      <c r="A460" s="3">
        <v>33.0</v>
      </c>
      <c r="B460" s="3">
        <v>2.8840325E7</v>
      </c>
      <c r="C460" s="3" t="s">
        <v>1293</v>
      </c>
      <c r="D460" s="3" t="s">
        <v>1294</v>
      </c>
      <c r="E460" s="3" t="s">
        <v>1295</v>
      </c>
      <c r="F460" s="3" t="s">
        <v>1296</v>
      </c>
      <c r="G460" s="3" t="s">
        <v>192</v>
      </c>
      <c r="H460" s="3">
        <v>2017.0</v>
      </c>
      <c r="I460" s="7">
        <v>42973.0</v>
      </c>
      <c r="L460" s="3" t="s">
        <v>1297</v>
      </c>
    </row>
    <row r="461" ht="14.25" customHeight="1">
      <c r="A461" s="3">
        <v>34.0</v>
      </c>
      <c r="B461" s="3">
        <v>2.8224443E7</v>
      </c>
      <c r="C461" s="3" t="s">
        <v>2008</v>
      </c>
      <c r="D461" s="3" t="s">
        <v>2009</v>
      </c>
      <c r="E461" s="3" t="s">
        <v>2010</v>
      </c>
      <c r="F461" s="3" t="s">
        <v>2011</v>
      </c>
      <c r="G461" s="3" t="s">
        <v>500</v>
      </c>
      <c r="H461" s="3">
        <v>2017.0</v>
      </c>
      <c r="I461" s="7">
        <v>42789.0</v>
      </c>
      <c r="J461" s="3" t="s">
        <v>2012</v>
      </c>
      <c r="L461" s="3" t="s">
        <v>2013</v>
      </c>
    </row>
    <row r="462" ht="14.25" customHeight="1">
      <c r="A462" s="3">
        <v>35.0</v>
      </c>
      <c r="B462" s="3">
        <v>2.6875887E7</v>
      </c>
      <c r="C462" s="3" t="s">
        <v>2014</v>
      </c>
      <c r="D462" s="3" t="s">
        <v>2015</v>
      </c>
      <c r="E462" s="3" t="s">
        <v>2016</v>
      </c>
      <c r="F462" s="3" t="s">
        <v>2017</v>
      </c>
      <c r="G462" s="3" t="s">
        <v>2018</v>
      </c>
      <c r="H462" s="3">
        <v>2016.0</v>
      </c>
      <c r="I462" s="7">
        <v>42416.0</v>
      </c>
    </row>
    <row r="463" ht="14.25" customHeight="1">
      <c r="A463" s="3">
        <v>36.0</v>
      </c>
      <c r="B463" s="3">
        <v>2.67977E7</v>
      </c>
      <c r="C463" s="3" t="s">
        <v>2019</v>
      </c>
      <c r="D463" s="3" t="s">
        <v>2020</v>
      </c>
      <c r="E463" s="3" t="s">
        <v>2021</v>
      </c>
      <c r="F463" s="3" t="s">
        <v>2022</v>
      </c>
      <c r="G463" s="3" t="s">
        <v>167</v>
      </c>
      <c r="H463" s="3">
        <v>2016.0</v>
      </c>
      <c r="I463" s="7">
        <v>42392.0</v>
      </c>
      <c r="L463" s="3" t="s">
        <v>2023</v>
      </c>
    </row>
    <row r="464" ht="14.25" customHeight="1">
      <c r="A464" s="3">
        <v>37.0</v>
      </c>
      <c r="B464" s="3">
        <v>2.6231151E7</v>
      </c>
      <c r="C464" s="3" t="s">
        <v>1365</v>
      </c>
      <c r="D464" s="3" t="s">
        <v>1366</v>
      </c>
      <c r="E464" s="3" t="s">
        <v>1367</v>
      </c>
      <c r="F464" s="3" t="s">
        <v>1368</v>
      </c>
      <c r="G464" s="3" t="s">
        <v>274</v>
      </c>
      <c r="H464" s="3">
        <v>2017.0</v>
      </c>
      <c r="I464" s="7">
        <v>42218.0</v>
      </c>
      <c r="L464" s="3" t="s">
        <v>1369</v>
      </c>
    </row>
    <row r="465" ht="14.25" customHeight="1">
      <c r="A465" s="3">
        <v>38.0</v>
      </c>
      <c r="B465" s="3">
        <v>2.5630275E7</v>
      </c>
      <c r="C465" s="3" t="s">
        <v>1396</v>
      </c>
      <c r="D465" s="3" t="s">
        <v>1397</v>
      </c>
      <c r="E465" s="3" t="s">
        <v>1398</v>
      </c>
      <c r="F465" s="3" t="s">
        <v>1399</v>
      </c>
      <c r="G465" s="3" t="s">
        <v>274</v>
      </c>
      <c r="H465" s="3">
        <v>2016.0</v>
      </c>
      <c r="I465" s="7">
        <v>42034.0</v>
      </c>
      <c r="L465" s="3" t="s">
        <v>1400</v>
      </c>
    </row>
    <row r="466" ht="14.25" customHeight="1">
      <c r="A466" s="3">
        <v>39.0</v>
      </c>
      <c r="B466" s="3">
        <v>2.5536951E7</v>
      </c>
      <c r="C466" s="3" t="s">
        <v>2024</v>
      </c>
      <c r="D466" s="3" t="s">
        <v>2025</v>
      </c>
      <c r="E466" s="3" t="s">
        <v>2026</v>
      </c>
      <c r="F466" s="3" t="s">
        <v>2027</v>
      </c>
      <c r="G466" s="3" t="s">
        <v>274</v>
      </c>
      <c r="H466" s="3">
        <v>2016.0</v>
      </c>
      <c r="I466" s="7">
        <v>41998.0</v>
      </c>
      <c r="L466" s="3" t="s">
        <v>2028</v>
      </c>
    </row>
    <row r="467" ht="14.25" customHeight="1">
      <c r="A467" s="3">
        <v>40.0</v>
      </c>
      <c r="B467" s="3">
        <v>2.5381471E7</v>
      </c>
      <c r="C467" s="3" t="s">
        <v>1401</v>
      </c>
      <c r="D467" s="3" t="s">
        <v>1402</v>
      </c>
      <c r="E467" s="3" t="s">
        <v>1403</v>
      </c>
      <c r="F467" s="3" t="s">
        <v>1029</v>
      </c>
      <c r="G467" s="3" t="s">
        <v>192</v>
      </c>
      <c r="H467" s="3">
        <v>2015.0</v>
      </c>
      <c r="I467" s="7">
        <v>41953.0</v>
      </c>
      <c r="L467" s="3" t="s">
        <v>1404</v>
      </c>
    </row>
    <row r="468" ht="14.25" customHeight="1">
      <c r="A468" s="3">
        <v>41.0</v>
      </c>
      <c r="B468" s="3">
        <v>2.4630956E7</v>
      </c>
      <c r="C468" s="3" t="s">
        <v>351</v>
      </c>
      <c r="D468" s="3" t="s">
        <v>352</v>
      </c>
      <c r="E468" s="3" t="s">
        <v>353</v>
      </c>
      <c r="F468" s="3" t="s">
        <v>354</v>
      </c>
      <c r="G468" s="3" t="s">
        <v>186</v>
      </c>
      <c r="H468" s="3">
        <v>2014.0</v>
      </c>
      <c r="I468" s="7">
        <v>41716.0</v>
      </c>
      <c r="L468" s="3" t="s">
        <v>355</v>
      </c>
    </row>
    <row r="469" ht="14.25" customHeight="1">
      <c r="A469" s="3">
        <v>42.0</v>
      </c>
      <c r="B469" s="3">
        <v>2.4553686E7</v>
      </c>
      <c r="C469" s="3" t="s">
        <v>2029</v>
      </c>
      <c r="D469" s="3" t="s">
        <v>2030</v>
      </c>
      <c r="E469" s="3" t="s">
        <v>2031</v>
      </c>
      <c r="F469" s="3" t="s">
        <v>2032</v>
      </c>
      <c r="G469" s="3" t="s">
        <v>1666</v>
      </c>
      <c r="H469" s="3">
        <v>2014.0</v>
      </c>
      <c r="I469" s="7">
        <v>41691.0</v>
      </c>
      <c r="L469" s="3" t="s">
        <v>2033</v>
      </c>
    </row>
    <row r="470" ht="14.25" customHeight="1">
      <c r="A470" s="3">
        <v>43.0</v>
      </c>
      <c r="B470" s="3">
        <v>2.3793303E7</v>
      </c>
      <c r="C470" s="3" t="s">
        <v>1448</v>
      </c>
      <c r="D470" s="3" t="s">
        <v>1449</v>
      </c>
      <c r="E470" s="3" t="s">
        <v>1450</v>
      </c>
      <c r="F470" s="3" t="s">
        <v>1451</v>
      </c>
      <c r="G470" s="3" t="s">
        <v>1452</v>
      </c>
      <c r="H470" s="3">
        <v>2013.0</v>
      </c>
      <c r="I470" s="7">
        <v>41450.0</v>
      </c>
      <c r="L470" s="3" t="s">
        <v>1453</v>
      </c>
    </row>
    <row r="471" ht="14.25" customHeight="1">
      <c r="A471" s="3">
        <v>44.0</v>
      </c>
      <c r="B471" s="3">
        <v>2.3423316E7</v>
      </c>
      <c r="C471" s="3" t="s">
        <v>1470</v>
      </c>
      <c r="D471" s="3" t="s">
        <v>1471</v>
      </c>
      <c r="E471" s="3" t="s">
        <v>1472</v>
      </c>
      <c r="F471" s="3" t="s">
        <v>1473</v>
      </c>
      <c r="G471" s="3" t="s">
        <v>167</v>
      </c>
      <c r="H471" s="3">
        <v>2013.0</v>
      </c>
      <c r="I471" s="7">
        <v>41326.0</v>
      </c>
      <c r="L471" s="3" t="s">
        <v>1474</v>
      </c>
    </row>
    <row r="472" ht="14.25" customHeight="1">
      <c r="A472" s="3">
        <v>45.0</v>
      </c>
      <c r="B472" s="3">
        <v>2.1663722E7</v>
      </c>
      <c r="C472" s="3" t="s">
        <v>417</v>
      </c>
      <c r="D472" s="3" t="s">
        <v>418</v>
      </c>
      <c r="E472" s="3" t="s">
        <v>419</v>
      </c>
      <c r="F472" s="3" t="s">
        <v>420</v>
      </c>
      <c r="G472" s="3" t="s">
        <v>186</v>
      </c>
      <c r="H472" s="3">
        <v>2011.0</v>
      </c>
      <c r="I472" s="7">
        <v>40708.0</v>
      </c>
      <c r="L472" s="3" t="s">
        <v>421</v>
      </c>
    </row>
    <row r="473" ht="14.25" customHeight="1">
      <c r="A473" s="3">
        <v>46.0</v>
      </c>
      <c r="B473" s="3">
        <v>2.0401753E7</v>
      </c>
      <c r="C473" s="3" t="s">
        <v>452</v>
      </c>
      <c r="D473" s="3" t="s">
        <v>453</v>
      </c>
      <c r="E473" s="3" t="s">
        <v>454</v>
      </c>
      <c r="F473" s="3" t="s">
        <v>230</v>
      </c>
      <c r="G473" s="3" t="s">
        <v>328</v>
      </c>
      <c r="H473" s="3">
        <v>2010.0</v>
      </c>
      <c r="I473" s="7">
        <v>40288.0</v>
      </c>
      <c r="J473" s="3" t="s">
        <v>455</v>
      </c>
      <c r="L473" s="3" t="s">
        <v>456</v>
      </c>
    </row>
    <row r="474" ht="14.25" customHeight="1">
      <c r="A474" s="3">
        <v>47.0</v>
      </c>
      <c r="B474" s="3">
        <v>2.0194956E7</v>
      </c>
      <c r="C474" s="3" t="s">
        <v>457</v>
      </c>
      <c r="D474" s="3" t="s">
        <v>458</v>
      </c>
      <c r="E474" s="3" t="s">
        <v>459</v>
      </c>
      <c r="F474" s="3" t="s">
        <v>460</v>
      </c>
      <c r="G474" s="3" t="s">
        <v>167</v>
      </c>
      <c r="H474" s="3">
        <v>2010.0</v>
      </c>
      <c r="I474" s="7">
        <v>40240.0</v>
      </c>
      <c r="L474" s="3" t="s">
        <v>461</v>
      </c>
    </row>
    <row r="475" ht="14.25" customHeight="1">
      <c r="A475" s="3">
        <v>48.0</v>
      </c>
      <c r="B475" s="3">
        <v>1.9486478E7</v>
      </c>
      <c r="C475" s="3" t="s">
        <v>1638</v>
      </c>
      <c r="D475" s="3" t="s">
        <v>1639</v>
      </c>
      <c r="E475" s="3" t="s">
        <v>1640</v>
      </c>
      <c r="F475" s="3" t="s">
        <v>1641</v>
      </c>
      <c r="G475" s="3" t="s">
        <v>591</v>
      </c>
      <c r="H475" s="3">
        <v>2010.0</v>
      </c>
      <c r="I475" s="7">
        <v>39967.0</v>
      </c>
      <c r="L475" s="3" t="s">
        <v>1642</v>
      </c>
    </row>
    <row r="476" ht="14.25" customHeight="1">
      <c r="A476" s="3">
        <v>49.0</v>
      </c>
      <c r="B476" s="3">
        <v>1.8989731E7</v>
      </c>
      <c r="C476" s="3" t="s">
        <v>496</v>
      </c>
      <c r="D476" s="3" t="s">
        <v>497</v>
      </c>
      <c r="E476" s="3" t="s">
        <v>498</v>
      </c>
      <c r="F476" s="3" t="s">
        <v>499</v>
      </c>
      <c r="G476" s="3" t="s">
        <v>500</v>
      </c>
      <c r="H476" s="3">
        <v>2009.0</v>
      </c>
      <c r="I476" s="7">
        <v>39760.0</v>
      </c>
      <c r="J476" s="3" t="s">
        <v>501</v>
      </c>
      <c r="L476" s="3" t="s">
        <v>502</v>
      </c>
    </row>
    <row r="477" ht="14.25" customHeight="1">
      <c r="A477" s="3">
        <v>50.0</v>
      </c>
      <c r="B477" s="3">
        <v>1.8196393E7</v>
      </c>
      <c r="C477" s="3" t="s">
        <v>509</v>
      </c>
      <c r="D477" s="3" t="s">
        <v>510</v>
      </c>
      <c r="E477" s="3" t="s">
        <v>511</v>
      </c>
      <c r="F477" s="3" t="s">
        <v>512</v>
      </c>
      <c r="G477" s="3" t="s">
        <v>500</v>
      </c>
      <c r="H477" s="3">
        <v>2008.0</v>
      </c>
      <c r="I477" s="7">
        <v>39463.0</v>
      </c>
      <c r="J477" s="3" t="s">
        <v>513</v>
      </c>
      <c r="L477" s="3" t="s">
        <v>514</v>
      </c>
    </row>
    <row r="478" ht="14.25" customHeight="1">
      <c r="A478" s="3">
        <v>51.0</v>
      </c>
      <c r="B478" s="3">
        <v>1.7940146E7</v>
      </c>
      <c r="C478" s="3" t="s">
        <v>1732</v>
      </c>
      <c r="D478" s="3" t="s">
        <v>1733</v>
      </c>
      <c r="E478" s="3" t="s">
        <v>1734</v>
      </c>
      <c r="F478" s="3" t="s">
        <v>1641</v>
      </c>
      <c r="G478" s="3" t="s">
        <v>167</v>
      </c>
      <c r="H478" s="3">
        <v>2008.0</v>
      </c>
      <c r="I478" s="7">
        <v>39373.0</v>
      </c>
      <c r="L478" s="3" t="s">
        <v>1735</v>
      </c>
    </row>
    <row r="479" ht="14.25" customHeight="1">
      <c r="A479" s="3">
        <v>52.0</v>
      </c>
      <c r="B479" s="3">
        <v>1.7219226E7</v>
      </c>
      <c r="C479" s="3" t="s">
        <v>549</v>
      </c>
      <c r="D479" s="3" t="s">
        <v>550</v>
      </c>
      <c r="E479" s="3" t="s">
        <v>551</v>
      </c>
      <c r="F479" s="3" t="s">
        <v>552</v>
      </c>
      <c r="G479" s="3" t="s">
        <v>274</v>
      </c>
      <c r="H479" s="3">
        <v>2007.0</v>
      </c>
      <c r="I479" s="7">
        <v>39098.0</v>
      </c>
      <c r="L479" s="3" t="s">
        <v>553</v>
      </c>
    </row>
    <row r="480" ht="14.25" customHeight="1">
      <c r="A480" s="3">
        <v>53.0</v>
      </c>
      <c r="B480" s="3">
        <v>1.5754231E7</v>
      </c>
      <c r="C480" s="3" t="s">
        <v>2034</v>
      </c>
      <c r="D480" s="3" t="s">
        <v>2035</v>
      </c>
      <c r="E480" s="3" t="s">
        <v>2036</v>
      </c>
      <c r="F480" s="3" t="s">
        <v>2037</v>
      </c>
      <c r="G480" s="3" t="s">
        <v>2038</v>
      </c>
      <c r="H480" s="3">
        <v>2005.0</v>
      </c>
      <c r="I480" s="7">
        <v>38420.0</v>
      </c>
      <c r="L480" s="3" t="s">
        <v>2039</v>
      </c>
    </row>
    <row r="481" ht="14.25" customHeight="1">
      <c r="A481" s="3">
        <v>54.0</v>
      </c>
      <c r="B481" s="3">
        <v>1.3679741E7</v>
      </c>
      <c r="C481" s="3" t="s">
        <v>656</v>
      </c>
      <c r="D481" s="3" t="s">
        <v>657</v>
      </c>
      <c r="E481" s="3" t="s">
        <v>658</v>
      </c>
      <c r="F481" s="3" t="s">
        <v>659</v>
      </c>
      <c r="G481" s="3" t="s">
        <v>507</v>
      </c>
      <c r="H481" s="3">
        <v>2003.0</v>
      </c>
      <c r="I481" s="7">
        <v>37883.0</v>
      </c>
    </row>
    <row r="482" ht="14.25" customHeight="1">
      <c r="A482" s="3">
        <v>55.0</v>
      </c>
      <c r="B482" s="3">
        <v>1.2860546E7</v>
      </c>
      <c r="C482" s="3" t="s">
        <v>670</v>
      </c>
      <c r="D482" s="3" t="s">
        <v>671</v>
      </c>
      <c r="E482" s="3" t="s">
        <v>672</v>
      </c>
      <c r="F482" s="3" t="s">
        <v>673</v>
      </c>
      <c r="G482" s="3" t="s">
        <v>167</v>
      </c>
      <c r="H482" s="3">
        <v>2003.0</v>
      </c>
      <c r="I482" s="7">
        <v>37818.0</v>
      </c>
      <c r="L482" s="3" t="s">
        <v>674</v>
      </c>
    </row>
    <row r="483" ht="14.25" customHeight="1">
      <c r="A483" s="3">
        <v>56.0</v>
      </c>
      <c r="B483" s="3">
        <v>1.2793556E7</v>
      </c>
      <c r="C483" s="3" t="s">
        <v>1848</v>
      </c>
      <c r="D483" s="3" t="s">
        <v>1849</v>
      </c>
      <c r="E483" s="3" t="s">
        <v>1850</v>
      </c>
      <c r="F483" s="3" t="s">
        <v>1851</v>
      </c>
      <c r="G483" s="3" t="s">
        <v>726</v>
      </c>
      <c r="H483" s="3">
        <v>2003.0</v>
      </c>
      <c r="I483" s="7">
        <v>37782.0</v>
      </c>
      <c r="L483" s="3" t="s">
        <v>1852</v>
      </c>
    </row>
    <row r="484" ht="14.25" customHeight="1">
      <c r="A484" s="3">
        <v>57.0</v>
      </c>
      <c r="B484" s="3">
        <v>1.2121424E7</v>
      </c>
      <c r="C484" s="3" t="s">
        <v>717</v>
      </c>
      <c r="D484" s="3" t="s">
        <v>718</v>
      </c>
      <c r="E484" s="3" t="s">
        <v>719</v>
      </c>
      <c r="F484" s="3" t="s">
        <v>720</v>
      </c>
      <c r="G484" s="3" t="s">
        <v>591</v>
      </c>
      <c r="H484" s="3">
        <v>2002.0</v>
      </c>
      <c r="I484" s="7">
        <v>37455.0</v>
      </c>
      <c r="L484" s="3" t="s">
        <v>721</v>
      </c>
    </row>
    <row r="485" ht="14.25" customHeight="1">
      <c r="A485" s="3">
        <v>58.0</v>
      </c>
      <c r="B485" s="3">
        <v>1.1912091E7</v>
      </c>
      <c r="C485" s="3" t="s">
        <v>737</v>
      </c>
      <c r="D485" s="3" t="s">
        <v>738</v>
      </c>
      <c r="E485" s="3" t="s">
        <v>739</v>
      </c>
      <c r="F485" s="3" t="s">
        <v>740</v>
      </c>
      <c r="G485" s="3" t="s">
        <v>167</v>
      </c>
      <c r="H485" s="3">
        <v>2002.0</v>
      </c>
      <c r="I485" s="7">
        <v>37341.0</v>
      </c>
      <c r="L485" s="3" t="s">
        <v>741</v>
      </c>
    </row>
    <row r="486" ht="14.25" customHeight="1">
      <c r="A486" s="3">
        <v>59.0</v>
      </c>
      <c r="B486" s="3">
        <v>1.1877607E7</v>
      </c>
      <c r="C486" s="3" t="s">
        <v>1853</v>
      </c>
      <c r="D486" s="3" t="s">
        <v>1854</v>
      </c>
      <c r="E486" s="3" t="s">
        <v>1855</v>
      </c>
      <c r="F486" s="3" t="s">
        <v>1856</v>
      </c>
      <c r="G486" s="3" t="s">
        <v>186</v>
      </c>
      <c r="H486" s="3">
        <v>2002.0</v>
      </c>
      <c r="I486" s="7">
        <v>37321.0</v>
      </c>
      <c r="L486" s="3" t="s">
        <v>1857</v>
      </c>
    </row>
    <row r="487" ht="14.25" customHeight="1">
      <c r="A487" s="3">
        <v>60.0</v>
      </c>
      <c r="B487" s="3">
        <v>1.1819015E7</v>
      </c>
      <c r="C487" s="3" t="s">
        <v>2040</v>
      </c>
      <c r="D487" s="3" t="s">
        <v>2041</v>
      </c>
      <c r="E487" s="3" t="s">
        <v>2042</v>
      </c>
      <c r="F487" s="3" t="s">
        <v>2043</v>
      </c>
      <c r="G487" s="3" t="s">
        <v>274</v>
      </c>
      <c r="H487" s="3">
        <v>2002.0</v>
      </c>
      <c r="I487" s="7">
        <v>37287.0</v>
      </c>
      <c r="L487" s="3" t="s">
        <v>2044</v>
      </c>
    </row>
    <row r="488" ht="14.25" customHeight="1">
      <c r="A488" s="3">
        <v>61.0</v>
      </c>
      <c r="B488" s="3">
        <v>1.1685356E7</v>
      </c>
      <c r="C488" s="3" t="s">
        <v>757</v>
      </c>
      <c r="D488" s="3" t="s">
        <v>758</v>
      </c>
      <c r="E488" s="3" t="s">
        <v>759</v>
      </c>
      <c r="F488" s="3" t="s">
        <v>673</v>
      </c>
      <c r="G488" s="3" t="s">
        <v>274</v>
      </c>
      <c r="H488" s="3">
        <v>2001.0</v>
      </c>
      <c r="I488" s="7">
        <v>37195.0</v>
      </c>
      <c r="L488" s="3" t="s">
        <v>760</v>
      </c>
    </row>
    <row r="489" ht="14.25" customHeight="1">
      <c r="A489" s="3">
        <v>62.0</v>
      </c>
      <c r="B489" s="3">
        <v>1.1568194E7</v>
      </c>
      <c r="C489" s="3" t="s">
        <v>1863</v>
      </c>
      <c r="D489" s="3" t="s">
        <v>1864</v>
      </c>
      <c r="E489" s="3" t="s">
        <v>1865</v>
      </c>
      <c r="F489" s="3" t="s">
        <v>1866</v>
      </c>
      <c r="G489" s="3" t="s">
        <v>225</v>
      </c>
      <c r="H489" s="3">
        <v>2001.0</v>
      </c>
      <c r="I489" s="7">
        <v>37159.0</v>
      </c>
      <c r="L489" s="3" t="s">
        <v>1867</v>
      </c>
    </row>
    <row r="490" ht="14.25" customHeight="1">
      <c r="A490" s="3">
        <v>63.0</v>
      </c>
      <c r="B490" s="3">
        <v>1.1147151E7</v>
      </c>
      <c r="C490" s="3" t="s">
        <v>1882</v>
      </c>
      <c r="D490" s="3" t="s">
        <v>1883</v>
      </c>
      <c r="E490" s="3" t="s">
        <v>1884</v>
      </c>
      <c r="F490" s="3" t="s">
        <v>663</v>
      </c>
      <c r="G490" s="3" t="s">
        <v>274</v>
      </c>
      <c r="H490" s="3">
        <v>2000.0</v>
      </c>
      <c r="I490" s="7">
        <v>36900.0</v>
      </c>
      <c r="L490" s="3" t="s">
        <v>1885</v>
      </c>
    </row>
    <row r="491" ht="14.25" customHeight="1">
      <c r="A491" s="3">
        <v>64.0</v>
      </c>
      <c r="B491" s="3">
        <v>1.1032219E7</v>
      </c>
      <c r="C491" s="3" t="s">
        <v>798</v>
      </c>
      <c r="D491" s="3" t="s">
        <v>799</v>
      </c>
      <c r="E491" s="3" t="s">
        <v>800</v>
      </c>
      <c r="F491" s="3" t="s">
        <v>801</v>
      </c>
      <c r="G491" s="3" t="s">
        <v>167</v>
      </c>
      <c r="H491" s="3">
        <v>2000.0</v>
      </c>
      <c r="I491" s="7">
        <v>36813.0</v>
      </c>
      <c r="L491" s="3" t="s">
        <v>802</v>
      </c>
    </row>
    <row r="492" ht="14.25" customHeight="1">
      <c r="A492" s="3">
        <v>65.0</v>
      </c>
      <c r="B492" s="3">
        <v>9917711.0</v>
      </c>
      <c r="C492" s="3" t="s">
        <v>2045</v>
      </c>
      <c r="D492" s="3" t="s">
        <v>2046</v>
      </c>
      <c r="E492" s="3" t="s">
        <v>2047</v>
      </c>
      <c r="F492" s="3" t="s">
        <v>2048</v>
      </c>
      <c r="G492" s="3" t="s">
        <v>500</v>
      </c>
      <c r="H492" s="3">
        <v>1998.0</v>
      </c>
      <c r="I492" s="7">
        <v>36186.0</v>
      </c>
      <c r="L492" s="3" t="s">
        <v>2049</v>
      </c>
    </row>
    <row r="493" ht="14.25" customHeight="1">
      <c r="A493" s="3">
        <v>66.0</v>
      </c>
      <c r="B493" s="3">
        <v>9127846.0</v>
      </c>
      <c r="C493" s="3" t="s">
        <v>889</v>
      </c>
      <c r="D493" s="3" t="s">
        <v>890</v>
      </c>
      <c r="E493" s="3" t="s">
        <v>891</v>
      </c>
      <c r="F493" s="3" t="s">
        <v>892</v>
      </c>
      <c r="G493" s="3" t="s">
        <v>274</v>
      </c>
      <c r="H493" s="3">
        <v>1997.0</v>
      </c>
      <c r="I493" s="7">
        <v>35431.0</v>
      </c>
      <c r="L493" s="3" t="s">
        <v>893</v>
      </c>
    </row>
    <row r="494" ht="14.25" customHeight="1">
      <c r="A494" s="3">
        <v>67.0</v>
      </c>
      <c r="B494" s="3">
        <v>8947397.0</v>
      </c>
      <c r="C494" s="3" t="s">
        <v>1910</v>
      </c>
      <c r="D494" s="3" t="s">
        <v>1911</v>
      </c>
      <c r="E494" s="3" t="s">
        <v>1912</v>
      </c>
      <c r="F494" s="3" t="s">
        <v>1913</v>
      </c>
      <c r="G494" s="3" t="s">
        <v>167</v>
      </c>
      <c r="H494" s="3">
        <v>1996.0</v>
      </c>
      <c r="I494" s="7">
        <v>35370.0</v>
      </c>
      <c r="L494" s="3" t="s">
        <v>1914</v>
      </c>
    </row>
    <row r="495" ht="14.25" customHeight="1">
      <c r="A495" s="3">
        <v>68.0</v>
      </c>
      <c r="B495" s="3">
        <v>7827632.0</v>
      </c>
      <c r="C495" s="3" t="s">
        <v>1921</v>
      </c>
      <c r="D495" s="3" t="s">
        <v>1922</v>
      </c>
      <c r="E495" s="3" t="s">
        <v>1923</v>
      </c>
      <c r="F495" s="3" t="s">
        <v>1924</v>
      </c>
      <c r="G495" s="3" t="s">
        <v>1925</v>
      </c>
      <c r="H495" s="3">
        <v>1994.0</v>
      </c>
      <c r="I495" s="7">
        <v>34639.0</v>
      </c>
      <c r="L495" s="3" t="s">
        <v>1926</v>
      </c>
    </row>
    <row r="496" ht="14.25" customHeight="1">
      <c r="A496" s="3">
        <v>69.0</v>
      </c>
      <c r="B496" s="3">
        <v>8047560.0</v>
      </c>
      <c r="C496" s="3" t="s">
        <v>2050</v>
      </c>
      <c r="D496" s="3" t="s">
        <v>2051</v>
      </c>
      <c r="E496" s="3" t="s">
        <v>2052</v>
      </c>
      <c r="F496" s="3" t="s">
        <v>2053</v>
      </c>
      <c r="G496" s="3" t="s">
        <v>2054</v>
      </c>
      <c r="H496" s="3">
        <v>1994.0</v>
      </c>
      <c r="I496" s="7">
        <v>34547.0</v>
      </c>
      <c r="L496" s="3" t="s">
        <v>2055</v>
      </c>
    </row>
    <row r="497" ht="14.25" customHeight="1">
      <c r="A497" s="3">
        <v>70.0</v>
      </c>
      <c r="B497" s="3">
        <v>8300688.0</v>
      </c>
      <c r="C497" s="3" t="s">
        <v>2056</v>
      </c>
      <c r="D497" s="3" t="s">
        <v>2057</v>
      </c>
      <c r="E497" s="3" t="s">
        <v>2058</v>
      </c>
      <c r="F497" s="3" t="s">
        <v>2059</v>
      </c>
      <c r="G497" s="3" t="s">
        <v>726</v>
      </c>
      <c r="H497" s="3">
        <v>1994.0</v>
      </c>
      <c r="I497" s="7">
        <v>34335.0</v>
      </c>
    </row>
    <row r="498" ht="14.25" customHeight="1">
      <c r="A498" s="3">
        <v>71.0</v>
      </c>
      <c r="B498" s="3">
        <v>3355641.0</v>
      </c>
      <c r="C498" s="3" t="s">
        <v>2060</v>
      </c>
      <c r="D498" s="3" t="s">
        <v>2061</v>
      </c>
      <c r="E498" s="3" t="s">
        <v>2062</v>
      </c>
      <c r="F498" s="3" t="s">
        <v>2063</v>
      </c>
      <c r="G498" s="3" t="s">
        <v>186</v>
      </c>
      <c r="H498" s="3">
        <v>1988.0</v>
      </c>
      <c r="I498" s="7">
        <v>32143.0</v>
      </c>
      <c r="L498" s="3" t="s">
        <v>2064</v>
      </c>
    </row>
    <row r="499" ht="14.25" customHeight="1">
      <c r="A499" s="3">
        <v>72.0</v>
      </c>
      <c r="B499" s="3">
        <v>3896609.0</v>
      </c>
      <c r="C499" s="3" t="s">
        <v>2065</v>
      </c>
      <c r="D499" s="3" t="s">
        <v>2066</v>
      </c>
      <c r="E499" s="3" t="s">
        <v>2067</v>
      </c>
      <c r="F499" s="3" t="s">
        <v>2068</v>
      </c>
      <c r="G499" s="3" t="s">
        <v>500</v>
      </c>
      <c r="H499" s="3">
        <v>1985.0</v>
      </c>
      <c r="I499" s="7">
        <v>31291.0</v>
      </c>
    </row>
    <row r="500" ht="14.25" customHeight="1">
      <c r="A500" s="3">
        <v>0.0</v>
      </c>
      <c r="B500" s="3">
        <v>3.9714511E7</v>
      </c>
      <c r="C500" s="3" t="s">
        <v>979</v>
      </c>
      <c r="D500" s="3" t="s">
        <v>980</v>
      </c>
      <c r="E500" s="3" t="s">
        <v>981</v>
      </c>
      <c r="F500" s="3" t="s">
        <v>982</v>
      </c>
      <c r="G500" s="3" t="s">
        <v>192</v>
      </c>
      <c r="H500" s="3">
        <v>2024.0</v>
      </c>
      <c r="I500" s="7">
        <v>45649.0</v>
      </c>
      <c r="J500" s="3" t="s">
        <v>983</v>
      </c>
      <c r="L500" s="3" t="s">
        <v>984</v>
      </c>
    </row>
    <row r="501" ht="14.25" customHeight="1">
      <c r="A501" s="3">
        <v>1.0</v>
      </c>
      <c r="B501" s="3">
        <v>2.9421837E7</v>
      </c>
      <c r="C501" s="3" t="s">
        <v>1283</v>
      </c>
      <c r="D501" s="3" t="s">
        <v>1284</v>
      </c>
      <c r="E501" s="3" t="s">
        <v>1285</v>
      </c>
      <c r="F501" s="3" t="s">
        <v>1286</v>
      </c>
      <c r="G501" s="3" t="s">
        <v>380</v>
      </c>
      <c r="H501" s="3">
        <v>2018.0</v>
      </c>
      <c r="I501" s="7">
        <v>43140.0</v>
      </c>
      <c r="L501" s="3" t="s">
        <v>1287</v>
      </c>
    </row>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55.57"/>
    <col customWidth="1" min="5" max="39" width="8.71"/>
  </cols>
  <sheetData>
    <row r="1" ht="14.25" customHeight="1">
      <c r="A1" s="8"/>
      <c r="B1" s="8" t="s">
        <v>14</v>
      </c>
      <c r="C1" s="8" t="s">
        <v>18</v>
      </c>
      <c r="D1" s="8" t="s">
        <v>20</v>
      </c>
      <c r="E1" s="8" t="s">
        <v>26</v>
      </c>
      <c r="F1" s="8" t="s">
        <v>32</v>
      </c>
      <c r="G1" s="8" t="s">
        <v>39</v>
      </c>
      <c r="H1" s="8" t="s">
        <v>43</v>
      </c>
      <c r="I1" s="8" t="s">
        <v>48</v>
      </c>
      <c r="J1" s="8" t="s">
        <v>4</v>
      </c>
      <c r="K1" s="8" t="s">
        <v>37</v>
      </c>
      <c r="L1" s="8" t="s">
        <v>29</v>
      </c>
      <c r="M1" s="8" t="s">
        <v>61</v>
      </c>
      <c r="N1" s="8" t="s">
        <v>64</v>
      </c>
      <c r="O1" s="8" t="s">
        <v>67</v>
      </c>
      <c r="P1" s="8" t="s">
        <v>70</v>
      </c>
      <c r="Q1" s="8" t="s">
        <v>73</v>
      </c>
      <c r="R1" s="8" t="s">
        <v>7</v>
      </c>
      <c r="S1" s="8" t="s">
        <v>78</v>
      </c>
      <c r="T1" s="8" t="s">
        <v>74</v>
      </c>
      <c r="U1" s="8" t="s">
        <v>71</v>
      </c>
      <c r="V1" s="8" t="s">
        <v>85</v>
      </c>
      <c r="W1" s="8" t="s">
        <v>88</v>
      </c>
      <c r="X1" s="8" t="s">
        <v>91</v>
      </c>
      <c r="Y1" s="8" t="s">
        <v>94</v>
      </c>
      <c r="Z1" s="8" t="s">
        <v>86</v>
      </c>
      <c r="AA1" s="8" t="s">
        <v>99</v>
      </c>
      <c r="AB1" s="8" t="s">
        <v>102</v>
      </c>
      <c r="AC1" s="8" t="s">
        <v>105</v>
      </c>
      <c r="AD1" s="8" t="s">
        <v>108</v>
      </c>
      <c r="AE1" s="8" t="s">
        <v>111</v>
      </c>
      <c r="AF1" s="8" t="s">
        <v>114</v>
      </c>
      <c r="AG1" s="8" t="s">
        <v>117</v>
      </c>
      <c r="AH1" s="8" t="s">
        <v>120</v>
      </c>
      <c r="AI1" s="8" t="s">
        <v>16</v>
      </c>
      <c r="AJ1" s="8" t="s">
        <v>125</v>
      </c>
      <c r="AK1" s="8" t="s">
        <v>128</v>
      </c>
      <c r="AL1" s="8" t="s">
        <v>131</v>
      </c>
      <c r="AM1" s="8" t="s">
        <v>134</v>
      </c>
    </row>
    <row r="2" ht="14.25" customHeight="1">
      <c r="A2" s="8">
        <v>0.0</v>
      </c>
      <c r="B2" s="8" t="s">
        <v>2069</v>
      </c>
      <c r="C2" s="8"/>
      <c r="D2" s="8" t="s">
        <v>2070</v>
      </c>
      <c r="E2" s="8" t="s">
        <v>2071</v>
      </c>
      <c r="F2" s="8" t="s">
        <v>2072</v>
      </c>
      <c r="G2" s="8"/>
      <c r="H2" s="7">
        <v>46015.0</v>
      </c>
      <c r="I2" s="7">
        <v>46020.0</v>
      </c>
      <c r="J2" s="8" t="s">
        <v>2073</v>
      </c>
      <c r="K2" s="8" t="s">
        <v>2074</v>
      </c>
      <c r="L2" s="8">
        <v>2026.0</v>
      </c>
      <c r="M2" s="8">
        <v>62.0</v>
      </c>
      <c r="N2" s="8"/>
      <c r="O2" s="8"/>
      <c r="P2" s="8"/>
      <c r="Q2" s="9">
        <v>46082.0</v>
      </c>
      <c r="R2" s="8" t="s">
        <v>2075</v>
      </c>
      <c r="S2" s="8"/>
      <c r="T2" s="8"/>
      <c r="U2" s="8"/>
      <c r="V2" s="8"/>
      <c r="W2" s="8" t="s">
        <v>2076</v>
      </c>
      <c r="X2" s="8"/>
      <c r="Y2" s="8" t="s">
        <v>2077</v>
      </c>
      <c r="Z2" s="8" t="s">
        <v>2078</v>
      </c>
      <c r="AA2" s="8"/>
      <c r="AB2" s="8"/>
      <c r="AC2" s="8" t="s">
        <v>2079</v>
      </c>
      <c r="AD2" s="8" t="s">
        <v>2080</v>
      </c>
      <c r="AE2" s="8" t="s">
        <v>2080</v>
      </c>
      <c r="AF2" s="8"/>
      <c r="AG2" s="8"/>
      <c r="AH2" s="8" t="s">
        <v>2081</v>
      </c>
      <c r="AI2" s="8" t="s">
        <v>2082</v>
      </c>
      <c r="AJ2" s="8" t="s">
        <v>2083</v>
      </c>
      <c r="AK2" s="8" t="s">
        <v>2084</v>
      </c>
      <c r="AL2" s="8" t="s">
        <v>2085</v>
      </c>
      <c r="AM2" s="8" t="s">
        <v>2086</v>
      </c>
    </row>
    <row r="3" ht="14.25" customHeight="1">
      <c r="A3" s="8">
        <v>1.0</v>
      </c>
      <c r="B3" s="8" t="s">
        <v>2087</v>
      </c>
      <c r="C3" s="8"/>
      <c r="D3" s="8"/>
      <c r="E3" s="8"/>
      <c r="F3" s="8"/>
      <c r="G3" s="8"/>
      <c r="H3" s="7">
        <v>45943.0</v>
      </c>
      <c r="I3" s="7">
        <v>45943.0</v>
      </c>
      <c r="J3" s="8" t="s">
        <v>2088</v>
      </c>
      <c r="K3" s="8" t="s">
        <v>2089</v>
      </c>
      <c r="L3" s="8">
        <v>2025.0</v>
      </c>
      <c r="M3" s="8"/>
      <c r="N3" s="8"/>
      <c r="O3" s="8"/>
      <c r="P3" s="8"/>
      <c r="Q3" s="9">
        <v>45768.0</v>
      </c>
      <c r="R3" s="8" t="s">
        <v>2090</v>
      </c>
      <c r="S3" s="8"/>
      <c r="T3" s="8"/>
      <c r="U3" s="8"/>
      <c r="V3" s="8"/>
      <c r="W3" s="8"/>
      <c r="X3" s="8"/>
      <c r="Y3" s="8" t="s">
        <v>2089</v>
      </c>
      <c r="Z3" s="8" t="s">
        <v>2091</v>
      </c>
      <c r="AA3" s="8"/>
      <c r="AB3" s="8"/>
      <c r="AC3" s="8"/>
      <c r="AD3" s="8" t="s">
        <v>2080</v>
      </c>
      <c r="AE3" s="8" t="s">
        <v>2080</v>
      </c>
      <c r="AF3" s="8"/>
      <c r="AG3" s="8"/>
      <c r="AH3" s="8" t="s">
        <v>2092</v>
      </c>
      <c r="AI3" s="8"/>
      <c r="AJ3" s="8" t="s">
        <v>2093</v>
      </c>
      <c r="AK3" s="8" t="s">
        <v>2094</v>
      </c>
      <c r="AL3" s="8"/>
      <c r="AM3" s="8" t="s">
        <v>2095</v>
      </c>
    </row>
    <row r="4" ht="14.25" customHeight="1">
      <c r="A4" s="8">
        <v>2.0</v>
      </c>
      <c r="B4" s="8" t="s">
        <v>2096</v>
      </c>
      <c r="C4" s="8"/>
      <c r="D4" s="8" t="s">
        <v>2097</v>
      </c>
      <c r="E4" s="8" t="s">
        <v>2098</v>
      </c>
      <c r="F4" s="8" t="s">
        <v>2099</v>
      </c>
      <c r="G4" s="8"/>
      <c r="H4" s="7">
        <v>45692.0</v>
      </c>
      <c r="I4" s="7">
        <v>45693.0</v>
      </c>
      <c r="J4" s="8" t="s">
        <v>2100</v>
      </c>
      <c r="K4" s="8" t="s">
        <v>2101</v>
      </c>
      <c r="L4" s="8">
        <v>2025.0</v>
      </c>
      <c r="M4" s="8">
        <v>13.0</v>
      </c>
      <c r="N4" s="8">
        <v>1.0</v>
      </c>
      <c r="O4" s="8"/>
      <c r="P4" s="8"/>
      <c r="Q4" s="9">
        <v>45658.0</v>
      </c>
      <c r="R4" s="8" t="s">
        <v>2075</v>
      </c>
      <c r="S4" s="8"/>
      <c r="T4" s="8"/>
      <c r="U4" s="8"/>
      <c r="V4" s="8"/>
      <c r="W4" s="8" t="s">
        <v>2102</v>
      </c>
      <c r="X4" s="8"/>
      <c r="Y4" s="8" t="s">
        <v>2103</v>
      </c>
      <c r="Z4" s="8" t="s">
        <v>2104</v>
      </c>
      <c r="AA4" s="8"/>
      <c r="AB4" s="8"/>
      <c r="AC4" s="8"/>
      <c r="AD4" s="8" t="s">
        <v>2080</v>
      </c>
      <c r="AE4" s="8" t="s">
        <v>2080</v>
      </c>
      <c r="AF4" s="8"/>
      <c r="AG4" s="8"/>
      <c r="AH4" s="8" t="s">
        <v>2105</v>
      </c>
      <c r="AI4" s="8" t="s">
        <v>2106</v>
      </c>
      <c r="AJ4" s="8" t="s">
        <v>2107</v>
      </c>
      <c r="AK4" s="8" t="s">
        <v>2108</v>
      </c>
      <c r="AL4" s="8" t="s">
        <v>2109</v>
      </c>
      <c r="AM4" s="8" t="s">
        <v>2086</v>
      </c>
    </row>
    <row r="5" ht="14.25" customHeight="1">
      <c r="A5" s="8">
        <v>3.0</v>
      </c>
      <c r="B5" s="8" t="s">
        <v>2110</v>
      </c>
      <c r="C5" s="8"/>
      <c r="D5" s="8" t="s">
        <v>2111</v>
      </c>
      <c r="E5" s="8" t="s">
        <v>2112</v>
      </c>
      <c r="F5" s="8" t="s">
        <v>2113</v>
      </c>
      <c r="G5" s="8"/>
      <c r="H5" s="7">
        <v>45996.0</v>
      </c>
      <c r="I5" s="8"/>
      <c r="J5" s="8" t="s">
        <v>2114</v>
      </c>
      <c r="K5" s="8" t="s">
        <v>2115</v>
      </c>
      <c r="L5" s="8">
        <v>2025.0</v>
      </c>
      <c r="M5" s="8"/>
      <c r="N5" s="8"/>
      <c r="O5" s="8"/>
      <c r="P5" s="8"/>
      <c r="Q5" s="8">
        <v>2025.0</v>
      </c>
      <c r="R5" s="8" t="s">
        <v>2116</v>
      </c>
      <c r="S5" s="8"/>
      <c r="T5" s="8"/>
      <c r="U5" s="8"/>
      <c r="V5" s="8"/>
      <c r="W5" s="8" t="s">
        <v>2117</v>
      </c>
      <c r="X5" s="8"/>
      <c r="Y5" s="8" t="s">
        <v>2118</v>
      </c>
      <c r="Z5" s="8" t="s">
        <v>2119</v>
      </c>
      <c r="AA5" s="8"/>
      <c r="AB5" s="8"/>
      <c r="AC5" s="8"/>
      <c r="AD5" s="8" t="s">
        <v>2080</v>
      </c>
      <c r="AE5" s="8" t="s">
        <v>2080</v>
      </c>
      <c r="AF5" s="8"/>
      <c r="AG5" s="8"/>
      <c r="AH5" s="8" t="s">
        <v>2120</v>
      </c>
      <c r="AI5" s="8" t="s">
        <v>2121</v>
      </c>
      <c r="AJ5" s="8" t="s">
        <v>2122</v>
      </c>
      <c r="AK5" s="8" t="s">
        <v>2123</v>
      </c>
      <c r="AL5" s="8" t="s">
        <v>2124</v>
      </c>
      <c r="AM5" s="8" t="s">
        <v>2086</v>
      </c>
    </row>
    <row r="6" ht="14.25" customHeight="1">
      <c r="A6" s="8">
        <v>4.0</v>
      </c>
      <c r="B6" s="8" t="s">
        <v>163</v>
      </c>
      <c r="C6" s="8"/>
      <c r="D6" s="8" t="s">
        <v>2125</v>
      </c>
      <c r="E6" s="8" t="s">
        <v>2126</v>
      </c>
      <c r="F6" s="8"/>
      <c r="G6" s="8"/>
      <c r="H6" s="7">
        <v>45545.0</v>
      </c>
      <c r="I6" s="7">
        <v>45558.0</v>
      </c>
      <c r="J6" s="8" t="s">
        <v>2127</v>
      </c>
      <c r="K6" s="8" t="s">
        <v>2128</v>
      </c>
      <c r="L6" s="8">
        <v>2024.0</v>
      </c>
      <c r="M6" s="8">
        <v>52.0</v>
      </c>
      <c r="N6" s="8">
        <v>11.0</v>
      </c>
      <c r="O6" s="8">
        <v>2750.0</v>
      </c>
      <c r="P6" s="8">
        <v>2757.0</v>
      </c>
      <c r="Q6" s="9">
        <v>45536.0</v>
      </c>
      <c r="R6" s="8" t="s">
        <v>2075</v>
      </c>
      <c r="S6" s="8"/>
      <c r="T6" s="8"/>
      <c r="U6" s="8"/>
      <c r="V6" s="8"/>
      <c r="W6" s="8" t="s">
        <v>2129</v>
      </c>
      <c r="X6" s="8"/>
      <c r="Y6" s="8"/>
      <c r="Z6" s="8" t="s">
        <v>2130</v>
      </c>
      <c r="AA6" s="8"/>
      <c r="AB6" s="8"/>
      <c r="AC6" s="8" t="s">
        <v>2131</v>
      </c>
      <c r="AD6" s="8" t="s">
        <v>2080</v>
      </c>
      <c r="AE6" s="8" t="s">
        <v>2080</v>
      </c>
      <c r="AF6" s="8"/>
      <c r="AG6" s="8">
        <v>3.9221503E7</v>
      </c>
      <c r="AH6" s="8" t="s">
        <v>2132</v>
      </c>
      <c r="AI6" s="8" t="s">
        <v>168</v>
      </c>
      <c r="AJ6" s="8" t="s">
        <v>2133</v>
      </c>
      <c r="AK6" s="8" t="s">
        <v>2134</v>
      </c>
      <c r="AL6" s="8" t="s">
        <v>2135</v>
      </c>
      <c r="AM6" s="8" t="s">
        <v>2136</v>
      </c>
    </row>
    <row r="7" ht="14.25" customHeight="1">
      <c r="A7" s="8">
        <v>5.0</v>
      </c>
      <c r="B7" s="8" t="s">
        <v>2137</v>
      </c>
      <c r="C7" s="8"/>
      <c r="D7" s="8"/>
      <c r="E7" s="8"/>
      <c r="F7" s="8"/>
      <c r="G7" s="8"/>
      <c r="H7" s="7">
        <v>45796.0</v>
      </c>
      <c r="I7" s="7">
        <v>45796.0</v>
      </c>
      <c r="J7" s="8" t="s">
        <v>2138</v>
      </c>
      <c r="K7" s="8" t="s">
        <v>2089</v>
      </c>
      <c r="L7" s="8">
        <v>2024.0</v>
      </c>
      <c r="M7" s="8"/>
      <c r="N7" s="8"/>
      <c r="O7" s="8"/>
      <c r="P7" s="8"/>
      <c r="Q7" s="9">
        <v>45446.0</v>
      </c>
      <c r="R7" s="8" t="s">
        <v>2090</v>
      </c>
      <c r="S7" s="8"/>
      <c r="T7" s="8"/>
      <c r="U7" s="8"/>
      <c r="V7" s="8"/>
      <c r="W7" s="8"/>
      <c r="X7" s="8"/>
      <c r="Y7" s="8" t="s">
        <v>2089</v>
      </c>
      <c r="Z7" s="8" t="s">
        <v>2139</v>
      </c>
      <c r="AA7" s="8"/>
      <c r="AB7" s="8"/>
      <c r="AC7" s="8"/>
      <c r="AD7" s="8" t="s">
        <v>2080</v>
      </c>
      <c r="AE7" s="8" t="s">
        <v>2080</v>
      </c>
      <c r="AF7" s="8"/>
      <c r="AG7" s="8"/>
      <c r="AH7" s="8" t="s">
        <v>2140</v>
      </c>
      <c r="AI7" s="8"/>
      <c r="AJ7" s="8" t="s">
        <v>2141</v>
      </c>
      <c r="AK7" s="8" t="s">
        <v>2142</v>
      </c>
      <c r="AL7" s="8"/>
      <c r="AM7" s="8" t="s">
        <v>2095</v>
      </c>
    </row>
    <row r="8" ht="14.25" customHeight="1">
      <c r="A8" s="8">
        <v>6.0</v>
      </c>
      <c r="B8" s="8" t="s">
        <v>2143</v>
      </c>
      <c r="C8" s="8"/>
      <c r="D8" s="8"/>
      <c r="E8" s="8"/>
      <c r="F8" s="8"/>
      <c r="G8" s="8"/>
      <c r="H8" s="7">
        <v>45812.0</v>
      </c>
      <c r="I8" s="7">
        <v>45812.0</v>
      </c>
      <c r="J8" s="8" t="s">
        <v>2144</v>
      </c>
      <c r="K8" s="8" t="s">
        <v>2089</v>
      </c>
      <c r="L8" s="8">
        <v>2023.0</v>
      </c>
      <c r="M8" s="8"/>
      <c r="N8" s="8"/>
      <c r="O8" s="8"/>
      <c r="P8" s="8"/>
      <c r="Q8" s="9">
        <v>45262.0</v>
      </c>
      <c r="R8" s="8" t="s">
        <v>2090</v>
      </c>
      <c r="S8" s="8"/>
      <c r="T8" s="8"/>
      <c r="U8" s="8"/>
      <c r="V8" s="8"/>
      <c r="W8" s="8"/>
      <c r="X8" s="8"/>
      <c r="Y8" s="8" t="s">
        <v>2089</v>
      </c>
      <c r="Z8" s="8" t="s">
        <v>2145</v>
      </c>
      <c r="AA8" s="8"/>
      <c r="AB8" s="8"/>
      <c r="AC8" s="8"/>
      <c r="AD8" s="8" t="s">
        <v>2080</v>
      </c>
      <c r="AE8" s="8" t="s">
        <v>2080</v>
      </c>
      <c r="AF8" s="8"/>
      <c r="AG8" s="8"/>
      <c r="AH8" s="8" t="s">
        <v>2146</v>
      </c>
      <c r="AI8" s="8"/>
      <c r="AJ8" s="8" t="s">
        <v>2147</v>
      </c>
      <c r="AK8" s="8" t="s">
        <v>2148</v>
      </c>
      <c r="AL8" s="8"/>
      <c r="AM8" s="8" t="s">
        <v>2095</v>
      </c>
    </row>
    <row r="9" ht="14.25" customHeight="1">
      <c r="A9" s="8">
        <v>7.0</v>
      </c>
      <c r="B9" s="8" t="s">
        <v>2149</v>
      </c>
      <c r="C9" s="8"/>
      <c r="D9" s="8" t="s">
        <v>2150</v>
      </c>
      <c r="E9" s="8" t="s">
        <v>2151</v>
      </c>
      <c r="F9" s="8" t="s">
        <v>2152</v>
      </c>
      <c r="G9" s="8"/>
      <c r="H9" s="7">
        <v>45253.0</v>
      </c>
      <c r="I9" s="7">
        <v>45257.0</v>
      </c>
      <c r="J9" s="8" t="s">
        <v>2153</v>
      </c>
      <c r="K9" s="8" t="s">
        <v>2101</v>
      </c>
      <c r="L9" s="8">
        <v>2023.0</v>
      </c>
      <c r="M9" s="8">
        <v>11.0</v>
      </c>
      <c r="N9" s="8">
        <v>11.0</v>
      </c>
      <c r="O9" s="8"/>
      <c r="P9" s="8"/>
      <c r="Q9" s="9">
        <v>45231.0</v>
      </c>
      <c r="R9" s="8" t="s">
        <v>2075</v>
      </c>
      <c r="S9" s="8"/>
      <c r="T9" s="8"/>
      <c r="U9" s="8"/>
      <c r="V9" s="8"/>
      <c r="W9" s="8" t="s">
        <v>2102</v>
      </c>
      <c r="X9" s="8"/>
      <c r="Y9" s="8" t="s">
        <v>2103</v>
      </c>
      <c r="Z9" s="8" t="s">
        <v>2154</v>
      </c>
      <c r="AA9" s="8" t="s">
        <v>2155</v>
      </c>
      <c r="AB9" s="8"/>
      <c r="AC9" s="8" t="s">
        <v>2156</v>
      </c>
      <c r="AD9" s="8" t="s">
        <v>2080</v>
      </c>
      <c r="AE9" s="8" t="s">
        <v>2080</v>
      </c>
      <c r="AF9" s="8"/>
      <c r="AG9" s="8"/>
      <c r="AH9" s="8" t="s">
        <v>2157</v>
      </c>
      <c r="AI9" s="8" t="s">
        <v>2158</v>
      </c>
      <c r="AJ9" s="8" t="s">
        <v>2159</v>
      </c>
      <c r="AK9" s="8" t="s">
        <v>2160</v>
      </c>
      <c r="AL9" s="8" t="s">
        <v>2161</v>
      </c>
      <c r="AM9" s="8" t="s">
        <v>2162</v>
      </c>
    </row>
    <row r="10" ht="14.25" customHeight="1">
      <c r="A10" s="8">
        <v>8.0</v>
      </c>
      <c r="B10" s="8" t="s">
        <v>169</v>
      </c>
      <c r="C10" s="8"/>
      <c r="D10" s="8" t="s">
        <v>2163</v>
      </c>
      <c r="E10" s="8" t="s">
        <v>2164</v>
      </c>
      <c r="F10" s="8"/>
      <c r="G10" s="8"/>
      <c r="H10" s="7">
        <v>45236.0</v>
      </c>
      <c r="I10" s="7">
        <v>45237.0</v>
      </c>
      <c r="J10" s="8" t="s">
        <v>2165</v>
      </c>
      <c r="K10" s="8" t="s">
        <v>2166</v>
      </c>
      <c r="L10" s="8">
        <v>2023.0</v>
      </c>
      <c r="M10" s="8">
        <v>59.0</v>
      </c>
      <c r="N10" s="8">
        <v>10.0</v>
      </c>
      <c r="O10" s="8"/>
      <c r="P10" s="8"/>
      <c r="Q10" s="9">
        <v>45202.0</v>
      </c>
      <c r="R10" s="8" t="s">
        <v>2075</v>
      </c>
      <c r="S10" s="8"/>
      <c r="T10" s="8"/>
      <c r="U10" s="8"/>
      <c r="V10" s="8"/>
      <c r="W10" s="8" t="s">
        <v>2167</v>
      </c>
      <c r="X10" s="8"/>
      <c r="Y10" s="8"/>
      <c r="Z10" s="8" t="s">
        <v>2168</v>
      </c>
      <c r="AA10" s="8"/>
      <c r="AB10" s="8"/>
      <c r="AC10" s="8"/>
      <c r="AD10" s="8" t="s">
        <v>2080</v>
      </c>
      <c r="AE10" s="8" t="s">
        <v>2080</v>
      </c>
      <c r="AF10" s="8"/>
      <c r="AG10" s="8">
        <v>3.7893482E7</v>
      </c>
      <c r="AH10" s="8" t="s">
        <v>2169</v>
      </c>
      <c r="AI10" s="8" t="s">
        <v>175</v>
      </c>
      <c r="AJ10" s="8" t="s">
        <v>2170</v>
      </c>
      <c r="AK10" s="8" t="s">
        <v>2171</v>
      </c>
      <c r="AL10" s="8" t="s">
        <v>2172</v>
      </c>
      <c r="AM10" s="8" t="s">
        <v>2136</v>
      </c>
    </row>
    <row r="11" ht="14.25" customHeight="1">
      <c r="A11" s="8">
        <v>9.0</v>
      </c>
      <c r="B11" s="8" t="s">
        <v>2173</v>
      </c>
      <c r="C11" s="8"/>
      <c r="D11" s="8"/>
      <c r="E11" s="8"/>
      <c r="F11" s="8"/>
      <c r="G11" s="8"/>
      <c r="H11" s="7">
        <v>45812.0</v>
      </c>
      <c r="I11" s="7">
        <v>45812.0</v>
      </c>
      <c r="J11" s="8" t="s">
        <v>2174</v>
      </c>
      <c r="K11" s="8" t="s">
        <v>2089</v>
      </c>
      <c r="L11" s="8">
        <v>2023.0</v>
      </c>
      <c r="M11" s="8"/>
      <c r="N11" s="8"/>
      <c r="O11" s="8"/>
      <c r="P11" s="8"/>
      <c r="Q11" s="9">
        <v>45185.0</v>
      </c>
      <c r="R11" s="8" t="s">
        <v>2090</v>
      </c>
      <c r="S11" s="8"/>
      <c r="T11" s="8"/>
      <c r="U11" s="8"/>
      <c r="V11" s="8"/>
      <c r="W11" s="8"/>
      <c r="X11" s="8"/>
      <c r="Y11" s="8" t="s">
        <v>2089</v>
      </c>
      <c r="Z11" s="8" t="s">
        <v>2175</v>
      </c>
      <c r="AA11" s="8"/>
      <c r="AB11" s="8"/>
      <c r="AC11" s="8"/>
      <c r="AD11" s="8" t="s">
        <v>2080</v>
      </c>
      <c r="AE11" s="8" t="s">
        <v>2080</v>
      </c>
      <c r="AF11" s="8"/>
      <c r="AG11" s="8"/>
      <c r="AH11" s="8" t="s">
        <v>2176</v>
      </c>
      <c r="AI11" s="8"/>
      <c r="AJ11" s="8" t="s">
        <v>2177</v>
      </c>
      <c r="AK11" s="8" t="s">
        <v>2178</v>
      </c>
      <c r="AL11" s="8"/>
      <c r="AM11" s="8" t="s">
        <v>2095</v>
      </c>
    </row>
    <row r="12" ht="14.25" customHeight="1">
      <c r="A12" s="8">
        <v>10.0</v>
      </c>
      <c r="B12" s="8" t="s">
        <v>2179</v>
      </c>
      <c r="C12" s="8"/>
      <c r="D12" s="8"/>
      <c r="E12" s="8"/>
      <c r="F12" s="8"/>
      <c r="G12" s="8"/>
      <c r="H12" s="7">
        <v>45809.0</v>
      </c>
      <c r="I12" s="7">
        <v>45809.0</v>
      </c>
      <c r="J12" s="8" t="s">
        <v>2180</v>
      </c>
      <c r="K12" s="8" t="s">
        <v>2089</v>
      </c>
      <c r="L12" s="8">
        <v>2023.0</v>
      </c>
      <c r="M12" s="8"/>
      <c r="N12" s="8"/>
      <c r="O12" s="8"/>
      <c r="P12" s="8"/>
      <c r="Q12" s="9">
        <v>45134.0</v>
      </c>
      <c r="R12" s="8" t="s">
        <v>2090</v>
      </c>
      <c r="S12" s="8"/>
      <c r="T12" s="8"/>
      <c r="U12" s="8"/>
      <c r="V12" s="8"/>
      <c r="W12" s="8"/>
      <c r="X12" s="8"/>
      <c r="Y12" s="8" t="s">
        <v>2089</v>
      </c>
      <c r="Z12" s="8" t="s">
        <v>2181</v>
      </c>
      <c r="AA12" s="8"/>
      <c r="AB12" s="8"/>
      <c r="AC12" s="8"/>
      <c r="AD12" s="8" t="s">
        <v>2080</v>
      </c>
      <c r="AE12" s="8" t="s">
        <v>2080</v>
      </c>
      <c r="AF12" s="8"/>
      <c r="AG12" s="8"/>
      <c r="AH12" s="8" t="s">
        <v>2182</v>
      </c>
      <c r="AI12" s="8"/>
      <c r="AJ12" s="8" t="s">
        <v>2183</v>
      </c>
      <c r="AK12" s="8" t="s">
        <v>2184</v>
      </c>
      <c r="AL12" s="8"/>
      <c r="AM12" s="8" t="s">
        <v>2095</v>
      </c>
    </row>
    <row r="13" ht="14.25" customHeight="1">
      <c r="A13" s="8">
        <v>11.0</v>
      </c>
      <c r="B13" s="8" t="s">
        <v>2185</v>
      </c>
      <c r="C13" s="8"/>
      <c r="D13" s="8"/>
      <c r="E13" s="8"/>
      <c r="F13" s="8"/>
      <c r="G13" s="8"/>
      <c r="H13" s="7">
        <v>45799.0</v>
      </c>
      <c r="I13" s="7">
        <v>45799.0</v>
      </c>
      <c r="J13" s="8" t="s">
        <v>2186</v>
      </c>
      <c r="K13" s="8" t="s">
        <v>2089</v>
      </c>
      <c r="L13" s="8">
        <v>2023.0</v>
      </c>
      <c r="M13" s="8"/>
      <c r="N13" s="8"/>
      <c r="O13" s="8"/>
      <c r="P13" s="8"/>
      <c r="Q13" s="9">
        <v>45033.0</v>
      </c>
      <c r="R13" s="8" t="s">
        <v>2090</v>
      </c>
      <c r="S13" s="8"/>
      <c r="T13" s="8"/>
      <c r="U13" s="8"/>
      <c r="V13" s="8"/>
      <c r="W13" s="8"/>
      <c r="X13" s="8"/>
      <c r="Y13" s="8" t="s">
        <v>2089</v>
      </c>
      <c r="Z13" s="8" t="s">
        <v>2187</v>
      </c>
      <c r="AA13" s="8"/>
      <c r="AB13" s="8"/>
      <c r="AC13" s="8"/>
      <c r="AD13" s="8" t="s">
        <v>2080</v>
      </c>
      <c r="AE13" s="8" t="s">
        <v>2080</v>
      </c>
      <c r="AF13" s="8"/>
      <c r="AG13" s="8"/>
      <c r="AH13" s="8" t="s">
        <v>2188</v>
      </c>
      <c r="AI13" s="8"/>
      <c r="AJ13" s="8" t="s">
        <v>2189</v>
      </c>
      <c r="AK13" s="8" t="s">
        <v>2190</v>
      </c>
      <c r="AL13" s="8"/>
      <c r="AM13" s="8" t="s">
        <v>2095</v>
      </c>
    </row>
    <row r="14" ht="14.25" customHeight="1">
      <c r="A14" s="8">
        <v>12.0</v>
      </c>
      <c r="B14" s="8" t="s">
        <v>2191</v>
      </c>
      <c r="C14" s="8"/>
      <c r="D14" s="8" t="s">
        <v>2192</v>
      </c>
      <c r="E14" s="8" t="s">
        <v>2193</v>
      </c>
      <c r="F14" s="8" t="s">
        <v>2194</v>
      </c>
      <c r="G14" s="8"/>
      <c r="H14" s="7">
        <v>45852.0</v>
      </c>
      <c r="I14" s="8"/>
      <c r="J14" s="8" t="s">
        <v>2195</v>
      </c>
      <c r="K14" s="8" t="s">
        <v>2196</v>
      </c>
      <c r="L14" s="8">
        <v>2023.0</v>
      </c>
      <c r="M14" s="8">
        <v>12.0</v>
      </c>
      <c r="N14" s="8">
        <v>2.0</v>
      </c>
      <c r="O14" s="8">
        <v>2277.0</v>
      </c>
      <c r="P14" s="8">
        <v>2281.0</v>
      </c>
      <c r="Q14" s="9">
        <v>45017.0</v>
      </c>
      <c r="R14" s="8" t="s">
        <v>2075</v>
      </c>
      <c r="S14" s="8"/>
      <c r="T14" s="8"/>
      <c r="U14" s="8"/>
      <c r="V14" s="8"/>
      <c r="W14" s="8" t="s">
        <v>2197</v>
      </c>
      <c r="X14" s="8"/>
      <c r="Y14" s="8" t="s">
        <v>2196</v>
      </c>
      <c r="Z14" s="8" t="s">
        <v>2198</v>
      </c>
      <c r="AA14" s="8"/>
      <c r="AB14" s="8"/>
      <c r="AC14" s="8"/>
      <c r="AD14" s="8" t="s">
        <v>2080</v>
      </c>
      <c r="AE14" s="8" t="s">
        <v>2080</v>
      </c>
      <c r="AF14" s="8"/>
      <c r="AG14" s="8"/>
      <c r="AH14" s="8" t="s">
        <v>2199</v>
      </c>
      <c r="AI14" s="8"/>
      <c r="AJ14" s="8"/>
      <c r="AK14" s="8" t="s">
        <v>2200</v>
      </c>
      <c r="AL14" s="8" t="s">
        <v>2201</v>
      </c>
      <c r="AM14" s="8" t="s">
        <v>2086</v>
      </c>
    </row>
    <row r="15" ht="14.25" customHeight="1">
      <c r="A15" s="8">
        <v>13.0</v>
      </c>
      <c r="B15" s="8" t="s">
        <v>2202</v>
      </c>
      <c r="C15" s="8"/>
      <c r="D15" s="8" t="s">
        <v>2203</v>
      </c>
      <c r="E15" s="8" t="s">
        <v>2204</v>
      </c>
      <c r="F15" s="8" t="s">
        <v>2205</v>
      </c>
      <c r="G15" s="8"/>
      <c r="H15" s="7">
        <v>44967.0</v>
      </c>
      <c r="I15" s="7">
        <v>45047.0</v>
      </c>
      <c r="J15" s="8" t="s">
        <v>2206</v>
      </c>
      <c r="K15" s="8" t="s">
        <v>2101</v>
      </c>
      <c r="L15" s="8">
        <v>2023.0</v>
      </c>
      <c r="M15" s="8">
        <v>11.0</v>
      </c>
      <c r="N15" s="8">
        <v>2.0</v>
      </c>
      <c r="O15" s="8"/>
      <c r="P15" s="8"/>
      <c r="Q15" s="9">
        <v>44958.0</v>
      </c>
      <c r="R15" s="8" t="s">
        <v>2075</v>
      </c>
      <c r="S15" s="8"/>
      <c r="T15" s="8"/>
      <c r="U15" s="8"/>
      <c r="V15" s="8"/>
      <c r="W15" s="8" t="s">
        <v>2102</v>
      </c>
      <c r="X15" s="8"/>
      <c r="Y15" s="8" t="s">
        <v>2103</v>
      </c>
      <c r="Z15" s="8" t="s">
        <v>2207</v>
      </c>
      <c r="AA15" s="8"/>
      <c r="AB15" s="8"/>
      <c r="AC15" s="8"/>
      <c r="AD15" s="8" t="s">
        <v>2080</v>
      </c>
      <c r="AE15" s="8" t="s">
        <v>2080</v>
      </c>
      <c r="AF15" s="8"/>
      <c r="AG15" s="8"/>
      <c r="AH15" s="8" t="s">
        <v>2208</v>
      </c>
      <c r="AI15" s="8" t="s">
        <v>2209</v>
      </c>
      <c r="AJ15" s="8" t="s">
        <v>2210</v>
      </c>
      <c r="AK15" s="8" t="s">
        <v>2211</v>
      </c>
      <c r="AL15" s="8" t="s">
        <v>2212</v>
      </c>
      <c r="AM15" s="8" t="s">
        <v>2162</v>
      </c>
    </row>
    <row r="16" ht="14.25" customHeight="1">
      <c r="A16" s="8">
        <v>14.0</v>
      </c>
      <c r="B16" s="8" t="s">
        <v>2213</v>
      </c>
      <c r="C16" s="8"/>
      <c r="D16" s="8"/>
      <c r="E16" s="8"/>
      <c r="F16" s="8"/>
      <c r="G16" s="8"/>
      <c r="H16" s="7">
        <v>45783.0</v>
      </c>
      <c r="I16" s="7">
        <v>45783.0</v>
      </c>
      <c r="J16" s="8" t="s">
        <v>2214</v>
      </c>
      <c r="K16" s="8" t="s">
        <v>2089</v>
      </c>
      <c r="L16" s="8">
        <v>2023.0</v>
      </c>
      <c r="M16" s="8"/>
      <c r="N16" s="8"/>
      <c r="O16" s="8"/>
      <c r="P16" s="8"/>
      <c r="Q16" s="9">
        <v>44930.0</v>
      </c>
      <c r="R16" s="8" t="s">
        <v>2090</v>
      </c>
      <c r="S16" s="8"/>
      <c r="T16" s="8"/>
      <c r="U16" s="8"/>
      <c r="V16" s="8"/>
      <c r="W16" s="8"/>
      <c r="X16" s="8"/>
      <c r="Y16" s="8" t="s">
        <v>2089</v>
      </c>
      <c r="Z16" s="8" t="s">
        <v>2215</v>
      </c>
      <c r="AA16" s="8"/>
      <c r="AB16" s="8"/>
      <c r="AC16" s="8"/>
      <c r="AD16" s="8" t="s">
        <v>2080</v>
      </c>
      <c r="AE16" s="8" t="s">
        <v>2080</v>
      </c>
      <c r="AF16" s="8"/>
      <c r="AG16" s="8"/>
      <c r="AH16" s="8" t="s">
        <v>2216</v>
      </c>
      <c r="AI16" s="8"/>
      <c r="AJ16" s="8" t="s">
        <v>2217</v>
      </c>
      <c r="AK16" s="8" t="s">
        <v>2218</v>
      </c>
      <c r="AL16" s="8"/>
      <c r="AM16" s="8" t="s">
        <v>2095</v>
      </c>
    </row>
    <row r="17" ht="14.25" customHeight="1">
      <c r="A17" s="8">
        <v>15.0</v>
      </c>
      <c r="B17" s="8" t="s">
        <v>2219</v>
      </c>
      <c r="C17" s="8"/>
      <c r="D17" s="8"/>
      <c r="E17" s="8"/>
      <c r="F17" s="8"/>
      <c r="G17" s="8"/>
      <c r="H17" s="7">
        <v>45811.0</v>
      </c>
      <c r="I17" s="7">
        <v>45811.0</v>
      </c>
      <c r="J17" s="8" t="s">
        <v>2220</v>
      </c>
      <c r="K17" s="8" t="s">
        <v>2089</v>
      </c>
      <c r="L17" s="8">
        <v>2022.0</v>
      </c>
      <c r="M17" s="8"/>
      <c r="N17" s="8"/>
      <c r="O17" s="8"/>
      <c r="P17" s="8"/>
      <c r="Q17" s="9">
        <v>44840.0</v>
      </c>
      <c r="R17" s="8" t="s">
        <v>2090</v>
      </c>
      <c r="S17" s="8"/>
      <c r="T17" s="8"/>
      <c r="U17" s="8"/>
      <c r="V17" s="8"/>
      <c r="W17" s="8"/>
      <c r="X17" s="8"/>
      <c r="Y17" s="8" t="s">
        <v>2089</v>
      </c>
      <c r="Z17" s="8" t="s">
        <v>2221</v>
      </c>
      <c r="AA17" s="8"/>
      <c r="AB17" s="8"/>
      <c r="AC17" s="8"/>
      <c r="AD17" s="8" t="s">
        <v>2080</v>
      </c>
      <c r="AE17" s="8" t="s">
        <v>2080</v>
      </c>
      <c r="AF17" s="8"/>
      <c r="AG17" s="8"/>
      <c r="AH17" s="8" t="s">
        <v>2222</v>
      </c>
      <c r="AI17" s="8"/>
      <c r="AJ17" s="8" t="s">
        <v>2223</v>
      </c>
      <c r="AK17" s="8" t="s">
        <v>2224</v>
      </c>
      <c r="AL17" s="8"/>
      <c r="AM17" s="8" t="s">
        <v>2095</v>
      </c>
    </row>
    <row r="18" ht="14.25" customHeight="1">
      <c r="A18" s="8">
        <v>16.0</v>
      </c>
      <c r="B18" s="8" t="s">
        <v>2225</v>
      </c>
      <c r="C18" s="8"/>
      <c r="D18" s="8"/>
      <c r="E18" s="8"/>
      <c r="F18" s="8"/>
      <c r="G18" s="8"/>
      <c r="H18" s="7">
        <v>45811.0</v>
      </c>
      <c r="I18" s="7">
        <v>45811.0</v>
      </c>
      <c r="J18" s="8" t="s">
        <v>2226</v>
      </c>
      <c r="K18" s="8" t="s">
        <v>2089</v>
      </c>
      <c r="L18" s="8">
        <v>2022.0</v>
      </c>
      <c r="M18" s="8"/>
      <c r="N18" s="8"/>
      <c r="O18" s="8"/>
      <c r="P18" s="8"/>
      <c r="Q18" s="9">
        <v>44831.0</v>
      </c>
      <c r="R18" s="8" t="s">
        <v>2090</v>
      </c>
      <c r="S18" s="8"/>
      <c r="T18" s="8"/>
      <c r="U18" s="8"/>
      <c r="V18" s="8"/>
      <c r="W18" s="8"/>
      <c r="X18" s="8"/>
      <c r="Y18" s="8" t="s">
        <v>2089</v>
      </c>
      <c r="Z18" s="8" t="s">
        <v>2227</v>
      </c>
      <c r="AA18" s="8"/>
      <c r="AB18" s="8"/>
      <c r="AC18" s="8"/>
      <c r="AD18" s="8" t="s">
        <v>2080</v>
      </c>
      <c r="AE18" s="8" t="s">
        <v>2080</v>
      </c>
      <c r="AF18" s="8"/>
      <c r="AG18" s="8"/>
      <c r="AH18" s="8" t="s">
        <v>2228</v>
      </c>
      <c r="AI18" s="8"/>
      <c r="AJ18" s="8" t="s">
        <v>2229</v>
      </c>
      <c r="AK18" s="8" t="s">
        <v>2230</v>
      </c>
      <c r="AL18" s="8"/>
      <c r="AM18" s="8" t="s">
        <v>2095</v>
      </c>
    </row>
    <row r="19" ht="14.25" customHeight="1">
      <c r="A19" s="8">
        <v>17.0</v>
      </c>
      <c r="B19" s="8" t="s">
        <v>2231</v>
      </c>
      <c r="C19" s="8"/>
      <c r="D19" s="8"/>
      <c r="E19" s="8"/>
      <c r="F19" s="8"/>
      <c r="G19" s="8"/>
      <c r="H19" s="7">
        <v>45811.0</v>
      </c>
      <c r="I19" s="7">
        <v>45811.0</v>
      </c>
      <c r="J19" s="8" t="s">
        <v>2232</v>
      </c>
      <c r="K19" s="8" t="s">
        <v>2089</v>
      </c>
      <c r="L19" s="8">
        <v>2022.0</v>
      </c>
      <c r="M19" s="8"/>
      <c r="N19" s="8"/>
      <c r="O19" s="8"/>
      <c r="P19" s="8"/>
      <c r="Q19" s="9">
        <v>44740.0</v>
      </c>
      <c r="R19" s="8" t="s">
        <v>2090</v>
      </c>
      <c r="S19" s="8"/>
      <c r="T19" s="8"/>
      <c r="U19" s="8"/>
      <c r="V19" s="8"/>
      <c r="W19" s="8"/>
      <c r="X19" s="8"/>
      <c r="Y19" s="8" t="s">
        <v>2089</v>
      </c>
      <c r="Z19" s="8" t="s">
        <v>2233</v>
      </c>
      <c r="AA19" s="8"/>
      <c r="AB19" s="8"/>
      <c r="AC19" s="8"/>
      <c r="AD19" s="8" t="s">
        <v>2080</v>
      </c>
      <c r="AE19" s="8" t="s">
        <v>2080</v>
      </c>
      <c r="AF19" s="8"/>
      <c r="AG19" s="8"/>
      <c r="AH19" s="8" t="s">
        <v>2234</v>
      </c>
      <c r="AI19" s="8"/>
      <c r="AJ19" s="8" t="s">
        <v>2235</v>
      </c>
      <c r="AK19" s="8" t="s">
        <v>2236</v>
      </c>
      <c r="AL19" s="8"/>
      <c r="AM19" s="8" t="s">
        <v>2095</v>
      </c>
    </row>
    <row r="20" ht="14.25" customHeight="1">
      <c r="A20" s="8">
        <v>18.0</v>
      </c>
      <c r="B20" s="8" t="s">
        <v>182</v>
      </c>
      <c r="C20" s="8"/>
      <c r="D20" s="8" t="s">
        <v>2237</v>
      </c>
      <c r="E20" s="8" t="s">
        <v>2238</v>
      </c>
      <c r="F20" s="8" t="s">
        <v>2239</v>
      </c>
      <c r="G20" s="8"/>
      <c r="H20" s="7">
        <v>44586.0</v>
      </c>
      <c r="I20" s="7">
        <v>44721.0</v>
      </c>
      <c r="J20" s="8" t="s">
        <v>2240</v>
      </c>
      <c r="K20" s="8" t="s">
        <v>2241</v>
      </c>
      <c r="L20" s="8">
        <v>2022.0</v>
      </c>
      <c r="M20" s="8">
        <v>38.0</v>
      </c>
      <c r="N20" s="8">
        <v>6.0</v>
      </c>
      <c r="O20" s="8">
        <v>1969.0</v>
      </c>
      <c r="P20" s="8">
        <v>1977.0</v>
      </c>
      <c r="Q20" s="9">
        <v>44713.0</v>
      </c>
      <c r="R20" s="8" t="s">
        <v>2075</v>
      </c>
      <c r="S20" s="8"/>
      <c r="T20" s="8"/>
      <c r="U20" s="8"/>
      <c r="V20" s="8"/>
      <c r="W20" s="8" t="s">
        <v>2242</v>
      </c>
      <c r="X20" s="8"/>
      <c r="Y20" s="8" t="s">
        <v>2243</v>
      </c>
      <c r="Z20" s="8" t="s">
        <v>2244</v>
      </c>
      <c r="AA20" s="8"/>
      <c r="AB20" s="8"/>
      <c r="AC20" s="8"/>
      <c r="AD20" s="8" t="s">
        <v>2080</v>
      </c>
      <c r="AE20" s="8" t="s">
        <v>2080</v>
      </c>
      <c r="AF20" s="8"/>
      <c r="AG20" s="8">
        <v>3.4952186E7</v>
      </c>
      <c r="AH20" s="8" t="s">
        <v>2245</v>
      </c>
      <c r="AI20" s="8" t="s">
        <v>187</v>
      </c>
      <c r="AJ20" s="8" t="s">
        <v>2246</v>
      </c>
      <c r="AK20" s="8" t="s">
        <v>2247</v>
      </c>
      <c r="AL20" s="8" t="s">
        <v>2248</v>
      </c>
      <c r="AM20" s="8" t="s">
        <v>2249</v>
      </c>
    </row>
    <row r="21" ht="14.25" customHeight="1">
      <c r="A21" s="8">
        <v>19.0</v>
      </c>
      <c r="B21" s="8" t="s">
        <v>176</v>
      </c>
      <c r="C21" s="8"/>
      <c r="D21" s="8" t="s">
        <v>2250</v>
      </c>
      <c r="E21" s="8" t="s">
        <v>2251</v>
      </c>
      <c r="F21" s="8" t="s">
        <v>2252</v>
      </c>
      <c r="G21" s="8"/>
      <c r="H21" s="8"/>
      <c r="I21" s="7">
        <v>44690.0</v>
      </c>
      <c r="J21" s="8" t="s">
        <v>2253</v>
      </c>
      <c r="K21" s="8" t="s">
        <v>180</v>
      </c>
      <c r="L21" s="8">
        <v>2022.0</v>
      </c>
      <c r="M21" s="8">
        <v>36.0</v>
      </c>
      <c r="N21" s="8"/>
      <c r="O21" s="8">
        <v>33.0</v>
      </c>
      <c r="P21" s="8">
        <v>43.0</v>
      </c>
      <c r="Q21" s="9">
        <v>44713.0</v>
      </c>
      <c r="R21" s="8" t="s">
        <v>2075</v>
      </c>
      <c r="S21" s="8"/>
      <c r="T21" s="8"/>
      <c r="U21" s="8"/>
      <c r="V21" s="8"/>
      <c r="W21" s="8" t="s">
        <v>2254</v>
      </c>
      <c r="X21" s="8"/>
      <c r="Y21" s="8" t="s">
        <v>2255</v>
      </c>
      <c r="Z21" s="8" t="s">
        <v>2256</v>
      </c>
      <c r="AA21" s="8"/>
      <c r="AB21" s="8"/>
      <c r="AC21" s="8"/>
      <c r="AD21" s="8" t="s">
        <v>2080</v>
      </c>
      <c r="AE21" s="8" t="s">
        <v>2080</v>
      </c>
      <c r="AF21" s="8"/>
      <c r="AG21" s="8">
        <v>3.546833E7</v>
      </c>
      <c r="AH21" s="8" t="s">
        <v>2257</v>
      </c>
      <c r="AI21" s="8" t="s">
        <v>181</v>
      </c>
      <c r="AJ21" s="8" t="s">
        <v>2258</v>
      </c>
      <c r="AK21" s="8" t="s">
        <v>2259</v>
      </c>
      <c r="AL21" s="8" t="s">
        <v>2260</v>
      </c>
      <c r="AM21" s="8" t="s">
        <v>2249</v>
      </c>
    </row>
    <row r="22" ht="14.25" customHeight="1">
      <c r="A22" s="8">
        <v>20.0</v>
      </c>
      <c r="B22" s="8" t="s">
        <v>2261</v>
      </c>
      <c r="C22" s="8"/>
      <c r="D22" s="8" t="s">
        <v>2262</v>
      </c>
      <c r="E22" s="8" t="s">
        <v>2263</v>
      </c>
      <c r="F22" s="8" t="s">
        <v>2264</v>
      </c>
      <c r="G22" s="8"/>
      <c r="H22" s="7">
        <v>44677.0</v>
      </c>
      <c r="I22" s="7">
        <v>44690.0</v>
      </c>
      <c r="J22" s="8" t="s">
        <v>2265</v>
      </c>
      <c r="K22" s="8" t="s">
        <v>2101</v>
      </c>
      <c r="L22" s="8">
        <v>2022.0</v>
      </c>
      <c r="M22" s="8">
        <v>10.0</v>
      </c>
      <c r="N22" s="8">
        <v>4.0</v>
      </c>
      <c r="O22" s="8"/>
      <c r="P22" s="8"/>
      <c r="Q22" s="9">
        <v>44669.0</v>
      </c>
      <c r="R22" s="8" t="s">
        <v>2075</v>
      </c>
      <c r="S22" s="8"/>
      <c r="T22" s="8"/>
      <c r="U22" s="8"/>
      <c r="V22" s="8"/>
      <c r="W22" s="8" t="s">
        <v>2102</v>
      </c>
      <c r="X22" s="8"/>
      <c r="Y22" s="8" t="s">
        <v>2103</v>
      </c>
      <c r="Z22" s="8" t="s">
        <v>2266</v>
      </c>
      <c r="AA22" s="8"/>
      <c r="AB22" s="8"/>
      <c r="AC22" s="8"/>
      <c r="AD22" s="8" t="s">
        <v>2080</v>
      </c>
      <c r="AE22" s="8" t="s">
        <v>2080</v>
      </c>
      <c r="AF22" s="8"/>
      <c r="AG22" s="8"/>
      <c r="AH22" s="8" t="s">
        <v>2267</v>
      </c>
      <c r="AI22" s="8" t="s">
        <v>2268</v>
      </c>
      <c r="AJ22" s="8" t="s">
        <v>2269</v>
      </c>
      <c r="AK22" s="8" t="s">
        <v>2270</v>
      </c>
      <c r="AL22" s="8" t="s">
        <v>2271</v>
      </c>
      <c r="AM22" s="8" t="s">
        <v>2249</v>
      </c>
    </row>
    <row r="23" ht="14.25" customHeight="1">
      <c r="A23" s="8">
        <v>21.0</v>
      </c>
      <c r="B23" s="8" t="s">
        <v>2272</v>
      </c>
      <c r="C23" s="8"/>
      <c r="D23" s="8"/>
      <c r="E23" s="8"/>
      <c r="F23" s="8"/>
      <c r="G23" s="8"/>
      <c r="H23" s="7">
        <v>45810.0</v>
      </c>
      <c r="I23" s="7">
        <v>45810.0</v>
      </c>
      <c r="J23" s="8" t="s">
        <v>2273</v>
      </c>
      <c r="K23" s="8" t="s">
        <v>2089</v>
      </c>
      <c r="L23" s="8">
        <v>2022.0</v>
      </c>
      <c r="M23" s="8"/>
      <c r="N23" s="8"/>
      <c r="O23" s="8"/>
      <c r="P23" s="8"/>
      <c r="Q23" s="9">
        <v>44655.0</v>
      </c>
      <c r="R23" s="8" t="s">
        <v>2090</v>
      </c>
      <c r="S23" s="8"/>
      <c r="T23" s="8"/>
      <c r="U23" s="8"/>
      <c r="V23" s="8"/>
      <c r="W23" s="8"/>
      <c r="X23" s="8"/>
      <c r="Y23" s="8" t="s">
        <v>2089</v>
      </c>
      <c r="Z23" s="8" t="s">
        <v>2274</v>
      </c>
      <c r="AA23" s="8"/>
      <c r="AB23" s="8"/>
      <c r="AC23" s="8"/>
      <c r="AD23" s="8" t="s">
        <v>2080</v>
      </c>
      <c r="AE23" s="8" t="s">
        <v>2080</v>
      </c>
      <c r="AF23" s="8"/>
      <c r="AG23" s="8"/>
      <c r="AH23" s="8" t="s">
        <v>2275</v>
      </c>
      <c r="AI23" s="8"/>
      <c r="AJ23" s="8" t="s">
        <v>2276</v>
      </c>
      <c r="AK23" s="8" t="s">
        <v>2277</v>
      </c>
      <c r="AL23" s="8"/>
      <c r="AM23" s="8" t="s">
        <v>2095</v>
      </c>
    </row>
    <row r="24" ht="14.25" customHeight="1">
      <c r="A24" s="8">
        <v>22.0</v>
      </c>
      <c r="B24" s="8" t="s">
        <v>2278</v>
      </c>
      <c r="C24" s="8"/>
      <c r="D24" s="8"/>
      <c r="E24" s="8"/>
      <c r="F24" s="8"/>
      <c r="G24" s="8"/>
      <c r="H24" s="7">
        <v>45809.0</v>
      </c>
      <c r="I24" s="7">
        <v>45809.0</v>
      </c>
      <c r="J24" s="8" t="s">
        <v>2279</v>
      </c>
      <c r="K24" s="8" t="s">
        <v>2089</v>
      </c>
      <c r="L24" s="8">
        <v>2022.0</v>
      </c>
      <c r="M24" s="8"/>
      <c r="N24" s="8"/>
      <c r="O24" s="8"/>
      <c r="P24" s="8"/>
      <c r="Q24" s="9">
        <v>44606.0</v>
      </c>
      <c r="R24" s="8" t="s">
        <v>2090</v>
      </c>
      <c r="S24" s="8"/>
      <c r="T24" s="8"/>
      <c r="U24" s="8"/>
      <c r="V24" s="8"/>
      <c r="W24" s="8"/>
      <c r="X24" s="8"/>
      <c r="Y24" s="8" t="s">
        <v>2089</v>
      </c>
      <c r="Z24" s="8" t="s">
        <v>2280</v>
      </c>
      <c r="AA24" s="8"/>
      <c r="AB24" s="8"/>
      <c r="AC24" s="8"/>
      <c r="AD24" s="8" t="s">
        <v>2080</v>
      </c>
      <c r="AE24" s="8" t="s">
        <v>2080</v>
      </c>
      <c r="AF24" s="8"/>
      <c r="AG24" s="8"/>
      <c r="AH24" s="8" t="s">
        <v>2281</v>
      </c>
      <c r="AI24" s="8"/>
      <c r="AJ24" s="8" t="s">
        <v>2282</v>
      </c>
      <c r="AK24" s="8" t="s">
        <v>2283</v>
      </c>
      <c r="AL24" s="8"/>
      <c r="AM24" s="8" t="s">
        <v>2095</v>
      </c>
    </row>
    <row r="25" ht="14.25" customHeight="1">
      <c r="A25" s="8">
        <v>23.0</v>
      </c>
      <c r="B25" s="8" t="s">
        <v>2284</v>
      </c>
      <c r="C25" s="8"/>
      <c r="D25" s="8" t="s">
        <v>2285</v>
      </c>
      <c r="E25" s="8" t="s">
        <v>2286</v>
      </c>
      <c r="F25" s="8" t="s">
        <v>2287</v>
      </c>
      <c r="G25" s="8"/>
      <c r="H25" s="7">
        <v>44761.0</v>
      </c>
      <c r="I25" s="7">
        <v>44764.0</v>
      </c>
      <c r="J25" s="8" t="s">
        <v>2288</v>
      </c>
      <c r="K25" s="8" t="s">
        <v>2101</v>
      </c>
      <c r="L25" s="8">
        <v>2022.0</v>
      </c>
      <c r="M25" s="8">
        <v>10.0</v>
      </c>
      <c r="N25" s="8">
        <v>2.0</v>
      </c>
      <c r="O25" s="8"/>
      <c r="P25" s="8"/>
      <c r="Q25" s="9">
        <v>44593.0</v>
      </c>
      <c r="R25" s="8" t="s">
        <v>2075</v>
      </c>
      <c r="S25" s="8"/>
      <c r="T25" s="8"/>
      <c r="U25" s="8"/>
      <c r="V25" s="8"/>
      <c r="W25" s="8" t="s">
        <v>2102</v>
      </c>
      <c r="X25" s="8"/>
      <c r="Y25" s="8" t="s">
        <v>2103</v>
      </c>
      <c r="Z25" s="8" t="s">
        <v>2289</v>
      </c>
      <c r="AA25" s="8"/>
      <c r="AB25" s="8"/>
      <c r="AC25" s="8" t="s">
        <v>2290</v>
      </c>
      <c r="AD25" s="8" t="s">
        <v>2080</v>
      </c>
      <c r="AE25" s="8" t="s">
        <v>2080</v>
      </c>
      <c r="AF25" s="8"/>
      <c r="AG25" s="8"/>
      <c r="AH25" s="8" t="s">
        <v>2291</v>
      </c>
      <c r="AI25" s="8" t="s">
        <v>2292</v>
      </c>
      <c r="AJ25" s="8" t="s">
        <v>2293</v>
      </c>
      <c r="AK25" s="8" t="s">
        <v>2294</v>
      </c>
      <c r="AL25" s="8" t="s">
        <v>2295</v>
      </c>
      <c r="AM25" s="8" t="s">
        <v>2249</v>
      </c>
    </row>
    <row r="26" ht="14.25" customHeight="1">
      <c r="A26" s="8">
        <v>24.0</v>
      </c>
      <c r="B26" s="8" t="s">
        <v>2296</v>
      </c>
      <c r="C26" s="8"/>
      <c r="D26" s="8" t="s">
        <v>2297</v>
      </c>
      <c r="E26" s="8" t="s">
        <v>2298</v>
      </c>
      <c r="F26" s="8" t="s">
        <v>2299</v>
      </c>
      <c r="G26" s="8"/>
      <c r="H26" s="7">
        <v>44943.0</v>
      </c>
      <c r="I26" s="7">
        <v>44957.0</v>
      </c>
      <c r="J26" s="8" t="s">
        <v>2300</v>
      </c>
      <c r="K26" s="8" t="s">
        <v>2301</v>
      </c>
      <c r="L26" s="8">
        <v>2022.0</v>
      </c>
      <c r="M26" s="8">
        <v>13.0</v>
      </c>
      <c r="N26" s="8"/>
      <c r="O26" s="8">
        <v>9034.0</v>
      </c>
      <c r="P26" s="8">
        <v>9040.0</v>
      </c>
      <c r="Q26" s="8">
        <v>2022.0</v>
      </c>
      <c r="R26" s="8" t="s">
        <v>2075</v>
      </c>
      <c r="S26" s="8"/>
      <c r="T26" s="8"/>
      <c r="U26" s="8"/>
      <c r="V26" s="8"/>
      <c r="W26" s="8" t="s">
        <v>2302</v>
      </c>
      <c r="X26" s="8"/>
      <c r="Y26" s="8" t="s">
        <v>2303</v>
      </c>
      <c r="Z26" s="8" t="s">
        <v>2304</v>
      </c>
      <c r="AA26" s="8"/>
      <c r="AB26" s="8"/>
      <c r="AC26" s="8"/>
      <c r="AD26" s="8" t="s">
        <v>2080</v>
      </c>
      <c r="AE26" s="8" t="s">
        <v>2080</v>
      </c>
      <c r="AF26" s="8"/>
      <c r="AG26" s="8"/>
      <c r="AH26" s="8" t="s">
        <v>2305</v>
      </c>
      <c r="AI26" s="8" t="s">
        <v>2306</v>
      </c>
      <c r="AJ26" s="8" t="s">
        <v>2307</v>
      </c>
      <c r="AK26" s="8" t="s">
        <v>2308</v>
      </c>
      <c r="AL26" s="8" t="s">
        <v>2309</v>
      </c>
      <c r="AM26" s="8" t="s">
        <v>2162</v>
      </c>
    </row>
    <row r="27" ht="14.25" customHeight="1">
      <c r="A27" s="8">
        <v>25.0</v>
      </c>
      <c r="B27" s="8" t="s">
        <v>2310</v>
      </c>
      <c r="C27" s="8"/>
      <c r="D27" s="8"/>
      <c r="E27" s="8"/>
      <c r="F27" s="8"/>
      <c r="G27" s="8"/>
      <c r="H27" s="7">
        <v>45807.0</v>
      </c>
      <c r="I27" s="7">
        <v>45807.0</v>
      </c>
      <c r="J27" s="8" t="s">
        <v>2311</v>
      </c>
      <c r="K27" s="8" t="s">
        <v>2089</v>
      </c>
      <c r="L27" s="8">
        <v>2021.0</v>
      </c>
      <c r="M27" s="8"/>
      <c r="N27" s="8"/>
      <c r="O27" s="8"/>
      <c r="P27" s="8"/>
      <c r="Q27" s="9">
        <v>44481.0</v>
      </c>
      <c r="R27" s="8" t="s">
        <v>2090</v>
      </c>
      <c r="S27" s="8"/>
      <c r="T27" s="8"/>
      <c r="U27" s="8"/>
      <c r="V27" s="8"/>
      <c r="W27" s="8"/>
      <c r="X27" s="8"/>
      <c r="Y27" s="8" t="s">
        <v>2089</v>
      </c>
      <c r="Z27" s="8" t="s">
        <v>2312</v>
      </c>
      <c r="AA27" s="8"/>
      <c r="AB27" s="8"/>
      <c r="AC27" s="8"/>
      <c r="AD27" s="8" t="s">
        <v>2080</v>
      </c>
      <c r="AE27" s="8" t="s">
        <v>2080</v>
      </c>
      <c r="AF27" s="8"/>
      <c r="AG27" s="8"/>
      <c r="AH27" s="8" t="s">
        <v>2313</v>
      </c>
      <c r="AI27" s="8"/>
      <c r="AJ27" s="8" t="s">
        <v>2314</v>
      </c>
      <c r="AK27" s="8" t="s">
        <v>2315</v>
      </c>
      <c r="AL27" s="8"/>
      <c r="AM27" s="8" t="s">
        <v>2095</v>
      </c>
    </row>
    <row r="28" ht="14.25" customHeight="1">
      <c r="A28" s="8">
        <v>26.0</v>
      </c>
      <c r="B28" s="8" t="s">
        <v>2316</v>
      </c>
      <c r="C28" s="8"/>
      <c r="D28" s="8"/>
      <c r="E28" s="8"/>
      <c r="F28" s="8"/>
      <c r="G28" s="8"/>
      <c r="H28" s="7">
        <v>45791.0</v>
      </c>
      <c r="I28" s="7">
        <v>45791.0</v>
      </c>
      <c r="J28" s="8" t="s">
        <v>2317</v>
      </c>
      <c r="K28" s="8" t="s">
        <v>2089</v>
      </c>
      <c r="L28" s="8">
        <v>2021.0</v>
      </c>
      <c r="M28" s="8"/>
      <c r="N28" s="8"/>
      <c r="O28" s="8"/>
      <c r="P28" s="8"/>
      <c r="Q28" s="9">
        <v>44374.0</v>
      </c>
      <c r="R28" s="8" t="s">
        <v>2090</v>
      </c>
      <c r="S28" s="8"/>
      <c r="T28" s="8"/>
      <c r="U28" s="8"/>
      <c r="V28" s="8"/>
      <c r="W28" s="8"/>
      <c r="X28" s="8"/>
      <c r="Y28" s="8" t="s">
        <v>2089</v>
      </c>
      <c r="Z28" s="8" t="s">
        <v>2318</v>
      </c>
      <c r="AA28" s="8"/>
      <c r="AB28" s="8"/>
      <c r="AC28" s="8"/>
      <c r="AD28" s="8" t="s">
        <v>2080</v>
      </c>
      <c r="AE28" s="8" t="s">
        <v>2080</v>
      </c>
      <c r="AF28" s="8"/>
      <c r="AG28" s="8"/>
      <c r="AH28" s="8" t="s">
        <v>2319</v>
      </c>
      <c r="AI28" s="8"/>
      <c r="AJ28" s="8" t="s">
        <v>2320</v>
      </c>
      <c r="AK28" s="8" t="s">
        <v>2321</v>
      </c>
      <c r="AL28" s="8"/>
      <c r="AM28" s="8" t="s">
        <v>2095</v>
      </c>
    </row>
    <row r="29" ht="14.25" customHeight="1">
      <c r="A29" s="8">
        <v>27.0</v>
      </c>
      <c r="B29" s="8" t="s">
        <v>194</v>
      </c>
      <c r="C29" s="8"/>
      <c r="D29" s="8" t="s">
        <v>2322</v>
      </c>
      <c r="E29" s="8" t="s">
        <v>2323</v>
      </c>
      <c r="F29" s="8"/>
      <c r="G29" s="8"/>
      <c r="H29" s="7">
        <v>44330.0</v>
      </c>
      <c r="I29" s="7">
        <v>44396.0</v>
      </c>
      <c r="J29" s="8" t="s">
        <v>2324</v>
      </c>
      <c r="K29" s="8" t="s">
        <v>2128</v>
      </c>
      <c r="L29" s="8">
        <v>2021.0</v>
      </c>
      <c r="M29" s="8">
        <v>49.0</v>
      </c>
      <c r="N29" s="8">
        <v>7.0</v>
      </c>
      <c r="O29" s="8">
        <v>1777.0</v>
      </c>
      <c r="P29" s="8">
        <v>1785.0</v>
      </c>
      <c r="Q29" s="9">
        <v>44348.0</v>
      </c>
      <c r="R29" s="8" t="s">
        <v>2075</v>
      </c>
      <c r="S29" s="8"/>
      <c r="T29" s="8"/>
      <c r="U29" s="8"/>
      <c r="V29" s="8"/>
      <c r="W29" s="8" t="s">
        <v>2129</v>
      </c>
      <c r="X29" s="8"/>
      <c r="Y29" s="8" t="s">
        <v>2325</v>
      </c>
      <c r="Z29" s="8" t="s">
        <v>2326</v>
      </c>
      <c r="AA29" s="8"/>
      <c r="AB29" s="8"/>
      <c r="AC29" s="8" t="s">
        <v>2327</v>
      </c>
      <c r="AD29" s="8" t="s">
        <v>2080</v>
      </c>
      <c r="AE29" s="8" t="s">
        <v>2080</v>
      </c>
      <c r="AF29" s="8"/>
      <c r="AG29" s="8">
        <v>3.3945339E7</v>
      </c>
      <c r="AH29" s="8" t="s">
        <v>2328</v>
      </c>
      <c r="AI29" s="8" t="s">
        <v>198</v>
      </c>
      <c r="AJ29" s="8" t="s">
        <v>2329</v>
      </c>
      <c r="AK29" s="8" t="s">
        <v>2330</v>
      </c>
      <c r="AL29" s="8" t="s">
        <v>2331</v>
      </c>
      <c r="AM29" s="8" t="s">
        <v>2136</v>
      </c>
    </row>
    <row r="30" ht="14.25" customHeight="1">
      <c r="A30" s="8">
        <v>28.0</v>
      </c>
      <c r="B30" s="8" t="s">
        <v>2332</v>
      </c>
      <c r="C30" s="8"/>
      <c r="D30" s="8"/>
      <c r="E30" s="8"/>
      <c r="F30" s="8"/>
      <c r="G30" s="8"/>
      <c r="H30" s="7">
        <v>45807.0</v>
      </c>
      <c r="I30" s="7">
        <v>45807.0</v>
      </c>
      <c r="J30" s="8" t="s">
        <v>2333</v>
      </c>
      <c r="K30" s="8" t="s">
        <v>2089</v>
      </c>
      <c r="L30" s="8">
        <v>2021.0</v>
      </c>
      <c r="M30" s="8"/>
      <c r="N30" s="8"/>
      <c r="O30" s="8"/>
      <c r="P30" s="8"/>
      <c r="Q30" s="9">
        <v>44328.0</v>
      </c>
      <c r="R30" s="8" t="s">
        <v>2090</v>
      </c>
      <c r="S30" s="8"/>
      <c r="T30" s="8"/>
      <c r="U30" s="8"/>
      <c r="V30" s="8"/>
      <c r="W30" s="8"/>
      <c r="X30" s="8"/>
      <c r="Y30" s="8" t="s">
        <v>2089</v>
      </c>
      <c r="Z30" s="8" t="s">
        <v>2334</v>
      </c>
      <c r="AA30" s="8"/>
      <c r="AB30" s="8"/>
      <c r="AC30" s="8"/>
      <c r="AD30" s="8" t="s">
        <v>2080</v>
      </c>
      <c r="AE30" s="8" t="s">
        <v>2080</v>
      </c>
      <c r="AF30" s="8"/>
      <c r="AG30" s="8"/>
      <c r="AH30" s="8" t="s">
        <v>2335</v>
      </c>
      <c r="AI30" s="8"/>
      <c r="AJ30" s="8" t="s">
        <v>2336</v>
      </c>
      <c r="AK30" s="8" t="s">
        <v>2337</v>
      </c>
      <c r="AL30" s="8"/>
      <c r="AM30" s="8" t="s">
        <v>2095</v>
      </c>
    </row>
    <row r="31" ht="14.25" customHeight="1">
      <c r="A31" s="8">
        <v>29.0</v>
      </c>
      <c r="B31" s="8" t="s">
        <v>2338</v>
      </c>
      <c r="C31" s="8"/>
      <c r="D31" s="8" t="s">
        <v>2339</v>
      </c>
      <c r="E31" s="8" t="s">
        <v>2340</v>
      </c>
      <c r="F31" s="8" t="s">
        <v>2341</v>
      </c>
      <c r="G31" s="8"/>
      <c r="H31" s="7">
        <v>44468.0</v>
      </c>
      <c r="I31" s="7">
        <v>44489.0</v>
      </c>
      <c r="J31" s="8" t="s">
        <v>2342</v>
      </c>
      <c r="K31" s="8" t="s">
        <v>2101</v>
      </c>
      <c r="L31" s="8">
        <v>2021.0</v>
      </c>
      <c r="M31" s="8">
        <v>9.0</v>
      </c>
      <c r="N31" s="8">
        <v>9.0</v>
      </c>
      <c r="O31" s="8"/>
      <c r="P31" s="8"/>
      <c r="Q31" s="8">
        <v>2021.0</v>
      </c>
      <c r="R31" s="8" t="s">
        <v>2075</v>
      </c>
      <c r="S31" s="8"/>
      <c r="T31" s="8"/>
      <c r="U31" s="8"/>
      <c r="V31" s="8"/>
      <c r="W31" s="8" t="s">
        <v>2102</v>
      </c>
      <c r="X31" s="8"/>
      <c r="Y31" s="8" t="s">
        <v>2103</v>
      </c>
      <c r="Z31" s="8" t="s">
        <v>2343</v>
      </c>
      <c r="AA31" s="8"/>
      <c r="AB31" s="8"/>
      <c r="AC31" s="8"/>
      <c r="AD31" s="8" t="s">
        <v>2080</v>
      </c>
      <c r="AE31" s="8" t="s">
        <v>2080</v>
      </c>
      <c r="AF31" s="8"/>
      <c r="AG31" s="8"/>
      <c r="AH31" s="8" t="s">
        <v>2344</v>
      </c>
      <c r="AI31" s="8" t="s">
        <v>2345</v>
      </c>
      <c r="AJ31" s="8" t="s">
        <v>2346</v>
      </c>
      <c r="AK31" s="8" t="s">
        <v>2347</v>
      </c>
      <c r="AL31" s="8" t="s">
        <v>2348</v>
      </c>
      <c r="AM31" s="8" t="s">
        <v>2349</v>
      </c>
    </row>
    <row r="32" ht="14.25" customHeight="1">
      <c r="A32" s="8">
        <v>30.0</v>
      </c>
      <c r="B32" s="8" t="s">
        <v>2350</v>
      </c>
      <c r="C32" s="8"/>
      <c r="D32" s="8" t="s">
        <v>2351</v>
      </c>
      <c r="E32" s="8" t="s">
        <v>2352</v>
      </c>
      <c r="F32" s="8" t="s">
        <v>2353</v>
      </c>
      <c r="G32" s="8"/>
      <c r="H32" s="7">
        <v>44117.0</v>
      </c>
      <c r="I32" s="7">
        <v>44322.0</v>
      </c>
      <c r="J32" s="8" t="s">
        <v>2354</v>
      </c>
      <c r="K32" s="8" t="s">
        <v>2355</v>
      </c>
      <c r="L32" s="8">
        <v>2020.0</v>
      </c>
      <c r="M32" s="8">
        <v>7.0</v>
      </c>
      <c r="N32" s="8">
        <v>1.0</v>
      </c>
      <c r="O32" s="8"/>
      <c r="P32" s="8"/>
      <c r="Q32" s="9">
        <v>44166.0</v>
      </c>
      <c r="R32" s="8" t="s">
        <v>2075</v>
      </c>
      <c r="S32" s="8"/>
      <c r="T32" s="8"/>
      <c r="U32" s="8"/>
      <c r="V32" s="8"/>
      <c r="W32" s="8" t="s">
        <v>2356</v>
      </c>
      <c r="X32" s="8"/>
      <c r="Y32" s="8" t="s">
        <v>2357</v>
      </c>
      <c r="Z32" s="8" t="s">
        <v>2358</v>
      </c>
      <c r="AA32" s="8" t="s">
        <v>2359</v>
      </c>
      <c r="AB32" s="8"/>
      <c r="AC32" s="8"/>
      <c r="AD32" s="8" t="s">
        <v>2080</v>
      </c>
      <c r="AE32" s="8" t="s">
        <v>2080</v>
      </c>
      <c r="AF32" s="8"/>
      <c r="AG32" s="8"/>
      <c r="AH32" s="8" t="s">
        <v>2360</v>
      </c>
      <c r="AI32" s="8" t="s">
        <v>2361</v>
      </c>
      <c r="AJ32" s="8" t="s">
        <v>2362</v>
      </c>
      <c r="AK32" s="8" t="s">
        <v>2363</v>
      </c>
      <c r="AL32" s="8" t="s">
        <v>2364</v>
      </c>
      <c r="AM32" s="8" t="s">
        <v>2349</v>
      </c>
    </row>
    <row r="33" ht="14.25" customHeight="1">
      <c r="A33" s="8">
        <v>31.0</v>
      </c>
      <c r="B33" s="8" t="s">
        <v>199</v>
      </c>
      <c r="C33" s="8"/>
      <c r="D33" s="8" t="s">
        <v>2365</v>
      </c>
      <c r="E33" s="8" t="s">
        <v>2366</v>
      </c>
      <c r="F33" s="8" t="s">
        <v>2367</v>
      </c>
      <c r="G33" s="8"/>
      <c r="H33" s="7">
        <v>44012.0</v>
      </c>
      <c r="I33" s="7">
        <v>44103.0</v>
      </c>
      <c r="J33" s="8" t="s">
        <v>2368</v>
      </c>
      <c r="K33" s="8" t="s">
        <v>2369</v>
      </c>
      <c r="L33" s="8">
        <v>2020.0</v>
      </c>
      <c r="M33" s="8">
        <v>140.0</v>
      </c>
      <c r="N33" s="8">
        <v>10.0</v>
      </c>
      <c r="O33" s="8">
        <v>1465.0</v>
      </c>
      <c r="P33" s="8">
        <v>1474.0</v>
      </c>
      <c r="Q33" s="9">
        <v>44105.0</v>
      </c>
      <c r="R33" s="8" t="s">
        <v>2075</v>
      </c>
      <c r="S33" s="8"/>
      <c r="T33" s="8"/>
      <c r="U33" s="8"/>
      <c r="V33" s="8"/>
      <c r="W33" s="8" t="s">
        <v>2370</v>
      </c>
      <c r="X33" s="8"/>
      <c r="Y33" s="8" t="s">
        <v>2371</v>
      </c>
      <c r="Z33" s="8" t="s">
        <v>2372</v>
      </c>
      <c r="AA33" s="8"/>
      <c r="AB33" s="8"/>
      <c r="AC33" s="8"/>
      <c r="AD33" s="8" t="s">
        <v>2080</v>
      </c>
      <c r="AE33" s="8" t="s">
        <v>2080</v>
      </c>
      <c r="AF33" s="8"/>
      <c r="AG33" s="8">
        <v>3.2504178E7</v>
      </c>
      <c r="AH33" s="8" t="s">
        <v>2373</v>
      </c>
      <c r="AI33" s="8" t="s">
        <v>204</v>
      </c>
      <c r="AJ33" s="8" t="s">
        <v>2374</v>
      </c>
      <c r="AK33" s="8" t="s">
        <v>2375</v>
      </c>
      <c r="AL33" s="8" t="s">
        <v>2376</v>
      </c>
      <c r="AM33" s="8" t="s">
        <v>2377</v>
      </c>
    </row>
    <row r="34" ht="14.25" customHeight="1">
      <c r="A34" s="8">
        <v>32.0</v>
      </c>
      <c r="B34" s="8" t="s">
        <v>2378</v>
      </c>
      <c r="C34" s="8"/>
      <c r="D34" s="8"/>
      <c r="E34" s="8"/>
      <c r="F34" s="8"/>
      <c r="G34" s="8"/>
      <c r="H34" s="7">
        <v>45796.0</v>
      </c>
      <c r="I34" s="7">
        <v>45796.0</v>
      </c>
      <c r="J34" s="8" t="s">
        <v>2379</v>
      </c>
      <c r="K34" s="8" t="s">
        <v>2089</v>
      </c>
      <c r="L34" s="8">
        <v>2020.0</v>
      </c>
      <c r="M34" s="8"/>
      <c r="N34" s="8"/>
      <c r="O34" s="8"/>
      <c r="P34" s="8"/>
      <c r="Q34" s="9">
        <v>44025.0</v>
      </c>
      <c r="R34" s="8" t="s">
        <v>2090</v>
      </c>
      <c r="S34" s="8"/>
      <c r="T34" s="8"/>
      <c r="U34" s="8"/>
      <c r="V34" s="8"/>
      <c r="W34" s="8"/>
      <c r="X34" s="8"/>
      <c r="Y34" s="8" t="s">
        <v>2089</v>
      </c>
      <c r="Z34" s="8" t="s">
        <v>2380</v>
      </c>
      <c r="AA34" s="8"/>
      <c r="AB34" s="8"/>
      <c r="AC34" s="8"/>
      <c r="AD34" s="8" t="s">
        <v>2080</v>
      </c>
      <c r="AE34" s="8" t="s">
        <v>2080</v>
      </c>
      <c r="AF34" s="8"/>
      <c r="AG34" s="8"/>
      <c r="AH34" s="8" t="s">
        <v>2381</v>
      </c>
      <c r="AI34" s="8"/>
      <c r="AJ34" s="8" t="s">
        <v>2382</v>
      </c>
      <c r="AK34" s="8" t="s">
        <v>2383</v>
      </c>
      <c r="AL34" s="8"/>
      <c r="AM34" s="8" t="s">
        <v>2095</v>
      </c>
    </row>
    <row r="35" ht="14.25" customHeight="1">
      <c r="A35" s="8">
        <v>33.0</v>
      </c>
      <c r="B35" s="8" t="s">
        <v>2384</v>
      </c>
      <c r="C35" s="8"/>
      <c r="D35" s="8" t="s">
        <v>2385</v>
      </c>
      <c r="E35" s="8" t="s">
        <v>2386</v>
      </c>
      <c r="F35" s="8" t="s">
        <v>2387</v>
      </c>
      <c r="G35" s="8"/>
      <c r="H35" s="7">
        <v>44153.0</v>
      </c>
      <c r="I35" s="7">
        <v>44278.0</v>
      </c>
      <c r="J35" s="8" t="s">
        <v>2388</v>
      </c>
      <c r="K35" s="8" t="s">
        <v>2389</v>
      </c>
      <c r="L35" s="8">
        <v>2020.0</v>
      </c>
      <c r="M35" s="8">
        <v>14.0</v>
      </c>
      <c r="N35" s="8">
        <v>3.0</v>
      </c>
      <c r="O35" s="8">
        <v>839.0</v>
      </c>
      <c r="P35" s="8">
        <v>842.0</v>
      </c>
      <c r="Q35" s="9">
        <v>44013.0</v>
      </c>
      <c r="R35" s="8" t="s">
        <v>2075</v>
      </c>
      <c r="S35" s="8"/>
      <c r="T35" s="8"/>
      <c r="U35" s="8"/>
      <c r="V35" s="8"/>
      <c r="W35" s="8" t="s">
        <v>2390</v>
      </c>
      <c r="X35" s="8"/>
      <c r="Y35" s="8" t="s">
        <v>2391</v>
      </c>
      <c r="Z35" s="8" t="s">
        <v>2392</v>
      </c>
      <c r="AA35" s="8"/>
      <c r="AB35" s="8"/>
      <c r="AC35" s="8"/>
      <c r="AD35" s="8" t="s">
        <v>2080</v>
      </c>
      <c r="AE35" s="8" t="s">
        <v>2080</v>
      </c>
      <c r="AF35" s="8"/>
      <c r="AG35" s="8"/>
      <c r="AH35" s="8" t="s">
        <v>2393</v>
      </c>
      <c r="AI35" s="8"/>
      <c r="AJ35" s="8"/>
      <c r="AK35" s="8" t="s">
        <v>2394</v>
      </c>
      <c r="AL35" s="8" t="s">
        <v>2395</v>
      </c>
      <c r="AM35" s="8" t="s">
        <v>2349</v>
      </c>
    </row>
    <row r="36" ht="14.25" customHeight="1">
      <c r="A36" s="8">
        <v>34.0</v>
      </c>
      <c r="B36" s="8" t="s">
        <v>216</v>
      </c>
      <c r="C36" s="8"/>
      <c r="D36" s="8" t="s">
        <v>2396</v>
      </c>
      <c r="E36" s="8" t="s">
        <v>2397</v>
      </c>
      <c r="F36" s="8" t="s">
        <v>2398</v>
      </c>
      <c r="G36" s="8"/>
      <c r="H36" s="7">
        <v>43987.0</v>
      </c>
      <c r="I36" s="7">
        <v>43992.0</v>
      </c>
      <c r="J36" s="8" t="s">
        <v>2399</v>
      </c>
      <c r="K36" s="8" t="s">
        <v>2241</v>
      </c>
      <c r="L36" s="8">
        <v>2020.0</v>
      </c>
      <c r="M36" s="8">
        <v>36.0</v>
      </c>
      <c r="N36" s="8">
        <v>6.0</v>
      </c>
      <c r="O36" s="8">
        <v>1629.0</v>
      </c>
      <c r="P36" s="8">
        <v>1646.0</v>
      </c>
      <c r="Q36" s="9">
        <v>43983.0</v>
      </c>
      <c r="R36" s="8" t="s">
        <v>2075</v>
      </c>
      <c r="S36" s="8"/>
      <c r="T36" s="8"/>
      <c r="U36" s="8"/>
      <c r="V36" s="8"/>
      <c r="W36" s="8" t="s">
        <v>2242</v>
      </c>
      <c r="X36" s="8"/>
      <c r="Y36" s="8" t="s">
        <v>2243</v>
      </c>
      <c r="Z36" s="8" t="s">
        <v>2400</v>
      </c>
      <c r="AA36" s="8"/>
      <c r="AB36" s="8"/>
      <c r="AC36" s="8"/>
      <c r="AD36" s="8" t="s">
        <v>2080</v>
      </c>
      <c r="AE36" s="8" t="s">
        <v>2080</v>
      </c>
      <c r="AF36" s="8"/>
      <c r="AG36" s="8">
        <v>3.2059954E7</v>
      </c>
      <c r="AH36" s="8" t="s">
        <v>2401</v>
      </c>
      <c r="AI36" s="8" t="s">
        <v>220</v>
      </c>
      <c r="AJ36" s="8" t="s">
        <v>2402</v>
      </c>
      <c r="AK36" s="8" t="s">
        <v>2403</v>
      </c>
      <c r="AL36" s="8" t="s">
        <v>2404</v>
      </c>
      <c r="AM36" s="8" t="s">
        <v>2377</v>
      </c>
    </row>
    <row r="37" ht="14.25" customHeight="1">
      <c r="A37" s="8">
        <v>35.0</v>
      </c>
      <c r="B37" s="8" t="s">
        <v>205</v>
      </c>
      <c r="C37" s="8"/>
      <c r="D37" s="8" t="s">
        <v>2405</v>
      </c>
      <c r="E37" s="8" t="s">
        <v>2406</v>
      </c>
      <c r="F37" s="8"/>
      <c r="G37" s="8"/>
      <c r="H37" s="7">
        <v>43964.0</v>
      </c>
      <c r="I37" s="7">
        <v>44091.0</v>
      </c>
      <c r="J37" s="8" t="s">
        <v>2407</v>
      </c>
      <c r="K37" s="8" t="s">
        <v>2128</v>
      </c>
      <c r="L37" s="8">
        <v>2020.0</v>
      </c>
      <c r="M37" s="8">
        <v>48.0</v>
      </c>
      <c r="N37" s="8">
        <v>7.0</v>
      </c>
      <c r="O37" s="8">
        <v>1665.0</v>
      </c>
      <c r="P37" s="8">
        <v>1672.0</v>
      </c>
      <c r="Q37" s="9">
        <v>43983.0</v>
      </c>
      <c r="R37" s="8" t="s">
        <v>2075</v>
      </c>
      <c r="S37" s="8"/>
      <c r="T37" s="8"/>
      <c r="U37" s="8"/>
      <c r="V37" s="8"/>
      <c r="W37" s="8" t="s">
        <v>2129</v>
      </c>
      <c r="X37" s="8"/>
      <c r="Y37" s="8" t="s">
        <v>2325</v>
      </c>
      <c r="Z37" s="8" t="s">
        <v>2408</v>
      </c>
      <c r="AA37" s="8"/>
      <c r="AB37" s="8"/>
      <c r="AC37" s="8"/>
      <c r="AD37" s="8" t="s">
        <v>2080</v>
      </c>
      <c r="AE37" s="8" t="s">
        <v>2080</v>
      </c>
      <c r="AF37" s="8"/>
      <c r="AG37" s="8">
        <v>3.2368935E7</v>
      </c>
      <c r="AH37" s="8" t="s">
        <v>2409</v>
      </c>
      <c r="AI37" s="8" t="s">
        <v>209</v>
      </c>
      <c r="AJ37" s="8" t="s">
        <v>2410</v>
      </c>
      <c r="AK37" s="8" t="s">
        <v>2411</v>
      </c>
      <c r="AL37" s="8" t="s">
        <v>2412</v>
      </c>
      <c r="AM37" s="8" t="s">
        <v>2136</v>
      </c>
    </row>
    <row r="38" ht="14.25" customHeight="1">
      <c r="A38" s="8">
        <v>36.0</v>
      </c>
      <c r="B38" s="8" t="s">
        <v>2413</v>
      </c>
      <c r="C38" s="8"/>
      <c r="D38" s="8" t="s">
        <v>2414</v>
      </c>
      <c r="E38" s="8" t="s">
        <v>2415</v>
      </c>
      <c r="F38" s="8" t="s">
        <v>2416</v>
      </c>
      <c r="G38" s="8"/>
      <c r="H38" s="7">
        <v>43971.0</v>
      </c>
      <c r="I38" s="7">
        <v>43976.0</v>
      </c>
      <c r="J38" s="8" t="s">
        <v>2417</v>
      </c>
      <c r="K38" s="8" t="s">
        <v>2101</v>
      </c>
      <c r="L38" s="8">
        <v>2020.0</v>
      </c>
      <c r="M38" s="8">
        <v>8.0</v>
      </c>
      <c r="N38" s="8">
        <v>5.0</v>
      </c>
      <c r="O38" s="8"/>
      <c r="P38" s="8"/>
      <c r="Q38" s="9">
        <v>43952.0</v>
      </c>
      <c r="R38" s="8" t="s">
        <v>2075</v>
      </c>
      <c r="S38" s="8"/>
      <c r="T38" s="8"/>
      <c r="U38" s="8"/>
      <c r="V38" s="8"/>
      <c r="W38" s="8" t="s">
        <v>2102</v>
      </c>
      <c r="X38" s="8"/>
      <c r="Y38" s="8" t="s">
        <v>2103</v>
      </c>
      <c r="Z38" s="8" t="s">
        <v>2418</v>
      </c>
      <c r="AA38" s="8"/>
      <c r="AB38" s="8"/>
      <c r="AC38" s="8"/>
      <c r="AD38" s="8" t="s">
        <v>2080</v>
      </c>
      <c r="AE38" s="8" t="s">
        <v>2080</v>
      </c>
      <c r="AF38" s="8"/>
      <c r="AG38" s="8"/>
      <c r="AH38" s="8" t="s">
        <v>2419</v>
      </c>
      <c r="AI38" s="8" t="s">
        <v>2420</v>
      </c>
      <c r="AJ38" s="8" t="s">
        <v>2421</v>
      </c>
      <c r="AK38" s="8" t="s">
        <v>2422</v>
      </c>
      <c r="AL38" s="8" t="s">
        <v>2423</v>
      </c>
      <c r="AM38" s="8" t="s">
        <v>2349</v>
      </c>
    </row>
    <row r="39" ht="14.25" customHeight="1">
      <c r="A39" s="8">
        <v>37.0</v>
      </c>
      <c r="B39" s="8" t="s">
        <v>210</v>
      </c>
      <c r="C39" s="8"/>
      <c r="D39" s="8" t="s">
        <v>2424</v>
      </c>
      <c r="E39" s="8" t="s">
        <v>2425</v>
      </c>
      <c r="F39" s="8"/>
      <c r="G39" s="8"/>
      <c r="H39" s="7">
        <v>43949.0</v>
      </c>
      <c r="I39" s="7">
        <v>44153.0</v>
      </c>
      <c r="J39" s="8" t="s">
        <v>2426</v>
      </c>
      <c r="K39" s="8" t="s">
        <v>2128</v>
      </c>
      <c r="L39" s="8">
        <v>2020.0</v>
      </c>
      <c r="M39" s="8">
        <v>48.0</v>
      </c>
      <c r="N39" s="8">
        <v>6.0</v>
      </c>
      <c r="O39" s="8">
        <v>1305.0</v>
      </c>
      <c r="P39" s="8">
        <v>1315.0</v>
      </c>
      <c r="Q39" s="9">
        <v>43952.0</v>
      </c>
      <c r="R39" s="8" t="s">
        <v>2075</v>
      </c>
      <c r="S39" s="8"/>
      <c r="T39" s="8"/>
      <c r="U39" s="8"/>
      <c r="V39" s="8"/>
      <c r="W39" s="8" t="s">
        <v>2129</v>
      </c>
      <c r="X39" s="8"/>
      <c r="Y39" s="8" t="s">
        <v>2325</v>
      </c>
      <c r="Z39" s="8" t="s">
        <v>2427</v>
      </c>
      <c r="AA39" s="8"/>
      <c r="AB39" s="8"/>
      <c r="AC39" s="8" t="s">
        <v>2290</v>
      </c>
      <c r="AD39" s="8" t="s">
        <v>2080</v>
      </c>
      <c r="AE39" s="8" t="s">
        <v>2080</v>
      </c>
      <c r="AF39" s="8"/>
      <c r="AG39" s="8">
        <v>3.2298131E7</v>
      </c>
      <c r="AH39" s="8" t="s">
        <v>2428</v>
      </c>
      <c r="AI39" s="8" t="s">
        <v>215</v>
      </c>
      <c r="AJ39" s="8" t="s">
        <v>2429</v>
      </c>
      <c r="AK39" s="8" t="s">
        <v>2430</v>
      </c>
      <c r="AL39" s="8" t="s">
        <v>2431</v>
      </c>
      <c r="AM39" s="8" t="s">
        <v>2136</v>
      </c>
    </row>
    <row r="40" ht="14.25" customHeight="1">
      <c r="A40" s="8">
        <v>38.0</v>
      </c>
      <c r="B40" s="8" t="s">
        <v>2432</v>
      </c>
      <c r="C40" s="8"/>
      <c r="D40" s="8"/>
      <c r="E40" s="8"/>
      <c r="F40" s="8"/>
      <c r="G40" s="8"/>
      <c r="H40" s="7">
        <v>45798.0</v>
      </c>
      <c r="I40" s="7">
        <v>45798.0</v>
      </c>
      <c r="J40" s="8" t="s">
        <v>2433</v>
      </c>
      <c r="K40" s="8" t="s">
        <v>2089</v>
      </c>
      <c r="L40" s="8">
        <v>2020.0</v>
      </c>
      <c r="M40" s="8"/>
      <c r="N40" s="8"/>
      <c r="O40" s="8"/>
      <c r="P40" s="8"/>
      <c r="Q40" s="9">
        <v>43896.0</v>
      </c>
      <c r="R40" s="8" t="s">
        <v>2090</v>
      </c>
      <c r="S40" s="8"/>
      <c r="T40" s="8"/>
      <c r="U40" s="8"/>
      <c r="V40" s="8"/>
      <c r="W40" s="8"/>
      <c r="X40" s="8"/>
      <c r="Y40" s="8" t="s">
        <v>2089</v>
      </c>
      <c r="Z40" s="8" t="s">
        <v>2434</v>
      </c>
      <c r="AA40" s="8"/>
      <c r="AB40" s="8"/>
      <c r="AC40" s="8"/>
      <c r="AD40" s="8" t="s">
        <v>2080</v>
      </c>
      <c r="AE40" s="8" t="s">
        <v>2080</v>
      </c>
      <c r="AF40" s="8"/>
      <c r="AG40" s="8"/>
      <c r="AH40" s="8" t="s">
        <v>2435</v>
      </c>
      <c r="AI40" s="8"/>
      <c r="AJ40" s="8" t="s">
        <v>2436</v>
      </c>
      <c r="AK40" s="8" t="s">
        <v>2437</v>
      </c>
      <c r="AL40" s="8"/>
      <c r="AM40" s="8" t="s">
        <v>2095</v>
      </c>
    </row>
    <row r="41" ht="14.25" customHeight="1">
      <c r="A41" s="8">
        <v>39.0</v>
      </c>
      <c r="B41" s="8" t="s">
        <v>2438</v>
      </c>
      <c r="C41" s="8"/>
      <c r="D41" s="8"/>
      <c r="E41" s="8"/>
      <c r="F41" s="8"/>
      <c r="G41" s="8"/>
      <c r="H41" s="7">
        <v>45807.0</v>
      </c>
      <c r="I41" s="7">
        <v>45807.0</v>
      </c>
      <c r="J41" s="8" t="s">
        <v>2439</v>
      </c>
      <c r="K41" s="8" t="s">
        <v>2089</v>
      </c>
      <c r="L41" s="8">
        <v>2019.0</v>
      </c>
      <c r="M41" s="8"/>
      <c r="N41" s="8"/>
      <c r="O41" s="8"/>
      <c r="P41" s="8"/>
      <c r="Q41" s="9">
        <v>43737.0</v>
      </c>
      <c r="R41" s="8" t="s">
        <v>2090</v>
      </c>
      <c r="S41" s="8"/>
      <c r="T41" s="8"/>
      <c r="U41" s="8"/>
      <c r="V41" s="8"/>
      <c r="W41" s="8"/>
      <c r="X41" s="8"/>
      <c r="Y41" s="8" t="s">
        <v>2089</v>
      </c>
      <c r="Z41" s="8" t="s">
        <v>2440</v>
      </c>
      <c r="AA41" s="8"/>
      <c r="AB41" s="8"/>
      <c r="AC41" s="8"/>
      <c r="AD41" s="8" t="s">
        <v>2080</v>
      </c>
      <c r="AE41" s="8" t="s">
        <v>2080</v>
      </c>
      <c r="AF41" s="8"/>
      <c r="AG41" s="8"/>
      <c r="AH41" s="8" t="s">
        <v>2441</v>
      </c>
      <c r="AI41" s="8"/>
      <c r="AJ41" s="8" t="s">
        <v>2442</v>
      </c>
      <c r="AK41" s="8" t="s">
        <v>2443</v>
      </c>
      <c r="AL41" s="8"/>
      <c r="AM41" s="8" t="s">
        <v>2095</v>
      </c>
    </row>
    <row r="42" ht="14.25" customHeight="1">
      <c r="A42" s="8">
        <v>40.0</v>
      </c>
      <c r="B42" s="8" t="s">
        <v>233</v>
      </c>
      <c r="C42" s="8"/>
      <c r="D42" s="8" t="s">
        <v>2444</v>
      </c>
      <c r="E42" s="8" t="s">
        <v>2445</v>
      </c>
      <c r="F42" s="8"/>
      <c r="G42" s="8"/>
      <c r="H42" s="7">
        <v>43685.0</v>
      </c>
      <c r="I42" s="7">
        <v>43691.0</v>
      </c>
      <c r="J42" s="8" t="s">
        <v>2446</v>
      </c>
      <c r="K42" s="8" t="s">
        <v>2447</v>
      </c>
      <c r="L42" s="8">
        <v>2019.0</v>
      </c>
      <c r="M42" s="8">
        <v>101.0</v>
      </c>
      <c r="N42" s="8">
        <v>11.0</v>
      </c>
      <c r="O42" s="8">
        <v>949.0</v>
      </c>
      <c r="P42" s="8">
        <v>960.0</v>
      </c>
      <c r="Q42" s="9">
        <v>43621.0</v>
      </c>
      <c r="R42" s="8" t="s">
        <v>2075</v>
      </c>
      <c r="S42" s="8"/>
      <c r="T42" s="8"/>
      <c r="U42" s="8"/>
      <c r="V42" s="8"/>
      <c r="W42" s="8" t="s">
        <v>2448</v>
      </c>
      <c r="X42" s="8"/>
      <c r="Y42" s="8" t="s">
        <v>2449</v>
      </c>
      <c r="Z42" s="8" t="s">
        <v>2450</v>
      </c>
      <c r="AA42" s="8"/>
      <c r="AB42" s="8"/>
      <c r="AC42" s="8" t="s">
        <v>2451</v>
      </c>
      <c r="AD42" s="8" t="s">
        <v>2080</v>
      </c>
      <c r="AE42" s="8" t="s">
        <v>2080</v>
      </c>
      <c r="AF42" s="8"/>
      <c r="AG42" s="8">
        <v>3.1169571E7</v>
      </c>
      <c r="AH42" s="8" t="s">
        <v>2452</v>
      </c>
      <c r="AI42" s="8" t="s">
        <v>237</v>
      </c>
      <c r="AJ42" s="8" t="s">
        <v>2453</v>
      </c>
      <c r="AK42" s="8" t="s">
        <v>2454</v>
      </c>
      <c r="AL42" s="8" t="s">
        <v>2455</v>
      </c>
      <c r="AM42" s="8" t="s">
        <v>2456</v>
      </c>
    </row>
    <row r="43" ht="14.25" customHeight="1">
      <c r="A43" s="8">
        <v>41.0</v>
      </c>
      <c r="B43" s="8" t="s">
        <v>2457</v>
      </c>
      <c r="C43" s="8"/>
      <c r="D43" s="8" t="s">
        <v>2458</v>
      </c>
      <c r="E43" s="8" t="s">
        <v>2459</v>
      </c>
      <c r="F43" s="8" t="s">
        <v>2460</v>
      </c>
      <c r="G43" s="8"/>
      <c r="H43" s="7">
        <v>43378.0</v>
      </c>
      <c r="I43" s="7">
        <v>43599.0</v>
      </c>
      <c r="J43" s="8" t="s">
        <v>2461</v>
      </c>
      <c r="K43" s="8" t="s">
        <v>2462</v>
      </c>
      <c r="L43" s="8">
        <v>2019.0</v>
      </c>
      <c r="M43" s="8">
        <v>10.0</v>
      </c>
      <c r="N43" s="8">
        <v>3.0</v>
      </c>
      <c r="O43" s="8">
        <v>581.0</v>
      </c>
      <c r="P43" s="8">
        <v>585.0</v>
      </c>
      <c r="Q43" s="9">
        <v>43586.0</v>
      </c>
      <c r="R43" s="8" t="s">
        <v>2075</v>
      </c>
      <c r="S43" s="8"/>
      <c r="T43" s="8"/>
      <c r="U43" s="8"/>
      <c r="V43" s="8"/>
      <c r="W43" s="8" t="s">
        <v>2463</v>
      </c>
      <c r="X43" s="8"/>
      <c r="Y43" s="8" t="s">
        <v>2255</v>
      </c>
      <c r="Z43" s="8" t="s">
        <v>2464</v>
      </c>
      <c r="AA43" s="8"/>
      <c r="AB43" s="8"/>
      <c r="AC43" s="8"/>
      <c r="AD43" s="8" t="s">
        <v>2080</v>
      </c>
      <c r="AE43" s="8" t="s">
        <v>2080</v>
      </c>
      <c r="AF43" s="8"/>
      <c r="AG43" s="8"/>
      <c r="AH43" s="8" t="s">
        <v>2465</v>
      </c>
      <c r="AI43" s="8" t="s">
        <v>2466</v>
      </c>
      <c r="AJ43" s="8" t="s">
        <v>2467</v>
      </c>
      <c r="AK43" s="8" t="s">
        <v>2468</v>
      </c>
      <c r="AL43" s="8" t="s">
        <v>2469</v>
      </c>
      <c r="AM43" s="8" t="s">
        <v>2456</v>
      </c>
    </row>
    <row r="44" ht="14.25" customHeight="1">
      <c r="A44" s="8">
        <v>42.0</v>
      </c>
      <c r="B44" s="8" t="s">
        <v>2470</v>
      </c>
      <c r="C44" s="8"/>
      <c r="D44" s="8" t="s">
        <v>2471</v>
      </c>
      <c r="E44" s="8" t="s">
        <v>2472</v>
      </c>
      <c r="F44" s="8" t="s">
        <v>2473</v>
      </c>
      <c r="G44" s="8"/>
      <c r="H44" s="7">
        <v>43504.0</v>
      </c>
      <c r="I44" s="7">
        <v>43536.0</v>
      </c>
      <c r="J44" s="8" t="s">
        <v>2474</v>
      </c>
      <c r="K44" s="8" t="s">
        <v>2241</v>
      </c>
      <c r="L44" s="8">
        <v>2019.0</v>
      </c>
      <c r="M44" s="8">
        <v>35.0</v>
      </c>
      <c r="N44" s="8">
        <v>3.0</v>
      </c>
      <c r="O44" s="8">
        <v>921.0</v>
      </c>
      <c r="P44" s="8">
        <v>929.0</v>
      </c>
      <c r="Q44" s="9">
        <v>43525.0</v>
      </c>
      <c r="R44" s="8" t="s">
        <v>2075</v>
      </c>
      <c r="S44" s="8"/>
      <c r="T44" s="8"/>
      <c r="U44" s="8"/>
      <c r="V44" s="8"/>
      <c r="W44" s="8" t="s">
        <v>2242</v>
      </c>
      <c r="X44" s="8"/>
      <c r="Y44" s="8" t="s">
        <v>2243</v>
      </c>
      <c r="Z44" s="8" t="s">
        <v>2475</v>
      </c>
      <c r="AA44" s="8" t="s">
        <v>2476</v>
      </c>
      <c r="AB44" s="8"/>
      <c r="AC44" s="8"/>
      <c r="AD44" s="8" t="s">
        <v>2080</v>
      </c>
      <c r="AE44" s="8" t="s">
        <v>2080</v>
      </c>
      <c r="AF44" s="8"/>
      <c r="AG44" s="8">
        <v>3.0733025E7</v>
      </c>
      <c r="AH44" s="8" t="s">
        <v>2477</v>
      </c>
      <c r="AI44" s="8" t="s">
        <v>242</v>
      </c>
      <c r="AJ44" s="8" t="s">
        <v>2478</v>
      </c>
      <c r="AK44" s="8" t="s">
        <v>2479</v>
      </c>
      <c r="AL44" s="8" t="s">
        <v>2480</v>
      </c>
      <c r="AM44" s="8" t="s">
        <v>2456</v>
      </c>
    </row>
    <row r="45" ht="14.25" customHeight="1">
      <c r="A45" s="8">
        <v>43.0</v>
      </c>
      <c r="B45" s="8" t="s">
        <v>2481</v>
      </c>
      <c r="C45" s="8"/>
      <c r="D45" s="8" t="s">
        <v>2482</v>
      </c>
      <c r="E45" s="8" t="s">
        <v>2483</v>
      </c>
      <c r="F45" s="8" t="s">
        <v>2484</v>
      </c>
      <c r="G45" s="8"/>
      <c r="H45" s="7">
        <v>43388.0</v>
      </c>
      <c r="I45" s="7">
        <v>43496.0</v>
      </c>
      <c r="J45" s="8" t="s">
        <v>2485</v>
      </c>
      <c r="K45" s="8" t="s">
        <v>2241</v>
      </c>
      <c r="L45" s="8">
        <v>2019.0</v>
      </c>
      <c r="M45" s="8">
        <v>35.0</v>
      </c>
      <c r="N45" s="8">
        <v>2.0</v>
      </c>
      <c r="O45" s="8">
        <v>489.0</v>
      </c>
      <c r="P45" s="8">
        <v>499.0</v>
      </c>
      <c r="Q45" s="9">
        <v>43497.0</v>
      </c>
      <c r="R45" s="8" t="s">
        <v>2075</v>
      </c>
      <c r="S45" s="8"/>
      <c r="T45" s="8"/>
      <c r="U45" s="8"/>
      <c r="V45" s="8"/>
      <c r="W45" s="8" t="s">
        <v>2242</v>
      </c>
      <c r="X45" s="8"/>
      <c r="Y45" s="8" t="s">
        <v>2243</v>
      </c>
      <c r="Z45" s="8" t="s">
        <v>2486</v>
      </c>
      <c r="AA45" s="8"/>
      <c r="AB45" s="8"/>
      <c r="AC45" s="8"/>
      <c r="AD45" s="8" t="s">
        <v>2080</v>
      </c>
      <c r="AE45" s="8" t="s">
        <v>2080</v>
      </c>
      <c r="AF45" s="8"/>
      <c r="AG45" s="8">
        <v>3.0301627E7</v>
      </c>
      <c r="AH45" s="8" t="s">
        <v>2487</v>
      </c>
      <c r="AI45" s="8" t="s">
        <v>2488</v>
      </c>
      <c r="AJ45" s="8" t="s">
        <v>2489</v>
      </c>
      <c r="AK45" s="8" t="s">
        <v>2490</v>
      </c>
      <c r="AL45" s="8" t="s">
        <v>2491</v>
      </c>
      <c r="AM45" s="8" t="s">
        <v>2456</v>
      </c>
    </row>
    <row r="46" ht="14.25" customHeight="1">
      <c r="A46" s="8">
        <v>44.0</v>
      </c>
      <c r="B46" s="8" t="s">
        <v>2492</v>
      </c>
      <c r="C46" s="8"/>
      <c r="D46" s="8" t="s">
        <v>2493</v>
      </c>
      <c r="E46" s="8" t="s">
        <v>2494</v>
      </c>
      <c r="F46" s="8" t="s">
        <v>2495</v>
      </c>
      <c r="G46" s="8"/>
      <c r="H46" s="7">
        <v>43434.0</v>
      </c>
      <c r="I46" s="7">
        <v>43437.0</v>
      </c>
      <c r="J46" s="8" t="s">
        <v>2496</v>
      </c>
      <c r="K46" s="8" t="s">
        <v>2101</v>
      </c>
      <c r="L46" s="8">
        <v>2018.0</v>
      </c>
      <c r="M46" s="8">
        <v>6.0</v>
      </c>
      <c r="N46" s="8">
        <v>11.0</v>
      </c>
      <c r="O46" s="8"/>
      <c r="P46" s="8"/>
      <c r="Q46" s="9">
        <v>43405.0</v>
      </c>
      <c r="R46" s="8" t="s">
        <v>2075</v>
      </c>
      <c r="S46" s="8"/>
      <c r="T46" s="8"/>
      <c r="U46" s="8"/>
      <c r="V46" s="8"/>
      <c r="W46" s="8" t="s">
        <v>2102</v>
      </c>
      <c r="X46" s="8"/>
      <c r="Y46" s="8" t="s">
        <v>2497</v>
      </c>
      <c r="Z46" s="8" t="s">
        <v>2498</v>
      </c>
      <c r="AA46" s="8"/>
      <c r="AB46" s="8"/>
      <c r="AC46" s="8"/>
      <c r="AD46" s="8" t="s">
        <v>2080</v>
      </c>
      <c r="AE46" s="8" t="s">
        <v>2080</v>
      </c>
      <c r="AF46" s="8">
        <v>2.018083554E10</v>
      </c>
      <c r="AG46" s="8"/>
      <c r="AH46" s="8" t="s">
        <v>2499</v>
      </c>
      <c r="AI46" s="8" t="s">
        <v>2500</v>
      </c>
      <c r="AJ46" s="8" t="s">
        <v>2501</v>
      </c>
      <c r="AK46" s="8" t="s">
        <v>2502</v>
      </c>
      <c r="AL46" s="8" t="s">
        <v>2503</v>
      </c>
      <c r="AM46" s="8" t="s">
        <v>2504</v>
      </c>
    </row>
    <row r="47" ht="14.25" customHeight="1">
      <c r="A47" s="8">
        <v>45.0</v>
      </c>
      <c r="B47" s="8" t="s">
        <v>248</v>
      </c>
      <c r="C47" s="8"/>
      <c r="D47" s="8" t="s">
        <v>2505</v>
      </c>
      <c r="E47" s="8" t="s">
        <v>2506</v>
      </c>
      <c r="F47" s="8"/>
      <c r="G47" s="8"/>
      <c r="H47" s="7">
        <v>43712.0</v>
      </c>
      <c r="I47" s="7">
        <v>43733.0</v>
      </c>
      <c r="J47" s="8" t="s">
        <v>2507</v>
      </c>
      <c r="K47" s="8" t="s">
        <v>2128</v>
      </c>
      <c r="L47" s="8">
        <v>2018.0</v>
      </c>
      <c r="M47" s="8">
        <v>46.0</v>
      </c>
      <c r="N47" s="8">
        <v>8.0</v>
      </c>
      <c r="O47" s="8">
        <v>1800.0</v>
      </c>
      <c r="P47" s="8">
        <v>1808.0</v>
      </c>
      <c r="Q47" s="9">
        <v>43282.0</v>
      </c>
      <c r="R47" s="8" t="s">
        <v>2075</v>
      </c>
      <c r="S47" s="8"/>
      <c r="T47" s="8"/>
      <c r="U47" s="8"/>
      <c r="V47" s="8"/>
      <c r="W47" s="8" t="s">
        <v>2129</v>
      </c>
      <c r="X47" s="8"/>
      <c r="Y47" s="8" t="s">
        <v>2325</v>
      </c>
      <c r="Z47" s="8" t="s">
        <v>2508</v>
      </c>
      <c r="AA47" s="8"/>
      <c r="AB47" s="8"/>
      <c r="AC47" s="8"/>
      <c r="AD47" s="8" t="s">
        <v>2080</v>
      </c>
      <c r="AE47" s="8" t="s">
        <v>2080</v>
      </c>
      <c r="AF47" s="8"/>
      <c r="AG47" s="8">
        <v>2.9741911E7</v>
      </c>
      <c r="AH47" s="8" t="s">
        <v>2509</v>
      </c>
      <c r="AI47" s="8" t="s">
        <v>252</v>
      </c>
      <c r="AJ47" s="8" t="s">
        <v>2510</v>
      </c>
      <c r="AK47" s="8" t="s">
        <v>2511</v>
      </c>
      <c r="AL47" s="8" t="s">
        <v>2512</v>
      </c>
      <c r="AM47" s="8" t="s">
        <v>2136</v>
      </c>
    </row>
    <row r="48" ht="14.25" customHeight="1">
      <c r="A48" s="8">
        <v>46.0</v>
      </c>
      <c r="B48" s="8" t="s">
        <v>243</v>
      </c>
      <c r="C48" s="8"/>
      <c r="D48" s="8" t="s">
        <v>2513</v>
      </c>
      <c r="E48" s="8" t="s">
        <v>2514</v>
      </c>
      <c r="F48" s="8"/>
      <c r="G48" s="8"/>
      <c r="H48" s="7">
        <v>43712.0</v>
      </c>
      <c r="I48" s="7">
        <v>43733.0</v>
      </c>
      <c r="J48" s="8" t="s">
        <v>2515</v>
      </c>
      <c r="K48" s="8" t="s">
        <v>2128</v>
      </c>
      <c r="L48" s="8">
        <v>2018.0</v>
      </c>
      <c r="M48" s="8">
        <v>46.0</v>
      </c>
      <c r="N48" s="8">
        <v>8.0</v>
      </c>
      <c r="O48" s="8">
        <v>1827.0</v>
      </c>
      <c r="P48" s="8">
        <v>1835.0</v>
      </c>
      <c r="Q48" s="9">
        <v>43282.0</v>
      </c>
      <c r="R48" s="8" t="s">
        <v>2075</v>
      </c>
      <c r="S48" s="8"/>
      <c r="T48" s="8"/>
      <c r="U48" s="8"/>
      <c r="V48" s="8"/>
      <c r="W48" s="8" t="s">
        <v>2129</v>
      </c>
      <c r="X48" s="8"/>
      <c r="Y48" s="8" t="s">
        <v>2325</v>
      </c>
      <c r="Z48" s="8" t="s">
        <v>2516</v>
      </c>
      <c r="AA48" s="8"/>
      <c r="AB48" s="8"/>
      <c r="AC48" s="8" t="s">
        <v>2517</v>
      </c>
      <c r="AD48" s="8" t="s">
        <v>2080</v>
      </c>
      <c r="AE48" s="8" t="s">
        <v>2080</v>
      </c>
      <c r="AF48" s="8"/>
      <c r="AG48" s="8">
        <v>2.9741923E7</v>
      </c>
      <c r="AH48" s="8" t="s">
        <v>2518</v>
      </c>
      <c r="AI48" s="8" t="s">
        <v>247</v>
      </c>
      <c r="AJ48" s="8" t="s">
        <v>2519</v>
      </c>
      <c r="AK48" s="8" t="s">
        <v>2520</v>
      </c>
      <c r="AL48" s="8" t="s">
        <v>2521</v>
      </c>
      <c r="AM48" s="8" t="s">
        <v>2136</v>
      </c>
    </row>
    <row r="49" ht="14.25" customHeight="1">
      <c r="A49" s="8">
        <v>47.0</v>
      </c>
      <c r="B49" s="8" t="s">
        <v>2522</v>
      </c>
      <c r="C49" s="8"/>
      <c r="D49" s="8" t="s">
        <v>2523</v>
      </c>
      <c r="E49" s="8" t="s">
        <v>2524</v>
      </c>
      <c r="F49" s="8" t="s">
        <v>2525</v>
      </c>
      <c r="G49" s="8"/>
      <c r="H49" s="8"/>
      <c r="I49" s="7">
        <v>43158.0</v>
      </c>
      <c r="J49" s="8" t="s">
        <v>2526</v>
      </c>
      <c r="K49" s="8" t="s">
        <v>2527</v>
      </c>
      <c r="L49" s="8">
        <v>2018.0</v>
      </c>
      <c r="M49" s="8">
        <v>46.0</v>
      </c>
      <c r="N49" s="8">
        <v>2.0</v>
      </c>
      <c r="O49" s="8">
        <v>785.0</v>
      </c>
      <c r="P49" s="8">
        <v>791.0</v>
      </c>
      <c r="Q49" s="9">
        <v>43132.0</v>
      </c>
      <c r="R49" s="8" t="s">
        <v>2075</v>
      </c>
      <c r="S49" s="8"/>
      <c r="T49" s="8"/>
      <c r="U49" s="8"/>
      <c r="V49" s="8"/>
      <c r="W49" s="8" t="s">
        <v>2528</v>
      </c>
      <c r="X49" s="8"/>
      <c r="Y49" s="8" t="s">
        <v>2497</v>
      </c>
      <c r="Z49" s="8" t="s">
        <v>2529</v>
      </c>
      <c r="AA49" s="8"/>
      <c r="AB49" s="8"/>
      <c r="AC49" s="8"/>
      <c r="AD49" s="8" t="s">
        <v>2080</v>
      </c>
      <c r="AE49" s="8" t="s">
        <v>2080</v>
      </c>
      <c r="AF49" s="8">
        <v>2.0180128486E10</v>
      </c>
      <c r="AG49" s="8">
        <v>2.8856925E7</v>
      </c>
      <c r="AH49" s="8" t="s">
        <v>2530</v>
      </c>
      <c r="AI49" s="8" t="s">
        <v>2531</v>
      </c>
      <c r="AJ49" s="8" t="s">
        <v>2532</v>
      </c>
      <c r="AK49" s="8" t="s">
        <v>2533</v>
      </c>
      <c r="AL49" s="8" t="s">
        <v>2534</v>
      </c>
      <c r="AM49" s="8" t="s">
        <v>2504</v>
      </c>
    </row>
    <row r="50" ht="14.25" customHeight="1">
      <c r="A50" s="8">
        <v>48.0</v>
      </c>
      <c r="B50" s="8" t="s">
        <v>2535</v>
      </c>
      <c r="C50" s="8"/>
      <c r="D50" s="8"/>
      <c r="E50" s="8"/>
      <c r="F50" s="8"/>
      <c r="G50" s="8"/>
      <c r="H50" s="7">
        <v>45800.0</v>
      </c>
      <c r="I50" s="7">
        <v>45800.0</v>
      </c>
      <c r="J50" s="8" t="s">
        <v>2536</v>
      </c>
      <c r="K50" s="8" t="s">
        <v>2089</v>
      </c>
      <c r="L50" s="8">
        <v>2017.0</v>
      </c>
      <c r="M50" s="8"/>
      <c r="N50" s="8"/>
      <c r="O50" s="8"/>
      <c r="P50" s="8"/>
      <c r="Q50" s="9">
        <v>43073.0</v>
      </c>
      <c r="R50" s="8" t="s">
        <v>2090</v>
      </c>
      <c r="S50" s="8"/>
      <c r="T50" s="8"/>
      <c r="U50" s="8"/>
      <c r="V50" s="8"/>
      <c r="W50" s="8"/>
      <c r="X50" s="8"/>
      <c r="Y50" s="8" t="s">
        <v>2089</v>
      </c>
      <c r="Z50" s="8" t="s">
        <v>2537</v>
      </c>
      <c r="AA50" s="8"/>
      <c r="AB50" s="8"/>
      <c r="AC50" s="8"/>
      <c r="AD50" s="8" t="s">
        <v>2080</v>
      </c>
      <c r="AE50" s="8" t="s">
        <v>2080</v>
      </c>
      <c r="AF50" s="8"/>
      <c r="AG50" s="8"/>
      <c r="AH50" s="8" t="s">
        <v>2538</v>
      </c>
      <c r="AI50" s="8"/>
      <c r="AJ50" s="8" t="s">
        <v>2539</v>
      </c>
      <c r="AK50" s="8" t="s">
        <v>2540</v>
      </c>
      <c r="AL50" s="8"/>
      <c r="AM50" s="8" t="s">
        <v>2095</v>
      </c>
    </row>
    <row r="51" ht="14.25" customHeight="1">
      <c r="A51" s="8">
        <v>49.0</v>
      </c>
      <c r="B51" s="8" t="s">
        <v>2541</v>
      </c>
      <c r="C51" s="8"/>
      <c r="D51" s="8"/>
      <c r="E51" s="8"/>
      <c r="F51" s="8"/>
      <c r="G51" s="8"/>
      <c r="H51" s="7">
        <v>45792.0</v>
      </c>
      <c r="I51" s="7">
        <v>45792.0</v>
      </c>
      <c r="J51" s="8" t="s">
        <v>2542</v>
      </c>
      <c r="K51" s="8" t="s">
        <v>2089</v>
      </c>
      <c r="L51" s="8">
        <v>2017.0</v>
      </c>
      <c r="M51" s="8"/>
      <c r="N51" s="8"/>
      <c r="O51" s="8"/>
      <c r="P51" s="8"/>
      <c r="Q51" s="9">
        <v>43028.0</v>
      </c>
      <c r="R51" s="8" t="s">
        <v>2090</v>
      </c>
      <c r="S51" s="8"/>
      <c r="T51" s="8"/>
      <c r="U51" s="8"/>
      <c r="V51" s="8"/>
      <c r="W51" s="8"/>
      <c r="X51" s="8"/>
      <c r="Y51" s="8" t="s">
        <v>2089</v>
      </c>
      <c r="Z51" s="8" t="s">
        <v>2543</v>
      </c>
      <c r="AA51" s="8"/>
      <c r="AB51" s="8"/>
      <c r="AC51" s="8"/>
      <c r="AD51" s="8" t="s">
        <v>2080</v>
      </c>
      <c r="AE51" s="8" t="s">
        <v>2080</v>
      </c>
      <c r="AF51" s="8"/>
      <c r="AG51" s="8"/>
      <c r="AH51" s="8" t="s">
        <v>2544</v>
      </c>
      <c r="AI51" s="8"/>
      <c r="AJ51" s="8" t="s">
        <v>2545</v>
      </c>
      <c r="AK51" s="8" t="s">
        <v>2546</v>
      </c>
      <c r="AL51" s="8"/>
      <c r="AM51" s="8" t="s">
        <v>2095</v>
      </c>
    </row>
    <row r="52" ht="14.25" customHeight="1">
      <c r="A52" s="8">
        <v>50.0</v>
      </c>
      <c r="B52" s="8" t="s">
        <v>270</v>
      </c>
      <c r="C52" s="8"/>
      <c r="D52" s="8" t="s">
        <v>2547</v>
      </c>
      <c r="E52" s="8" t="s">
        <v>2548</v>
      </c>
      <c r="F52" s="8"/>
      <c r="G52" s="8"/>
      <c r="H52" s="8"/>
      <c r="I52" s="7">
        <v>43249.0</v>
      </c>
      <c r="J52" s="8" t="s">
        <v>2549</v>
      </c>
      <c r="K52" s="8" t="s">
        <v>2550</v>
      </c>
      <c r="L52" s="8">
        <v>2017.0</v>
      </c>
      <c r="M52" s="8">
        <v>25.0</v>
      </c>
      <c r="N52" s="8">
        <v>10.0</v>
      </c>
      <c r="O52" s="8">
        <v>3155.0</v>
      </c>
      <c r="P52" s="8">
        <v>3162.0</v>
      </c>
      <c r="Q52" s="9">
        <v>43009.0</v>
      </c>
      <c r="R52" s="8" t="s">
        <v>2075</v>
      </c>
      <c r="S52" s="8"/>
      <c r="T52" s="8"/>
      <c r="U52" s="8"/>
      <c r="V52" s="8"/>
      <c r="W52" s="8" t="s">
        <v>2551</v>
      </c>
      <c r="X52" s="8"/>
      <c r="Y52" s="8"/>
      <c r="Z52" s="8" t="s">
        <v>2552</v>
      </c>
      <c r="AA52" s="8"/>
      <c r="AB52" s="8"/>
      <c r="AC52" s="8"/>
      <c r="AD52" s="8" t="s">
        <v>2080</v>
      </c>
      <c r="AE52" s="8" t="s">
        <v>2080</v>
      </c>
      <c r="AF52" s="8"/>
      <c r="AG52" s="8">
        <v>2.7371291E7</v>
      </c>
      <c r="AH52" s="8" t="s">
        <v>2553</v>
      </c>
      <c r="AI52" s="8" t="s">
        <v>275</v>
      </c>
      <c r="AJ52" s="8" t="s">
        <v>2554</v>
      </c>
      <c r="AK52" s="8" t="s">
        <v>2555</v>
      </c>
      <c r="AL52" s="8" t="s">
        <v>2556</v>
      </c>
      <c r="AM52" s="8" t="s">
        <v>2557</v>
      </c>
    </row>
    <row r="53" ht="14.25" customHeight="1">
      <c r="A53" s="8">
        <v>51.0</v>
      </c>
      <c r="B53" s="8" t="s">
        <v>2558</v>
      </c>
      <c r="C53" s="8"/>
      <c r="D53" s="8" t="s">
        <v>2559</v>
      </c>
      <c r="E53" s="8" t="s">
        <v>2560</v>
      </c>
      <c r="F53" s="8" t="s">
        <v>2561</v>
      </c>
      <c r="G53" s="8"/>
      <c r="H53" s="7">
        <v>43073.0</v>
      </c>
      <c r="I53" s="7">
        <v>43076.0</v>
      </c>
      <c r="J53" s="8" t="s">
        <v>2562</v>
      </c>
      <c r="K53" s="8" t="s">
        <v>2563</v>
      </c>
      <c r="L53" s="8">
        <v>2017.0</v>
      </c>
      <c r="M53" s="8">
        <v>22.0</v>
      </c>
      <c r="N53" s="8">
        <v>9.0</v>
      </c>
      <c r="O53" s="8"/>
      <c r="P53" s="8"/>
      <c r="Q53" s="9">
        <v>42979.0</v>
      </c>
      <c r="R53" s="8" t="s">
        <v>2075</v>
      </c>
      <c r="S53" s="8"/>
      <c r="T53" s="8"/>
      <c r="U53" s="8"/>
      <c r="V53" s="8"/>
      <c r="W53" s="8" t="s">
        <v>2564</v>
      </c>
      <c r="X53" s="8"/>
      <c r="Y53" s="8" t="s">
        <v>2565</v>
      </c>
      <c r="Z53" s="8" t="s">
        <v>2566</v>
      </c>
      <c r="AA53" s="8"/>
      <c r="AB53" s="8"/>
      <c r="AC53" s="8"/>
      <c r="AD53" s="8" t="s">
        <v>2080</v>
      </c>
      <c r="AE53" s="8" t="s">
        <v>2080</v>
      </c>
      <c r="AF53" s="8">
        <v>2.0170838858E10</v>
      </c>
      <c r="AG53" s="8"/>
      <c r="AH53" s="8" t="s">
        <v>2567</v>
      </c>
      <c r="AI53" s="8" t="s">
        <v>2568</v>
      </c>
      <c r="AJ53" s="8" t="s">
        <v>2569</v>
      </c>
      <c r="AK53" s="8" t="s">
        <v>2570</v>
      </c>
      <c r="AL53" s="8" t="s">
        <v>2571</v>
      </c>
      <c r="AM53" s="8" t="s">
        <v>2572</v>
      </c>
    </row>
    <row r="54" ht="14.25" customHeight="1">
      <c r="A54" s="8">
        <v>52.0</v>
      </c>
      <c r="B54" s="8" t="s">
        <v>259</v>
      </c>
      <c r="C54" s="8"/>
      <c r="D54" s="8" t="s">
        <v>2573</v>
      </c>
      <c r="E54" s="8" t="s">
        <v>2574</v>
      </c>
      <c r="F54" s="8" t="s">
        <v>2575</v>
      </c>
      <c r="G54" s="8"/>
      <c r="H54" s="7">
        <v>42618.0</v>
      </c>
      <c r="I54" s="7">
        <v>42710.0</v>
      </c>
      <c r="J54" s="8" t="s">
        <v>2576</v>
      </c>
      <c r="K54" s="8" t="s">
        <v>2369</v>
      </c>
      <c r="L54" s="8">
        <v>2016.0</v>
      </c>
      <c r="M54" s="8">
        <v>136.0</v>
      </c>
      <c r="N54" s="8">
        <v>12.0</v>
      </c>
      <c r="O54" s="8">
        <v>1733.0</v>
      </c>
      <c r="P54" s="8">
        <v>1739.0</v>
      </c>
      <c r="Q54" s="9">
        <v>42705.0</v>
      </c>
      <c r="R54" s="8" t="s">
        <v>2075</v>
      </c>
      <c r="S54" s="8"/>
      <c r="T54" s="8"/>
      <c r="U54" s="8"/>
      <c r="V54" s="8"/>
      <c r="W54" s="8" t="s">
        <v>2370</v>
      </c>
      <c r="X54" s="8"/>
      <c r="Y54" s="8" t="s">
        <v>2577</v>
      </c>
      <c r="Z54" s="8" t="s">
        <v>2578</v>
      </c>
      <c r="AA54" s="8"/>
      <c r="AB54" s="8"/>
      <c r="AC54" s="8"/>
      <c r="AD54" s="8" t="s">
        <v>2080</v>
      </c>
      <c r="AE54" s="8" t="s">
        <v>2080</v>
      </c>
      <c r="AF54" s="8">
        <v>2.0160628333E10</v>
      </c>
      <c r="AG54" s="8">
        <v>2.7568219E7</v>
      </c>
      <c r="AH54" s="8" t="s">
        <v>2579</v>
      </c>
      <c r="AI54" s="8" t="s">
        <v>263</v>
      </c>
      <c r="AJ54" s="8" t="s">
        <v>2580</v>
      </c>
      <c r="AK54" s="8" t="s">
        <v>2581</v>
      </c>
      <c r="AL54" s="8" t="s">
        <v>2582</v>
      </c>
      <c r="AM54" s="8" t="s">
        <v>2572</v>
      </c>
    </row>
    <row r="55" ht="14.25" customHeight="1">
      <c r="A55" s="8">
        <v>53.0</v>
      </c>
      <c r="B55" s="8" t="s">
        <v>2583</v>
      </c>
      <c r="C55" s="8"/>
      <c r="D55" s="8"/>
      <c r="E55" s="8"/>
      <c r="F55" s="8"/>
      <c r="G55" s="8"/>
      <c r="H55" s="7">
        <v>45793.0</v>
      </c>
      <c r="I55" s="7">
        <v>45793.0</v>
      </c>
      <c r="J55" s="8" t="s">
        <v>2584</v>
      </c>
      <c r="K55" s="8" t="s">
        <v>2089</v>
      </c>
      <c r="L55" s="8">
        <v>2016.0</v>
      </c>
      <c r="M55" s="8"/>
      <c r="N55" s="8"/>
      <c r="O55" s="8"/>
      <c r="P55" s="8"/>
      <c r="Q55" s="9">
        <v>42703.0</v>
      </c>
      <c r="R55" s="8" t="s">
        <v>2090</v>
      </c>
      <c r="S55" s="8"/>
      <c r="T55" s="8"/>
      <c r="U55" s="8"/>
      <c r="V55" s="8"/>
      <c r="W55" s="8"/>
      <c r="X55" s="8"/>
      <c r="Y55" s="8" t="s">
        <v>2089</v>
      </c>
      <c r="Z55" s="8" t="s">
        <v>2585</v>
      </c>
      <c r="AA55" s="8"/>
      <c r="AB55" s="8"/>
      <c r="AC55" s="8"/>
      <c r="AD55" s="8" t="s">
        <v>2080</v>
      </c>
      <c r="AE55" s="8" t="s">
        <v>2080</v>
      </c>
      <c r="AF55" s="8"/>
      <c r="AG55" s="8"/>
      <c r="AH55" s="8" t="s">
        <v>2586</v>
      </c>
      <c r="AI55" s="8"/>
      <c r="AJ55" s="8" t="s">
        <v>2587</v>
      </c>
      <c r="AK55" s="8" t="s">
        <v>2588</v>
      </c>
      <c r="AL55" s="8"/>
      <c r="AM55" s="8" t="s">
        <v>2095</v>
      </c>
    </row>
    <row r="56" ht="14.25" customHeight="1">
      <c r="A56" s="8">
        <v>54.0</v>
      </c>
      <c r="B56" s="8" t="s">
        <v>2589</v>
      </c>
      <c r="C56" s="8"/>
      <c r="D56" s="8" t="s">
        <v>2590</v>
      </c>
      <c r="E56" s="8" t="s">
        <v>2591</v>
      </c>
      <c r="F56" s="8" t="s">
        <v>2592</v>
      </c>
      <c r="G56" s="8"/>
      <c r="H56" s="7">
        <v>42557.0</v>
      </c>
      <c r="I56" s="7">
        <v>42662.0</v>
      </c>
      <c r="J56" s="8" t="s">
        <v>2593</v>
      </c>
      <c r="K56" s="8" t="s">
        <v>2594</v>
      </c>
      <c r="L56" s="8">
        <v>2016.0</v>
      </c>
      <c r="M56" s="8">
        <v>40.0</v>
      </c>
      <c r="N56" s="8">
        <v>10.0</v>
      </c>
      <c r="O56" s="8">
        <v>2097.0</v>
      </c>
      <c r="P56" s="8">
        <v>2104.0</v>
      </c>
      <c r="Q56" s="9">
        <v>42644.0</v>
      </c>
      <c r="R56" s="8" t="s">
        <v>2075</v>
      </c>
      <c r="S56" s="8"/>
      <c r="T56" s="8"/>
      <c r="U56" s="8"/>
      <c r="V56" s="8"/>
      <c r="W56" s="8" t="s">
        <v>2595</v>
      </c>
      <c r="X56" s="8"/>
      <c r="Y56" s="8" t="s">
        <v>2577</v>
      </c>
      <c r="Z56" s="8" t="s">
        <v>2596</v>
      </c>
      <c r="AA56" s="8" t="s">
        <v>2597</v>
      </c>
      <c r="AB56" s="8"/>
      <c r="AC56" s="8"/>
      <c r="AD56" s="8" t="s">
        <v>2080</v>
      </c>
      <c r="AE56" s="8" t="s">
        <v>2080</v>
      </c>
      <c r="AF56" s="8">
        <v>2.0160486362E10</v>
      </c>
      <c r="AG56" s="8">
        <v>2.735753E7</v>
      </c>
      <c r="AH56" s="8" t="s">
        <v>2598</v>
      </c>
      <c r="AI56" s="8" t="s">
        <v>2599</v>
      </c>
      <c r="AJ56" s="8" t="s">
        <v>2600</v>
      </c>
      <c r="AK56" s="8" t="s">
        <v>2601</v>
      </c>
      <c r="AL56" s="8" t="s">
        <v>2602</v>
      </c>
      <c r="AM56" s="8" t="s">
        <v>2603</v>
      </c>
    </row>
    <row r="57" ht="14.25" customHeight="1">
      <c r="A57" s="8">
        <v>55.0</v>
      </c>
      <c r="B57" s="8" t="s">
        <v>276</v>
      </c>
      <c r="C57" s="8"/>
      <c r="D57" s="8" t="s">
        <v>2604</v>
      </c>
      <c r="E57" s="8" t="s">
        <v>2605</v>
      </c>
      <c r="F57" s="8"/>
      <c r="G57" s="8"/>
      <c r="H57" s="8"/>
      <c r="I57" s="7">
        <v>43003.0</v>
      </c>
      <c r="J57" s="8" t="s">
        <v>2606</v>
      </c>
      <c r="K57" s="8" t="s">
        <v>2128</v>
      </c>
      <c r="L57" s="8">
        <v>2016.0</v>
      </c>
      <c r="M57" s="8">
        <v>44.0</v>
      </c>
      <c r="N57" s="8">
        <v>9.0</v>
      </c>
      <c r="O57" s="8">
        <v>2304.0</v>
      </c>
      <c r="P57" s="8">
        <v>2313.0</v>
      </c>
      <c r="Q57" s="9">
        <v>42614.0</v>
      </c>
      <c r="R57" s="8" t="s">
        <v>2075</v>
      </c>
      <c r="S57" s="8"/>
      <c r="T57" s="8"/>
      <c r="U57" s="8"/>
      <c r="V57" s="8"/>
      <c r="W57" s="8" t="s">
        <v>2129</v>
      </c>
      <c r="X57" s="8"/>
      <c r="Y57" s="8"/>
      <c r="Z57" s="8" t="s">
        <v>2607</v>
      </c>
      <c r="AA57" s="8"/>
      <c r="AB57" s="8"/>
      <c r="AC57" s="8"/>
      <c r="AD57" s="8" t="s">
        <v>2080</v>
      </c>
      <c r="AE57" s="8" t="s">
        <v>2080</v>
      </c>
      <c r="AF57" s="8"/>
      <c r="AG57" s="8">
        <v>2.7229354E7</v>
      </c>
      <c r="AH57" s="8" t="s">
        <v>2608</v>
      </c>
      <c r="AI57" s="8" t="s">
        <v>280</v>
      </c>
      <c r="AJ57" s="8" t="s">
        <v>2609</v>
      </c>
      <c r="AK57" s="8" t="s">
        <v>2610</v>
      </c>
      <c r="AL57" s="8" t="s">
        <v>2611</v>
      </c>
      <c r="AM57" s="8" t="s">
        <v>2612</v>
      </c>
    </row>
    <row r="58" ht="14.25" customHeight="1">
      <c r="A58" s="8">
        <v>56.0</v>
      </c>
      <c r="B58" s="8" t="s">
        <v>281</v>
      </c>
      <c r="C58" s="8"/>
      <c r="D58" s="8" t="s">
        <v>2613</v>
      </c>
      <c r="E58" s="8" t="s">
        <v>2614</v>
      </c>
      <c r="F58" s="8"/>
      <c r="G58" s="8"/>
      <c r="H58" s="8"/>
      <c r="I58" s="7">
        <v>43035.0</v>
      </c>
      <c r="J58" s="8" t="s">
        <v>2615</v>
      </c>
      <c r="K58" s="8" t="s">
        <v>2128</v>
      </c>
      <c r="L58" s="8">
        <v>2016.0</v>
      </c>
      <c r="M58" s="8">
        <v>44.0</v>
      </c>
      <c r="N58" s="8">
        <v>7.0</v>
      </c>
      <c r="O58" s="8">
        <v>1660.0</v>
      </c>
      <c r="P58" s="8">
        <v>1670.0</v>
      </c>
      <c r="Q58" s="9">
        <v>42552.0</v>
      </c>
      <c r="R58" s="8" t="s">
        <v>2075</v>
      </c>
      <c r="S58" s="8"/>
      <c r="T58" s="8"/>
      <c r="U58" s="8"/>
      <c r="V58" s="8"/>
      <c r="W58" s="8" t="s">
        <v>2129</v>
      </c>
      <c r="X58" s="8"/>
      <c r="Y58" s="8"/>
      <c r="Z58" s="8" t="s">
        <v>2616</v>
      </c>
      <c r="AA58" s="8"/>
      <c r="AB58" s="8"/>
      <c r="AC58" s="8" t="s">
        <v>2617</v>
      </c>
      <c r="AD58" s="8" t="s">
        <v>2080</v>
      </c>
      <c r="AE58" s="8" t="s">
        <v>2080</v>
      </c>
      <c r="AF58" s="8"/>
      <c r="AG58" s="8">
        <v>2.7159308E7</v>
      </c>
      <c r="AH58" s="8" t="s">
        <v>2618</v>
      </c>
      <c r="AI58" s="8" t="s">
        <v>287</v>
      </c>
      <c r="AJ58" s="8" t="s">
        <v>2619</v>
      </c>
      <c r="AK58" s="8" t="s">
        <v>2620</v>
      </c>
      <c r="AL58" s="8" t="s">
        <v>2621</v>
      </c>
      <c r="AM58" s="8" t="s">
        <v>2612</v>
      </c>
    </row>
    <row r="59" ht="14.25" customHeight="1">
      <c r="A59" s="8">
        <v>57.0</v>
      </c>
      <c r="B59" s="8" t="s">
        <v>293</v>
      </c>
      <c r="C59" s="8"/>
      <c r="D59" s="8" t="s">
        <v>2622</v>
      </c>
      <c r="E59" s="8" t="s">
        <v>2623</v>
      </c>
      <c r="F59" s="8" t="s">
        <v>2624</v>
      </c>
      <c r="G59" s="8"/>
      <c r="H59" s="7">
        <v>42377.0</v>
      </c>
      <c r="I59" s="7">
        <v>42465.0</v>
      </c>
      <c r="J59" s="8" t="s">
        <v>2625</v>
      </c>
      <c r="K59" s="8" t="s">
        <v>2369</v>
      </c>
      <c r="L59" s="8">
        <v>2016.0</v>
      </c>
      <c r="M59" s="8">
        <v>136.0</v>
      </c>
      <c r="N59" s="8">
        <v>4.0</v>
      </c>
      <c r="O59" s="8">
        <v>521.0</v>
      </c>
      <c r="P59" s="8">
        <v>525.0</v>
      </c>
      <c r="Q59" s="9">
        <v>42461.0</v>
      </c>
      <c r="R59" s="8" t="s">
        <v>2075</v>
      </c>
      <c r="S59" s="8"/>
      <c r="T59" s="8"/>
      <c r="U59" s="8"/>
      <c r="V59" s="8"/>
      <c r="W59" s="8" t="s">
        <v>2370</v>
      </c>
      <c r="X59" s="8"/>
      <c r="Y59" s="8" t="s">
        <v>2577</v>
      </c>
      <c r="Z59" s="8" t="s">
        <v>2626</v>
      </c>
      <c r="AA59" s="8"/>
      <c r="AB59" s="8"/>
      <c r="AC59" s="8"/>
      <c r="AD59" s="8" t="s">
        <v>2080</v>
      </c>
      <c r="AE59" s="8" t="s">
        <v>2080</v>
      </c>
      <c r="AF59" s="8">
        <v>2.0160009128E10</v>
      </c>
      <c r="AG59" s="8">
        <v>2.672505E7</v>
      </c>
      <c r="AH59" s="8" t="s">
        <v>2627</v>
      </c>
      <c r="AI59" s="8" t="s">
        <v>297</v>
      </c>
      <c r="AJ59" s="8" t="s">
        <v>2628</v>
      </c>
      <c r="AK59" s="8" t="s">
        <v>2629</v>
      </c>
      <c r="AL59" s="8" t="s">
        <v>2630</v>
      </c>
      <c r="AM59" s="8" t="s">
        <v>2572</v>
      </c>
    </row>
    <row r="60" ht="14.25" customHeight="1">
      <c r="A60" s="8">
        <v>58.0</v>
      </c>
      <c r="B60" s="8" t="s">
        <v>288</v>
      </c>
      <c r="C60" s="8"/>
      <c r="D60" s="8" t="s">
        <v>2631</v>
      </c>
      <c r="E60" s="8" t="s">
        <v>2632</v>
      </c>
      <c r="F60" s="8"/>
      <c r="G60" s="8"/>
      <c r="H60" s="8"/>
      <c r="I60" s="7">
        <v>42872.0</v>
      </c>
      <c r="J60" s="8" t="s">
        <v>2633</v>
      </c>
      <c r="K60" s="8" t="s">
        <v>2128</v>
      </c>
      <c r="L60" s="8">
        <v>2016.0</v>
      </c>
      <c r="M60" s="8">
        <v>44.0</v>
      </c>
      <c r="N60" s="8">
        <v>4.0</v>
      </c>
      <c r="O60" s="8">
        <v>855.0</v>
      </c>
      <c r="P60" s="8">
        <v>864.0</v>
      </c>
      <c r="Q60" s="9">
        <v>42461.0</v>
      </c>
      <c r="R60" s="8" t="s">
        <v>2075</v>
      </c>
      <c r="S60" s="8"/>
      <c r="T60" s="8"/>
      <c r="U60" s="8"/>
      <c r="V60" s="8"/>
      <c r="W60" s="8" t="s">
        <v>2129</v>
      </c>
      <c r="X60" s="8"/>
      <c r="Y60" s="8"/>
      <c r="Z60" s="8" t="s">
        <v>2634</v>
      </c>
      <c r="AA60" s="8"/>
      <c r="AB60" s="8"/>
      <c r="AC60" s="8"/>
      <c r="AD60" s="8" t="s">
        <v>2080</v>
      </c>
      <c r="AE60" s="8" t="s">
        <v>2080</v>
      </c>
      <c r="AF60" s="8"/>
      <c r="AG60" s="8">
        <v>2.6838934E7</v>
      </c>
      <c r="AH60" s="8" t="s">
        <v>2635</v>
      </c>
      <c r="AI60" s="8" t="s">
        <v>292</v>
      </c>
      <c r="AJ60" s="8" t="s">
        <v>2636</v>
      </c>
      <c r="AK60" s="8" t="s">
        <v>2637</v>
      </c>
      <c r="AL60" s="8" t="s">
        <v>2638</v>
      </c>
      <c r="AM60" s="8" t="s">
        <v>2612</v>
      </c>
    </row>
    <row r="61" ht="14.25" customHeight="1">
      <c r="A61" s="8">
        <v>59.0</v>
      </c>
      <c r="B61" s="8" t="s">
        <v>2639</v>
      </c>
      <c r="C61" s="8"/>
      <c r="D61" s="8" t="s">
        <v>2640</v>
      </c>
      <c r="E61" s="8" t="s">
        <v>2641</v>
      </c>
      <c r="F61" s="8" t="s">
        <v>2642</v>
      </c>
      <c r="G61" s="8"/>
      <c r="H61" s="7">
        <v>42445.0</v>
      </c>
      <c r="I61" s="7">
        <v>42459.0</v>
      </c>
      <c r="J61" s="8" t="s">
        <v>2643</v>
      </c>
      <c r="K61" s="8" t="s">
        <v>2644</v>
      </c>
      <c r="L61" s="8">
        <v>2016.0</v>
      </c>
      <c r="M61" s="8">
        <v>26.0</v>
      </c>
      <c r="N61" s="8">
        <v>2.0</v>
      </c>
      <c r="O61" s="8">
        <v>96.0</v>
      </c>
      <c r="P61" s="8">
        <v>107.0</v>
      </c>
      <c r="Q61" s="8">
        <v>2016.0</v>
      </c>
      <c r="R61" s="8" t="s">
        <v>2075</v>
      </c>
      <c r="S61" s="8"/>
      <c r="T61" s="8"/>
      <c r="U61" s="8"/>
      <c r="V61" s="8"/>
      <c r="W61" s="8" t="s">
        <v>2645</v>
      </c>
      <c r="X61" s="8"/>
      <c r="Y61" s="8" t="s">
        <v>2646</v>
      </c>
      <c r="Z61" s="8" t="s">
        <v>2647</v>
      </c>
      <c r="AA61" s="8"/>
      <c r="AB61" s="8"/>
      <c r="AC61" s="8" t="s">
        <v>2451</v>
      </c>
      <c r="AD61" s="8" t="s">
        <v>2080</v>
      </c>
      <c r="AE61" s="8" t="s">
        <v>2080</v>
      </c>
      <c r="AF61" s="8">
        <v>2.0160205638E10</v>
      </c>
      <c r="AG61" s="8">
        <v>2.6164058E7</v>
      </c>
      <c r="AH61" s="8" t="s">
        <v>2648</v>
      </c>
      <c r="AI61" s="8" t="s">
        <v>308</v>
      </c>
      <c r="AJ61" s="8" t="s">
        <v>2649</v>
      </c>
      <c r="AK61" s="8" t="s">
        <v>2650</v>
      </c>
      <c r="AL61" s="8" t="s">
        <v>2651</v>
      </c>
      <c r="AM61" s="8" t="s">
        <v>2603</v>
      </c>
    </row>
    <row r="62" ht="14.25" customHeight="1">
      <c r="A62" s="8">
        <v>60.0</v>
      </c>
      <c r="B62" s="8" t="s">
        <v>298</v>
      </c>
      <c r="C62" s="8"/>
      <c r="D62" s="8" t="s">
        <v>2652</v>
      </c>
      <c r="E62" s="8" t="s">
        <v>2653</v>
      </c>
      <c r="F62" s="8"/>
      <c r="G62" s="8"/>
      <c r="H62" s="8"/>
      <c r="I62" s="7">
        <v>42584.0</v>
      </c>
      <c r="J62" s="8" t="s">
        <v>2654</v>
      </c>
      <c r="K62" s="8" t="s">
        <v>2128</v>
      </c>
      <c r="L62" s="8">
        <v>2016.0</v>
      </c>
      <c r="M62" s="8">
        <v>44.0</v>
      </c>
      <c r="N62" s="8">
        <v>1.0</v>
      </c>
      <c r="O62" s="8">
        <v>83.0</v>
      </c>
      <c r="P62" s="8">
        <v>90.0</v>
      </c>
      <c r="Q62" s="9">
        <v>42370.0</v>
      </c>
      <c r="R62" s="8" t="s">
        <v>2075</v>
      </c>
      <c r="S62" s="8"/>
      <c r="T62" s="8"/>
      <c r="U62" s="8"/>
      <c r="V62" s="8"/>
      <c r="W62" s="8" t="s">
        <v>2129</v>
      </c>
      <c r="X62" s="8"/>
      <c r="Y62" s="8"/>
      <c r="Z62" s="8" t="s">
        <v>2655</v>
      </c>
      <c r="AA62" s="8"/>
      <c r="AB62" s="8"/>
      <c r="AC62" s="8"/>
      <c r="AD62" s="8" t="s">
        <v>2080</v>
      </c>
      <c r="AE62" s="8" t="s">
        <v>2080</v>
      </c>
      <c r="AF62" s="8"/>
      <c r="AG62" s="8">
        <v>2.6578718E7</v>
      </c>
      <c r="AH62" s="8" t="s">
        <v>2656</v>
      </c>
      <c r="AI62" s="8" t="s">
        <v>302</v>
      </c>
      <c r="AJ62" s="8" t="s">
        <v>2657</v>
      </c>
      <c r="AK62" s="8" t="s">
        <v>2658</v>
      </c>
      <c r="AL62" s="8" t="s">
        <v>2659</v>
      </c>
      <c r="AM62" s="8" t="s">
        <v>2660</v>
      </c>
    </row>
    <row r="63" ht="14.25" customHeight="1">
      <c r="A63" s="8">
        <v>61.0</v>
      </c>
      <c r="B63" s="8" t="s">
        <v>314</v>
      </c>
      <c r="C63" s="8"/>
      <c r="D63" s="8" t="s">
        <v>2661</v>
      </c>
      <c r="E63" s="8" t="s">
        <v>2662</v>
      </c>
      <c r="F63" s="8" t="s">
        <v>2663</v>
      </c>
      <c r="G63" s="8"/>
      <c r="H63" s="7">
        <v>41997.0</v>
      </c>
      <c r="I63" s="7">
        <v>42202.0</v>
      </c>
      <c r="J63" s="8" t="s">
        <v>2664</v>
      </c>
      <c r="K63" s="8" t="s">
        <v>2644</v>
      </c>
      <c r="L63" s="8">
        <v>2015.0</v>
      </c>
      <c r="M63" s="8">
        <v>25.0</v>
      </c>
      <c r="N63" s="8">
        <v>4.0</v>
      </c>
      <c r="O63" s="8">
        <v>321.0</v>
      </c>
      <c r="P63" s="8">
        <v>331.0</v>
      </c>
      <c r="Q63" s="9">
        <v>42193.0</v>
      </c>
      <c r="R63" s="8" t="s">
        <v>2075</v>
      </c>
      <c r="S63" s="8"/>
      <c r="T63" s="8"/>
      <c r="U63" s="8"/>
      <c r="V63" s="8"/>
      <c r="W63" s="8" t="s">
        <v>2645</v>
      </c>
      <c r="X63" s="8"/>
      <c r="Y63" s="8" t="s">
        <v>2646</v>
      </c>
      <c r="Z63" s="8" t="s">
        <v>2665</v>
      </c>
      <c r="AA63" s="8"/>
      <c r="AB63" s="8"/>
      <c r="AC63" s="8"/>
      <c r="AD63" s="8" t="s">
        <v>2080</v>
      </c>
      <c r="AE63" s="8" t="s">
        <v>2080</v>
      </c>
      <c r="AF63" s="8">
        <v>2.014981038E9</v>
      </c>
      <c r="AG63" s="8">
        <v>2.5514139E7</v>
      </c>
      <c r="AH63" s="8" t="s">
        <v>2666</v>
      </c>
      <c r="AI63" s="8" t="s">
        <v>317</v>
      </c>
      <c r="AJ63" s="8" t="s">
        <v>2667</v>
      </c>
      <c r="AK63" s="8" t="s">
        <v>2668</v>
      </c>
      <c r="AL63" s="8" t="s">
        <v>2669</v>
      </c>
      <c r="AM63" s="8" t="s">
        <v>2603</v>
      </c>
    </row>
    <row r="64" ht="14.25" customHeight="1">
      <c r="A64" s="8">
        <v>62.0</v>
      </c>
      <c r="B64" s="8" t="s">
        <v>324</v>
      </c>
      <c r="C64" s="8"/>
      <c r="D64" s="8" t="s">
        <v>2670</v>
      </c>
      <c r="E64" s="8" t="s">
        <v>2671</v>
      </c>
      <c r="F64" s="8" t="s">
        <v>2672</v>
      </c>
      <c r="G64" s="8"/>
      <c r="H64" s="7">
        <v>42075.0</v>
      </c>
      <c r="I64" s="7">
        <v>44404.0</v>
      </c>
      <c r="J64" s="8" t="s">
        <v>2673</v>
      </c>
      <c r="K64" s="8" t="s">
        <v>2594</v>
      </c>
      <c r="L64" s="8">
        <v>2015.0</v>
      </c>
      <c r="M64" s="8">
        <v>39.0</v>
      </c>
      <c r="N64" s="8">
        <v>3.0</v>
      </c>
      <c r="O64" s="8">
        <v>527.0</v>
      </c>
      <c r="P64" s="8">
        <v>534.0</v>
      </c>
      <c r="Q64" s="9">
        <v>42064.0</v>
      </c>
      <c r="R64" s="8" t="s">
        <v>2075</v>
      </c>
      <c r="S64" s="8"/>
      <c r="T64" s="8"/>
      <c r="U64" s="8"/>
      <c r="V64" s="8"/>
      <c r="W64" s="8" t="s">
        <v>2595</v>
      </c>
      <c r="X64" s="8"/>
      <c r="Y64" s="8" t="s">
        <v>2674</v>
      </c>
      <c r="Z64" s="8" t="s">
        <v>2675</v>
      </c>
      <c r="AA64" s="8"/>
      <c r="AB64" s="8"/>
      <c r="AC64" s="8"/>
      <c r="AD64" s="8" t="s">
        <v>2080</v>
      </c>
      <c r="AE64" s="8" t="s">
        <v>2080</v>
      </c>
      <c r="AF64" s="8"/>
      <c r="AG64" s="8">
        <v>2.5192689E7</v>
      </c>
      <c r="AH64" s="8" t="s">
        <v>2676</v>
      </c>
      <c r="AI64" s="8" t="s">
        <v>329</v>
      </c>
      <c r="AJ64" s="8" t="s">
        <v>2677</v>
      </c>
      <c r="AK64" s="8" t="s">
        <v>2678</v>
      </c>
      <c r="AL64" s="8" t="s">
        <v>2679</v>
      </c>
      <c r="AM64" s="8" t="s">
        <v>2349</v>
      </c>
    </row>
    <row r="65" ht="14.25" customHeight="1">
      <c r="A65" s="8">
        <v>63.0</v>
      </c>
      <c r="B65" s="8" t="s">
        <v>366</v>
      </c>
      <c r="C65" s="8"/>
      <c r="D65" s="8" t="s">
        <v>2680</v>
      </c>
      <c r="E65" s="8" t="s">
        <v>2681</v>
      </c>
      <c r="F65" s="8"/>
      <c r="G65" s="8"/>
      <c r="H65" s="8"/>
      <c r="I65" s="7">
        <v>42102.0</v>
      </c>
      <c r="J65" s="8" t="s">
        <v>2682</v>
      </c>
      <c r="K65" s="8" t="s">
        <v>2550</v>
      </c>
      <c r="L65" s="8">
        <v>2014.0</v>
      </c>
      <c r="M65" s="8">
        <v>22.0</v>
      </c>
      <c r="N65" s="8">
        <v>9.0</v>
      </c>
      <c r="O65" s="8">
        <v>2094.0</v>
      </c>
      <c r="P65" s="8">
        <v>2101.0</v>
      </c>
      <c r="Q65" s="9">
        <v>41883.0</v>
      </c>
      <c r="R65" s="8" t="s">
        <v>2075</v>
      </c>
      <c r="S65" s="8"/>
      <c r="T65" s="8"/>
      <c r="U65" s="8"/>
      <c r="V65" s="8"/>
      <c r="W65" s="8" t="s">
        <v>2551</v>
      </c>
      <c r="X65" s="8"/>
      <c r="Y65" s="8"/>
      <c r="Z65" s="8" t="s">
        <v>2683</v>
      </c>
      <c r="AA65" s="8"/>
      <c r="AB65" s="8"/>
      <c r="AC65" s="8"/>
      <c r="AD65" s="8" t="s">
        <v>2080</v>
      </c>
      <c r="AE65" s="8" t="s">
        <v>2080</v>
      </c>
      <c r="AF65" s="8"/>
      <c r="AG65" s="8">
        <v>2.3974633E7</v>
      </c>
      <c r="AH65" s="8" t="s">
        <v>2684</v>
      </c>
      <c r="AI65" s="8" t="s">
        <v>370</v>
      </c>
      <c r="AJ65" s="8" t="s">
        <v>2685</v>
      </c>
      <c r="AK65" s="8" t="s">
        <v>2686</v>
      </c>
      <c r="AL65" s="8" t="s">
        <v>2687</v>
      </c>
      <c r="AM65" s="8" t="s">
        <v>2688</v>
      </c>
    </row>
    <row r="66" ht="14.25" customHeight="1">
      <c r="A66" s="8">
        <v>64.0</v>
      </c>
      <c r="B66" s="8" t="s">
        <v>361</v>
      </c>
      <c r="C66" s="8"/>
      <c r="D66" s="8" t="s">
        <v>2689</v>
      </c>
      <c r="E66" s="8" t="s">
        <v>2690</v>
      </c>
      <c r="F66" s="8"/>
      <c r="G66" s="8"/>
      <c r="H66" s="8"/>
      <c r="I66" s="7">
        <v>42102.0</v>
      </c>
      <c r="J66" s="8" t="s">
        <v>2691</v>
      </c>
      <c r="K66" s="8" t="s">
        <v>2550</v>
      </c>
      <c r="L66" s="8">
        <v>2014.0</v>
      </c>
      <c r="M66" s="8">
        <v>22.0</v>
      </c>
      <c r="N66" s="8">
        <v>9.0</v>
      </c>
      <c r="O66" s="8">
        <v>2109.0</v>
      </c>
      <c r="P66" s="8">
        <v>2120.0</v>
      </c>
      <c r="Q66" s="9">
        <v>41883.0</v>
      </c>
      <c r="R66" s="8" t="s">
        <v>2075</v>
      </c>
      <c r="S66" s="8"/>
      <c r="T66" s="8"/>
      <c r="U66" s="8"/>
      <c r="V66" s="8"/>
      <c r="W66" s="8" t="s">
        <v>2551</v>
      </c>
      <c r="X66" s="8"/>
      <c r="Y66" s="8"/>
      <c r="Z66" s="8" t="s">
        <v>2692</v>
      </c>
      <c r="AA66" s="8" t="s">
        <v>2693</v>
      </c>
      <c r="AB66" s="8"/>
      <c r="AC66" s="8"/>
      <c r="AD66" s="8" t="s">
        <v>2080</v>
      </c>
      <c r="AE66" s="8" t="s">
        <v>2080</v>
      </c>
      <c r="AF66" s="8"/>
      <c r="AG66" s="8">
        <v>2.3996068E7</v>
      </c>
      <c r="AH66" s="8" t="s">
        <v>2694</v>
      </c>
      <c r="AI66" s="8" t="s">
        <v>365</v>
      </c>
      <c r="AJ66" s="8" t="s">
        <v>2695</v>
      </c>
      <c r="AK66" s="8" t="s">
        <v>2696</v>
      </c>
      <c r="AL66" s="8" t="s">
        <v>2697</v>
      </c>
      <c r="AM66" s="8" t="s">
        <v>2688</v>
      </c>
    </row>
    <row r="67" ht="14.25" customHeight="1">
      <c r="A67" s="8">
        <v>65.0</v>
      </c>
      <c r="B67" s="8" t="s">
        <v>371</v>
      </c>
      <c r="C67" s="8"/>
      <c r="D67" s="8" t="s">
        <v>2698</v>
      </c>
      <c r="E67" s="8" t="s">
        <v>2699</v>
      </c>
      <c r="F67" s="8"/>
      <c r="G67" s="8"/>
      <c r="H67" s="8"/>
      <c r="I67" s="7">
        <v>42047.0</v>
      </c>
      <c r="J67" s="8" t="s">
        <v>2700</v>
      </c>
      <c r="K67" s="8" t="s">
        <v>2550</v>
      </c>
      <c r="L67" s="8">
        <v>2014.0</v>
      </c>
      <c r="M67" s="8">
        <v>22.0</v>
      </c>
      <c r="N67" s="8">
        <v>5.0</v>
      </c>
      <c r="O67" s="8">
        <v>1156.0</v>
      </c>
      <c r="P67" s="8">
        <v>1162.0</v>
      </c>
      <c r="Q67" s="9">
        <v>41760.0</v>
      </c>
      <c r="R67" s="8" t="s">
        <v>2075</v>
      </c>
      <c r="S67" s="8"/>
      <c r="T67" s="8"/>
      <c r="U67" s="8"/>
      <c r="V67" s="8"/>
      <c r="W67" s="8" t="s">
        <v>2551</v>
      </c>
      <c r="X67" s="8"/>
      <c r="Y67" s="8"/>
      <c r="Z67" s="8" t="s">
        <v>2701</v>
      </c>
      <c r="AA67" s="8"/>
      <c r="AB67" s="8"/>
      <c r="AC67" s="8"/>
      <c r="AD67" s="8" t="s">
        <v>2080</v>
      </c>
      <c r="AE67" s="8" t="s">
        <v>2080</v>
      </c>
      <c r="AF67" s="8"/>
      <c r="AG67" s="8">
        <v>2.3807029E7</v>
      </c>
      <c r="AH67" s="8" t="s">
        <v>2702</v>
      </c>
      <c r="AI67" s="8" t="s">
        <v>375</v>
      </c>
      <c r="AJ67" s="8" t="s">
        <v>2703</v>
      </c>
      <c r="AK67" s="8" t="s">
        <v>2704</v>
      </c>
      <c r="AL67" s="8" t="s">
        <v>2705</v>
      </c>
      <c r="AM67" s="8" t="s">
        <v>2688</v>
      </c>
    </row>
    <row r="68" ht="14.25" customHeight="1">
      <c r="A68" s="8">
        <v>66.0</v>
      </c>
      <c r="B68" s="8" t="s">
        <v>2706</v>
      </c>
      <c r="C68" s="8"/>
      <c r="D68" s="8" t="s">
        <v>2707</v>
      </c>
      <c r="E68" s="8" t="s">
        <v>2708</v>
      </c>
      <c r="F68" s="8" t="s">
        <v>2709</v>
      </c>
      <c r="G68" s="8"/>
      <c r="H68" s="8"/>
      <c r="I68" s="7">
        <v>41950.0</v>
      </c>
      <c r="J68" s="8" t="s">
        <v>2710</v>
      </c>
      <c r="K68" s="8" t="s">
        <v>2128</v>
      </c>
      <c r="L68" s="8">
        <v>2014.0</v>
      </c>
      <c r="M68" s="8">
        <v>42.0</v>
      </c>
      <c r="N68" s="8">
        <v>5.0</v>
      </c>
      <c r="O68" s="8">
        <v>1049.0</v>
      </c>
      <c r="P68" s="8">
        <v>1057.0</v>
      </c>
      <c r="Q68" s="10">
        <v>46156.0</v>
      </c>
      <c r="R68" s="8" t="s">
        <v>2075</v>
      </c>
      <c r="S68" s="8"/>
      <c r="T68" s="8"/>
      <c r="U68" s="8"/>
      <c r="V68" s="8"/>
      <c r="W68" s="8" t="s">
        <v>2129</v>
      </c>
      <c r="X68" s="8"/>
      <c r="Y68" s="8"/>
      <c r="Z68" s="8" t="s">
        <v>2711</v>
      </c>
      <c r="AA68" s="8"/>
      <c r="AB68" s="8"/>
      <c r="AC68" s="8"/>
      <c r="AD68" s="8" t="s">
        <v>2080</v>
      </c>
      <c r="AE68" s="8"/>
      <c r="AF68" s="8"/>
      <c r="AG68" s="8">
        <v>2.4644301E7</v>
      </c>
      <c r="AH68" s="8" t="s">
        <v>2712</v>
      </c>
      <c r="AI68" s="8"/>
      <c r="AJ68" s="8"/>
      <c r="AK68" s="8" t="s">
        <v>2713</v>
      </c>
      <c r="AL68" s="8" t="s">
        <v>2714</v>
      </c>
      <c r="AM68" s="8" t="s">
        <v>2715</v>
      </c>
    </row>
    <row r="69" ht="14.25" customHeight="1">
      <c r="A69" s="8">
        <v>67.0</v>
      </c>
      <c r="B69" s="8" t="s">
        <v>2716</v>
      </c>
      <c r="C69" s="8"/>
      <c r="D69" s="8" t="s">
        <v>2717</v>
      </c>
      <c r="E69" s="8" t="s">
        <v>2718</v>
      </c>
      <c r="F69" s="8" t="s">
        <v>2719</v>
      </c>
      <c r="G69" s="8"/>
      <c r="H69" s="7">
        <v>41718.0</v>
      </c>
      <c r="I69" s="7">
        <v>41757.0</v>
      </c>
      <c r="J69" s="8" t="s">
        <v>2720</v>
      </c>
      <c r="K69" s="8" t="s">
        <v>2241</v>
      </c>
      <c r="L69" s="8">
        <v>2014.0</v>
      </c>
      <c r="M69" s="8">
        <v>30.0</v>
      </c>
      <c r="N69" s="8">
        <v>5.0</v>
      </c>
      <c r="O69" s="8">
        <v>593.0</v>
      </c>
      <c r="P69" s="8">
        <v>598.0</v>
      </c>
      <c r="Q69" s="10">
        <v>46156.0</v>
      </c>
      <c r="R69" s="8" t="s">
        <v>2075</v>
      </c>
      <c r="S69" s="8"/>
      <c r="T69" s="8"/>
      <c r="U69" s="8"/>
      <c r="V69" s="8"/>
      <c r="W69" s="8" t="s">
        <v>2242</v>
      </c>
      <c r="X69" s="8"/>
      <c r="Y69" s="8" t="s">
        <v>2243</v>
      </c>
      <c r="Z69" s="8" t="s">
        <v>2721</v>
      </c>
      <c r="AA69" s="8"/>
      <c r="AB69" s="8"/>
      <c r="AC69" s="8"/>
      <c r="AD69" s="8" t="s">
        <v>2080</v>
      </c>
      <c r="AE69" s="8" t="s">
        <v>2080</v>
      </c>
      <c r="AF69" s="8">
        <v>2.014250704E9</v>
      </c>
      <c r="AG69" s="8">
        <v>2.4630956E7</v>
      </c>
      <c r="AH69" s="8" t="s">
        <v>2722</v>
      </c>
      <c r="AI69" s="8" t="s">
        <v>355</v>
      </c>
      <c r="AJ69" s="8" t="s">
        <v>2723</v>
      </c>
      <c r="AK69" s="8" t="s">
        <v>2724</v>
      </c>
      <c r="AL69" s="8" t="s">
        <v>2725</v>
      </c>
      <c r="AM69" s="8" t="s">
        <v>2726</v>
      </c>
    </row>
    <row r="70" ht="14.25" customHeight="1">
      <c r="A70" s="8">
        <v>68.0</v>
      </c>
      <c r="B70" s="8" t="s">
        <v>2727</v>
      </c>
      <c r="C70" s="8"/>
      <c r="D70" s="8" t="s">
        <v>2728</v>
      </c>
      <c r="E70" s="8" t="s">
        <v>2729</v>
      </c>
      <c r="F70" s="8" t="s">
        <v>2730</v>
      </c>
      <c r="G70" s="8"/>
      <c r="H70" s="7">
        <v>41799.0</v>
      </c>
      <c r="I70" s="7">
        <v>41841.0</v>
      </c>
      <c r="J70" s="8" t="s">
        <v>2731</v>
      </c>
      <c r="K70" s="8" t="s">
        <v>2369</v>
      </c>
      <c r="L70" s="8">
        <v>2014.0</v>
      </c>
      <c r="M70" s="8">
        <v>134.0</v>
      </c>
      <c r="N70" s="8">
        <v>7.0</v>
      </c>
      <c r="O70" s="8">
        <v>955.0</v>
      </c>
      <c r="P70" s="8">
        <v>962.0</v>
      </c>
      <c r="Q70" s="10">
        <v>46217.0</v>
      </c>
      <c r="R70" s="8" t="s">
        <v>2075</v>
      </c>
      <c r="S70" s="8"/>
      <c r="T70" s="8"/>
      <c r="U70" s="8"/>
      <c r="V70" s="8"/>
      <c r="W70" s="8" t="s">
        <v>2370</v>
      </c>
      <c r="X70" s="8"/>
      <c r="Y70" s="8" t="s">
        <v>2577</v>
      </c>
      <c r="Z70" s="8" t="s">
        <v>2732</v>
      </c>
      <c r="AA70" s="8"/>
      <c r="AB70" s="8"/>
      <c r="AC70" s="8"/>
      <c r="AD70" s="8" t="s">
        <v>2080</v>
      </c>
      <c r="AE70" s="8" t="s">
        <v>2080</v>
      </c>
      <c r="AF70" s="8">
        <v>2.014456741E9</v>
      </c>
      <c r="AG70" s="8">
        <v>2.4756534E7</v>
      </c>
      <c r="AH70" s="8" t="s">
        <v>2733</v>
      </c>
      <c r="AI70" s="8" t="s">
        <v>345</v>
      </c>
      <c r="AJ70" s="8" t="s">
        <v>2734</v>
      </c>
      <c r="AK70" s="8" t="s">
        <v>2735</v>
      </c>
      <c r="AL70" s="8" t="s">
        <v>2736</v>
      </c>
      <c r="AM70" s="8" t="s">
        <v>2726</v>
      </c>
    </row>
    <row r="71" ht="14.25" customHeight="1">
      <c r="A71" s="8">
        <v>69.0</v>
      </c>
      <c r="B71" s="8" t="s">
        <v>318</v>
      </c>
      <c r="C71" s="8"/>
      <c r="D71" s="8" t="s">
        <v>2737</v>
      </c>
      <c r="E71" s="8" t="s">
        <v>2738</v>
      </c>
      <c r="F71" s="8" t="s">
        <v>2739</v>
      </c>
      <c r="G71" s="8"/>
      <c r="H71" s="7">
        <v>42045.0</v>
      </c>
      <c r="I71" s="7">
        <v>42047.0</v>
      </c>
      <c r="J71" s="8" t="s">
        <v>2740</v>
      </c>
      <c r="K71" s="8" t="s">
        <v>322</v>
      </c>
      <c r="L71" s="8">
        <v>2014.0</v>
      </c>
      <c r="M71" s="8">
        <v>45.0</v>
      </c>
      <c r="N71" s="8" t="s">
        <v>2741</v>
      </c>
      <c r="O71" s="8" t="s">
        <v>2742</v>
      </c>
      <c r="P71" s="8" t="s">
        <v>2743</v>
      </c>
      <c r="Q71" s="9">
        <v>41913.0</v>
      </c>
      <c r="R71" s="8" t="s">
        <v>2075</v>
      </c>
      <c r="S71" s="8"/>
      <c r="T71" s="8"/>
      <c r="U71" s="8"/>
      <c r="V71" s="8"/>
      <c r="W71" s="8" t="s">
        <v>2744</v>
      </c>
      <c r="X71" s="8"/>
      <c r="Y71" s="8" t="s">
        <v>2077</v>
      </c>
      <c r="Z71" s="8" t="s">
        <v>2745</v>
      </c>
      <c r="AA71" s="8" t="s">
        <v>2359</v>
      </c>
      <c r="AB71" s="8"/>
      <c r="AC71" s="8"/>
      <c r="AD71" s="8" t="s">
        <v>2080</v>
      </c>
      <c r="AE71" s="8" t="s">
        <v>2080</v>
      </c>
      <c r="AF71" s="8">
        <v>2.015715119E9</v>
      </c>
      <c r="AG71" s="8">
        <v>2.5384473E7</v>
      </c>
      <c r="AH71" s="8" t="s">
        <v>2746</v>
      </c>
      <c r="AI71" s="8" t="s">
        <v>323</v>
      </c>
      <c r="AJ71" s="8" t="s">
        <v>2747</v>
      </c>
      <c r="AK71" s="8" t="s">
        <v>2748</v>
      </c>
      <c r="AL71" s="8" t="s">
        <v>2749</v>
      </c>
      <c r="AM71" s="8" t="s">
        <v>2750</v>
      </c>
    </row>
    <row r="72" ht="14.25" customHeight="1">
      <c r="A72" s="8">
        <v>70.0</v>
      </c>
      <c r="B72" s="8" t="s">
        <v>393</v>
      </c>
      <c r="C72" s="8"/>
      <c r="D72" s="8" t="s">
        <v>2751</v>
      </c>
      <c r="E72" s="8" t="s">
        <v>2752</v>
      </c>
      <c r="F72" s="8" t="s">
        <v>2753</v>
      </c>
      <c r="G72" s="8"/>
      <c r="H72" s="8"/>
      <c r="I72" s="7">
        <v>41451.0</v>
      </c>
      <c r="J72" s="8" t="s">
        <v>2754</v>
      </c>
      <c r="K72" s="8" t="s">
        <v>2755</v>
      </c>
      <c r="L72" s="8">
        <v>2013.0</v>
      </c>
      <c r="M72" s="8">
        <v>21.0</v>
      </c>
      <c r="N72" s="8">
        <v>3.0</v>
      </c>
      <c r="O72" s="8">
        <v>576.0</v>
      </c>
      <c r="P72" s="8">
        <v>583.0</v>
      </c>
      <c r="Q72" s="8">
        <v>2013.0</v>
      </c>
      <c r="R72" s="8" t="s">
        <v>2075</v>
      </c>
      <c r="S72" s="8"/>
      <c r="T72" s="8"/>
      <c r="U72" s="8"/>
      <c r="V72" s="8"/>
      <c r="W72" s="8" t="s">
        <v>2756</v>
      </c>
      <c r="X72" s="8"/>
      <c r="Y72" s="8" t="s">
        <v>2757</v>
      </c>
      <c r="Z72" s="8" t="s">
        <v>2758</v>
      </c>
      <c r="AA72" s="8"/>
      <c r="AB72" s="8"/>
      <c r="AC72" s="8"/>
      <c r="AD72" s="8" t="s">
        <v>2080</v>
      </c>
      <c r="AE72" s="8" t="s">
        <v>2080</v>
      </c>
      <c r="AF72" s="8"/>
      <c r="AG72" s="8">
        <v>2.2407182E7</v>
      </c>
      <c r="AH72" s="8" t="s">
        <v>2759</v>
      </c>
      <c r="AI72" s="8" t="s">
        <v>397</v>
      </c>
      <c r="AJ72" s="8" t="s">
        <v>2760</v>
      </c>
      <c r="AK72" s="8" t="s">
        <v>2761</v>
      </c>
      <c r="AL72" s="8" t="s">
        <v>2762</v>
      </c>
      <c r="AM72" s="8" t="s">
        <v>2763</v>
      </c>
    </row>
    <row r="73" ht="14.25" customHeight="1">
      <c r="A73" s="8">
        <v>71.0</v>
      </c>
      <c r="B73" s="8" t="s">
        <v>2764</v>
      </c>
      <c r="C73" s="8"/>
      <c r="D73" s="8" t="s">
        <v>2765</v>
      </c>
      <c r="E73" s="8" t="s">
        <v>2766</v>
      </c>
      <c r="F73" s="8" t="s">
        <v>2767</v>
      </c>
      <c r="G73" s="8"/>
      <c r="H73" s="8"/>
      <c r="I73" s="7">
        <v>41743.0</v>
      </c>
      <c r="J73" s="8" t="s">
        <v>2768</v>
      </c>
      <c r="K73" s="8" t="s">
        <v>2755</v>
      </c>
      <c r="L73" s="8">
        <v>2013.0</v>
      </c>
      <c r="M73" s="8">
        <v>21.0</v>
      </c>
      <c r="N73" s="8">
        <v>9.0</v>
      </c>
      <c r="O73" s="8">
        <v>2107.0</v>
      </c>
      <c r="P73" s="8">
        <v>2112.0</v>
      </c>
      <c r="Q73" s="10">
        <v>46278.0</v>
      </c>
      <c r="R73" s="8" t="s">
        <v>2075</v>
      </c>
      <c r="S73" s="8"/>
      <c r="T73" s="8"/>
      <c r="U73" s="8"/>
      <c r="V73" s="8"/>
      <c r="W73" s="8" t="s">
        <v>2769</v>
      </c>
      <c r="X73" s="8"/>
      <c r="Y73" s="8"/>
      <c r="Z73" s="8" t="s">
        <v>2770</v>
      </c>
      <c r="AA73" s="8"/>
      <c r="AB73" s="8"/>
      <c r="AC73" s="8"/>
      <c r="AD73" s="8" t="s">
        <v>2080</v>
      </c>
      <c r="AE73" s="8" t="s">
        <v>2080</v>
      </c>
      <c r="AF73" s="8"/>
      <c r="AG73" s="8">
        <v>2.3203337E7</v>
      </c>
      <c r="AH73" s="8" t="s">
        <v>2771</v>
      </c>
      <c r="AI73" s="8" t="s">
        <v>387</v>
      </c>
      <c r="AJ73" s="8" t="s">
        <v>2772</v>
      </c>
      <c r="AK73" s="8" t="s">
        <v>2773</v>
      </c>
      <c r="AL73" s="8" t="s">
        <v>2774</v>
      </c>
      <c r="AM73" s="8" t="s">
        <v>2715</v>
      </c>
    </row>
    <row r="74" ht="14.25" customHeight="1">
      <c r="A74" s="8">
        <v>72.0</v>
      </c>
      <c r="B74" s="8" t="s">
        <v>2775</v>
      </c>
      <c r="C74" s="8"/>
      <c r="D74" s="8" t="s">
        <v>2776</v>
      </c>
      <c r="E74" s="8" t="s">
        <v>2777</v>
      </c>
      <c r="F74" s="8" t="s">
        <v>2778</v>
      </c>
      <c r="G74" s="8"/>
      <c r="H74" s="8"/>
      <c r="I74" s="7">
        <v>42053.0</v>
      </c>
      <c r="J74" s="8" t="s">
        <v>2779</v>
      </c>
      <c r="K74" s="8" t="s">
        <v>2128</v>
      </c>
      <c r="L74" s="8">
        <v>2013.0</v>
      </c>
      <c r="M74" s="8">
        <v>41.0</v>
      </c>
      <c r="N74" s="8">
        <v>11.0</v>
      </c>
      <c r="O74" s="8">
        <v>2492.0</v>
      </c>
      <c r="P74" s="8">
        <v>2499.0</v>
      </c>
      <c r="Q74" s="10">
        <v>46339.0</v>
      </c>
      <c r="R74" s="8" t="s">
        <v>2075</v>
      </c>
      <c r="S74" s="8"/>
      <c r="T74" s="8"/>
      <c r="U74" s="8"/>
      <c r="V74" s="8"/>
      <c r="W74" s="8" t="s">
        <v>2129</v>
      </c>
      <c r="X74" s="8"/>
      <c r="Y74" s="8"/>
      <c r="Z74" s="8" t="s">
        <v>2780</v>
      </c>
      <c r="AA74" s="8"/>
      <c r="AB74" s="8"/>
      <c r="AC74" s="8"/>
      <c r="AD74" s="8" t="s">
        <v>2080</v>
      </c>
      <c r="AE74" s="8"/>
      <c r="AF74" s="8"/>
      <c r="AG74" s="8">
        <v>2.4001575E7</v>
      </c>
      <c r="AH74" s="8" t="s">
        <v>2781</v>
      </c>
      <c r="AI74" s="8"/>
      <c r="AJ74" s="8"/>
      <c r="AK74" s="8" t="s">
        <v>2782</v>
      </c>
      <c r="AL74" s="8" t="s">
        <v>2783</v>
      </c>
      <c r="AM74" s="8" t="s">
        <v>2688</v>
      </c>
    </row>
    <row r="75" ht="14.25" customHeight="1">
      <c r="A75" s="8">
        <v>73.0</v>
      </c>
      <c r="B75" s="8" t="s">
        <v>388</v>
      </c>
      <c r="C75" s="8"/>
      <c r="D75" s="8" t="s">
        <v>2784</v>
      </c>
      <c r="E75" s="8" t="s">
        <v>2785</v>
      </c>
      <c r="F75" s="8" t="s">
        <v>2786</v>
      </c>
      <c r="G75" s="8"/>
      <c r="H75" s="7">
        <v>40987.0</v>
      </c>
      <c r="I75" s="7">
        <v>41229.0</v>
      </c>
      <c r="J75" s="8" t="s">
        <v>2787</v>
      </c>
      <c r="K75" s="8" t="s">
        <v>180</v>
      </c>
      <c r="L75" s="8">
        <v>2012.0</v>
      </c>
      <c r="M75" s="8">
        <v>19.0</v>
      </c>
      <c r="N75" s="8">
        <v>6.0</v>
      </c>
      <c r="O75" s="8">
        <v>779.0</v>
      </c>
      <c r="P75" s="8">
        <v>785.0</v>
      </c>
      <c r="Q75" s="10">
        <v>46368.0</v>
      </c>
      <c r="R75" s="8" t="s">
        <v>2075</v>
      </c>
      <c r="S75" s="8"/>
      <c r="T75" s="8"/>
      <c r="U75" s="8"/>
      <c r="V75" s="8"/>
      <c r="W75" s="8" t="s">
        <v>2788</v>
      </c>
      <c r="X75" s="8"/>
      <c r="Y75" s="8" t="s">
        <v>2789</v>
      </c>
      <c r="Z75" s="8" t="s">
        <v>2790</v>
      </c>
      <c r="AA75" s="8"/>
      <c r="AB75" s="8"/>
      <c r="AC75" s="8" t="s">
        <v>2791</v>
      </c>
      <c r="AD75" s="8" t="s">
        <v>2080</v>
      </c>
      <c r="AE75" s="8" t="s">
        <v>2080</v>
      </c>
      <c r="AF75" s="8">
        <v>2.012640306E9</v>
      </c>
      <c r="AG75" s="8">
        <v>2.2425308E7</v>
      </c>
      <c r="AH75" s="8" t="s">
        <v>2792</v>
      </c>
      <c r="AI75" s="8" t="s">
        <v>392</v>
      </c>
      <c r="AJ75" s="8" t="s">
        <v>2793</v>
      </c>
      <c r="AK75" s="8" t="s">
        <v>2794</v>
      </c>
      <c r="AL75" s="8" t="s">
        <v>2795</v>
      </c>
      <c r="AM75" s="8" t="s">
        <v>2796</v>
      </c>
    </row>
    <row r="76" ht="14.25" customHeight="1">
      <c r="A76" s="8">
        <v>74.0</v>
      </c>
      <c r="B76" s="8" t="s">
        <v>2797</v>
      </c>
      <c r="C76" s="8"/>
      <c r="D76" s="8" t="s">
        <v>2798</v>
      </c>
      <c r="E76" s="8" t="s">
        <v>2799</v>
      </c>
      <c r="F76" s="8" t="s">
        <v>2800</v>
      </c>
      <c r="G76" s="8"/>
      <c r="H76" s="8"/>
      <c r="I76" s="7">
        <v>40966.0</v>
      </c>
      <c r="J76" s="8" t="s">
        <v>2801</v>
      </c>
      <c r="K76" s="8" t="s">
        <v>2128</v>
      </c>
      <c r="L76" s="8">
        <v>2011.0</v>
      </c>
      <c r="M76" s="8">
        <v>39.0</v>
      </c>
      <c r="N76" s="8">
        <v>10.0</v>
      </c>
      <c r="O76" s="8">
        <v>2161.0</v>
      </c>
      <c r="P76" s="8">
        <v>2169.0</v>
      </c>
      <c r="Q76" s="10">
        <v>46306.0</v>
      </c>
      <c r="R76" s="8" t="s">
        <v>2075</v>
      </c>
      <c r="S76" s="8"/>
      <c r="T76" s="8"/>
      <c r="U76" s="8"/>
      <c r="V76" s="8"/>
      <c r="W76" s="8" t="s">
        <v>2129</v>
      </c>
      <c r="X76" s="8"/>
      <c r="Y76" s="8"/>
      <c r="Z76" s="8" t="s">
        <v>2802</v>
      </c>
      <c r="AA76" s="8"/>
      <c r="AB76" s="8"/>
      <c r="AC76" s="8"/>
      <c r="AD76" s="8" t="s">
        <v>2080</v>
      </c>
      <c r="AE76" s="8"/>
      <c r="AF76" s="8"/>
      <c r="AG76" s="8">
        <v>2.1712483E7</v>
      </c>
      <c r="AH76" s="8" t="s">
        <v>2803</v>
      </c>
      <c r="AI76" s="8"/>
      <c r="AJ76" s="8"/>
      <c r="AK76" s="8" t="s">
        <v>2804</v>
      </c>
      <c r="AL76" s="8" t="s">
        <v>2805</v>
      </c>
      <c r="AM76" s="8" t="s">
        <v>2763</v>
      </c>
    </row>
    <row r="77" ht="14.25" customHeight="1">
      <c r="A77" s="8">
        <v>75.0</v>
      </c>
      <c r="B77" s="8" t="s">
        <v>2806</v>
      </c>
      <c r="C77" s="8"/>
      <c r="D77" s="8" t="s">
        <v>2807</v>
      </c>
      <c r="E77" s="8" t="s">
        <v>2808</v>
      </c>
      <c r="F77" s="8" t="s">
        <v>2809</v>
      </c>
      <c r="G77" s="8"/>
      <c r="H77" s="8"/>
      <c r="I77" s="7">
        <v>40723.0</v>
      </c>
      <c r="J77" s="8" t="s">
        <v>2810</v>
      </c>
      <c r="K77" s="8" t="s">
        <v>2755</v>
      </c>
      <c r="L77" s="8">
        <v>2011.0</v>
      </c>
      <c r="M77" s="8">
        <v>19.0</v>
      </c>
      <c r="N77" s="8">
        <v>3.0</v>
      </c>
      <c r="O77" s="8">
        <v>390.0</v>
      </c>
      <c r="P77" s="8">
        <v>397.0</v>
      </c>
      <c r="Q77" s="8">
        <v>2011.0</v>
      </c>
      <c r="R77" s="8" t="s">
        <v>2075</v>
      </c>
      <c r="S77" s="8"/>
      <c r="T77" s="8"/>
      <c r="U77" s="8"/>
      <c r="V77" s="8"/>
      <c r="W77" s="8" t="s">
        <v>2756</v>
      </c>
      <c r="X77" s="8"/>
      <c r="Y77" s="8" t="s">
        <v>2757</v>
      </c>
      <c r="Z77" s="8" t="s">
        <v>2811</v>
      </c>
      <c r="AA77" s="8"/>
      <c r="AB77" s="8"/>
      <c r="AC77" s="8"/>
      <c r="AD77" s="8" t="s">
        <v>2080</v>
      </c>
      <c r="AE77" s="8" t="s">
        <v>2080</v>
      </c>
      <c r="AF77" s="8"/>
      <c r="AG77" s="8">
        <v>2.0668835E7</v>
      </c>
      <c r="AH77" s="8" t="s">
        <v>2812</v>
      </c>
      <c r="AI77" s="8" t="s">
        <v>447</v>
      </c>
      <c r="AJ77" s="8" t="s">
        <v>2813</v>
      </c>
      <c r="AK77" s="8" t="s">
        <v>2814</v>
      </c>
      <c r="AL77" s="8" t="s">
        <v>2815</v>
      </c>
      <c r="AM77" s="8" t="s">
        <v>2763</v>
      </c>
    </row>
    <row r="78" ht="14.25" customHeight="1">
      <c r="A78" s="8">
        <v>76.0</v>
      </c>
      <c r="B78" s="8" t="s">
        <v>2816</v>
      </c>
      <c r="C78" s="8"/>
      <c r="D78" s="8" t="s">
        <v>2817</v>
      </c>
      <c r="E78" s="8" t="s">
        <v>2818</v>
      </c>
      <c r="F78" s="8" t="s">
        <v>2819</v>
      </c>
      <c r="G78" s="8"/>
      <c r="H78" s="7">
        <v>40660.0</v>
      </c>
      <c r="I78" s="7">
        <v>40665.0</v>
      </c>
      <c r="J78" s="8" t="s">
        <v>2820</v>
      </c>
      <c r="K78" s="8" t="s">
        <v>2241</v>
      </c>
      <c r="L78" s="8">
        <v>2011.0</v>
      </c>
      <c r="M78" s="8">
        <v>27.0</v>
      </c>
      <c r="N78" s="8">
        <v>5.0</v>
      </c>
      <c r="O78" s="8">
        <v>653.0</v>
      </c>
      <c r="P78" s="8">
        <v>665.0</v>
      </c>
      <c r="Q78" s="10">
        <v>46153.0</v>
      </c>
      <c r="R78" s="8" t="s">
        <v>2075</v>
      </c>
      <c r="S78" s="8"/>
      <c r="T78" s="8"/>
      <c r="U78" s="8"/>
      <c r="V78" s="8"/>
      <c r="W78" s="8" t="s">
        <v>2821</v>
      </c>
      <c r="X78" s="8"/>
      <c r="Y78" s="8" t="s">
        <v>2822</v>
      </c>
      <c r="Z78" s="8" t="s">
        <v>2823</v>
      </c>
      <c r="AA78" s="8"/>
      <c r="AB78" s="8"/>
      <c r="AC78" s="8"/>
      <c r="AD78" s="8" t="s">
        <v>2080</v>
      </c>
      <c r="AE78" s="8" t="s">
        <v>2080</v>
      </c>
      <c r="AF78" s="8">
        <v>2.011213919E9</v>
      </c>
      <c r="AG78" s="8">
        <v>2.1663722E7</v>
      </c>
      <c r="AH78" s="8" t="s">
        <v>2824</v>
      </c>
      <c r="AI78" s="8" t="s">
        <v>421</v>
      </c>
      <c r="AJ78" s="8" t="s">
        <v>2825</v>
      </c>
      <c r="AK78" s="8" t="s">
        <v>2826</v>
      </c>
      <c r="AL78" s="8" t="s">
        <v>2827</v>
      </c>
      <c r="AM78" s="8" t="s">
        <v>2828</v>
      </c>
    </row>
    <row r="79" ht="14.25" customHeight="1">
      <c r="A79" s="8">
        <v>77.0</v>
      </c>
      <c r="B79" s="8" t="s">
        <v>432</v>
      </c>
      <c r="C79" s="8"/>
      <c r="D79" s="8" t="s">
        <v>2829</v>
      </c>
      <c r="E79" s="8" t="s">
        <v>2830</v>
      </c>
      <c r="F79" s="8" t="s">
        <v>2831</v>
      </c>
      <c r="G79" s="8"/>
      <c r="H79" s="8"/>
      <c r="I79" s="7">
        <v>40814.0</v>
      </c>
      <c r="J79" s="8" t="s">
        <v>2832</v>
      </c>
      <c r="K79" s="8" t="s">
        <v>2755</v>
      </c>
      <c r="L79" s="8">
        <v>2011.0</v>
      </c>
      <c r="M79" s="8">
        <v>19.0</v>
      </c>
      <c r="N79" s="8">
        <v>5.0</v>
      </c>
      <c r="O79" s="8">
        <v>753.0</v>
      </c>
      <c r="P79" s="8">
        <v>759.0</v>
      </c>
      <c r="Q79" s="10">
        <v>46153.0</v>
      </c>
      <c r="R79" s="8" t="s">
        <v>2075</v>
      </c>
      <c r="S79" s="8"/>
      <c r="T79" s="8"/>
      <c r="U79" s="8"/>
      <c r="V79" s="8"/>
      <c r="W79" s="8" t="s">
        <v>2756</v>
      </c>
      <c r="X79" s="8"/>
      <c r="Y79" s="8" t="s">
        <v>2757</v>
      </c>
      <c r="Z79" s="8" t="s">
        <v>2833</v>
      </c>
      <c r="AA79" s="8" t="s">
        <v>2834</v>
      </c>
      <c r="AB79" s="8"/>
      <c r="AC79" s="8"/>
      <c r="AD79" s="8" t="s">
        <v>2080</v>
      </c>
      <c r="AE79" s="8" t="s">
        <v>2080</v>
      </c>
      <c r="AF79" s="8"/>
      <c r="AG79" s="8">
        <v>2.1234545E7</v>
      </c>
      <c r="AH79" s="8" t="s">
        <v>2835</v>
      </c>
      <c r="AI79" s="8" t="s">
        <v>437</v>
      </c>
      <c r="AJ79" s="8" t="s">
        <v>2836</v>
      </c>
      <c r="AK79" s="8" t="s">
        <v>2837</v>
      </c>
      <c r="AL79" s="8" t="s">
        <v>2838</v>
      </c>
      <c r="AM79" s="8" t="s">
        <v>2763</v>
      </c>
    </row>
    <row r="80" ht="14.25" customHeight="1">
      <c r="A80" s="8">
        <v>78.0</v>
      </c>
      <c r="B80" s="8" t="s">
        <v>2839</v>
      </c>
      <c r="C80" s="8"/>
      <c r="D80" s="8" t="s">
        <v>2840</v>
      </c>
      <c r="E80" s="8" t="s">
        <v>2841</v>
      </c>
      <c r="F80" s="8" t="s">
        <v>2842</v>
      </c>
      <c r="G80" s="8"/>
      <c r="H80" s="8"/>
      <c r="I80" s="7">
        <v>40641.0</v>
      </c>
      <c r="J80" s="8" t="s">
        <v>2843</v>
      </c>
      <c r="K80" s="8" t="s">
        <v>2755</v>
      </c>
      <c r="L80" s="8">
        <v>2010.0</v>
      </c>
      <c r="M80" s="8">
        <v>18.0</v>
      </c>
      <c r="N80" s="8">
        <v>8.0</v>
      </c>
      <c r="O80" s="8">
        <v>1085.0</v>
      </c>
      <c r="P80" s="8">
        <v>1093.0</v>
      </c>
      <c r="Q80" s="8">
        <v>2010.0</v>
      </c>
      <c r="R80" s="8" t="s">
        <v>2075</v>
      </c>
      <c r="S80" s="8"/>
      <c r="T80" s="8"/>
      <c r="U80" s="8"/>
      <c r="V80" s="8"/>
      <c r="W80" s="8" t="s">
        <v>2756</v>
      </c>
      <c r="X80" s="8"/>
      <c r="Y80" s="8" t="s">
        <v>2757</v>
      </c>
      <c r="Z80" s="8" t="s">
        <v>2844</v>
      </c>
      <c r="AA80" s="8"/>
      <c r="AB80" s="8"/>
      <c r="AC80" s="8"/>
      <c r="AD80" s="8" t="s">
        <v>2080</v>
      </c>
      <c r="AE80" s="8" t="s">
        <v>2080</v>
      </c>
      <c r="AF80" s="8"/>
      <c r="AG80" s="8">
        <v>1.9956928E7</v>
      </c>
      <c r="AH80" s="8" t="s">
        <v>2845</v>
      </c>
      <c r="AI80" s="8" t="s">
        <v>470</v>
      </c>
      <c r="AJ80" s="8" t="s">
        <v>2846</v>
      </c>
      <c r="AK80" s="8" t="s">
        <v>2847</v>
      </c>
      <c r="AL80" s="8" t="s">
        <v>2848</v>
      </c>
      <c r="AM80" s="8" t="s">
        <v>2763</v>
      </c>
    </row>
    <row r="81" ht="14.25" customHeight="1">
      <c r="A81" s="8">
        <v>79.0</v>
      </c>
      <c r="B81" s="8" t="s">
        <v>2849</v>
      </c>
      <c r="C81" s="8"/>
      <c r="D81" s="8" t="s">
        <v>2850</v>
      </c>
      <c r="E81" s="8" t="s">
        <v>2851</v>
      </c>
      <c r="F81" s="8" t="s">
        <v>2852</v>
      </c>
      <c r="G81" s="8"/>
      <c r="H81" s="7">
        <v>40113.0</v>
      </c>
      <c r="I81" s="7">
        <v>40436.0</v>
      </c>
      <c r="J81" s="8" t="s">
        <v>2853</v>
      </c>
      <c r="K81" s="8" t="s">
        <v>180</v>
      </c>
      <c r="L81" s="8">
        <v>2010.0</v>
      </c>
      <c r="M81" s="8">
        <v>17.0</v>
      </c>
      <c r="N81" s="8">
        <v>5.0</v>
      </c>
      <c r="O81" s="8">
        <v>334.0</v>
      </c>
      <c r="P81" s="8">
        <v>339.0</v>
      </c>
      <c r="Q81" s="10">
        <v>46305.0</v>
      </c>
      <c r="R81" s="8" t="s">
        <v>2075</v>
      </c>
      <c r="S81" s="8"/>
      <c r="T81" s="8"/>
      <c r="U81" s="8"/>
      <c r="V81" s="8"/>
      <c r="W81" s="8" t="s">
        <v>2854</v>
      </c>
      <c r="X81" s="8"/>
      <c r="Y81" s="8" t="s">
        <v>2789</v>
      </c>
      <c r="Z81" s="8" t="s">
        <v>2855</v>
      </c>
      <c r="AA81" s="8"/>
      <c r="AB81" s="8"/>
      <c r="AC81" s="8"/>
      <c r="AD81" s="8" t="s">
        <v>2080</v>
      </c>
      <c r="AE81" s="8" t="s">
        <v>2080</v>
      </c>
      <c r="AF81" s="8">
        <v>2.010460438E9</v>
      </c>
      <c r="AG81" s="8">
        <v>1.9861236E7</v>
      </c>
      <c r="AH81" s="8" t="s">
        <v>2856</v>
      </c>
      <c r="AI81" s="8" t="s">
        <v>475</v>
      </c>
      <c r="AJ81" s="8" t="s">
        <v>2857</v>
      </c>
      <c r="AK81" s="8" t="s">
        <v>2858</v>
      </c>
      <c r="AL81" s="8" t="s">
        <v>2859</v>
      </c>
      <c r="AM81" s="8" t="s">
        <v>2828</v>
      </c>
    </row>
    <row r="82" ht="14.25" customHeight="1">
      <c r="A82" s="8">
        <v>80.0</v>
      </c>
      <c r="B82" s="8" t="s">
        <v>2860</v>
      </c>
      <c r="C82" s="8"/>
      <c r="D82" s="8" t="s">
        <v>2861</v>
      </c>
      <c r="E82" s="8" t="s">
        <v>2862</v>
      </c>
      <c r="F82" s="8" t="s">
        <v>2863</v>
      </c>
      <c r="G82" s="8"/>
      <c r="H82" s="8"/>
      <c r="I82" s="7">
        <v>40919.0</v>
      </c>
      <c r="J82" s="8" t="s">
        <v>2864</v>
      </c>
      <c r="K82" s="8" t="s">
        <v>2128</v>
      </c>
      <c r="L82" s="8">
        <v>2010.0</v>
      </c>
      <c r="M82" s="8">
        <v>38.0</v>
      </c>
      <c r="N82" s="8">
        <v>8.0</v>
      </c>
      <c r="O82" s="8">
        <v>1533.0</v>
      </c>
      <c r="P82" s="8">
        <v>1541.0</v>
      </c>
      <c r="Q82" s="10">
        <v>46244.0</v>
      </c>
      <c r="R82" s="8" t="s">
        <v>2075</v>
      </c>
      <c r="S82" s="8"/>
      <c r="T82" s="8"/>
      <c r="U82" s="8"/>
      <c r="V82" s="8"/>
      <c r="W82" s="8" t="s">
        <v>2129</v>
      </c>
      <c r="X82" s="8"/>
      <c r="Y82" s="8"/>
      <c r="Z82" s="8" t="s">
        <v>2865</v>
      </c>
      <c r="AA82" s="8"/>
      <c r="AB82" s="8"/>
      <c r="AC82" s="8"/>
      <c r="AD82" s="8" t="s">
        <v>2080</v>
      </c>
      <c r="AE82" s="8"/>
      <c r="AF82" s="8"/>
      <c r="AG82" s="8">
        <v>2.0566719E7</v>
      </c>
      <c r="AH82" s="8" t="s">
        <v>2866</v>
      </c>
      <c r="AI82" s="8"/>
      <c r="AJ82" s="8"/>
      <c r="AK82" s="8" t="s">
        <v>2867</v>
      </c>
      <c r="AL82" s="8" t="s">
        <v>2868</v>
      </c>
      <c r="AM82" s="8" t="s">
        <v>2763</v>
      </c>
    </row>
    <row r="83" ht="14.25" customHeight="1">
      <c r="A83" s="8">
        <v>81.0</v>
      </c>
      <c r="B83" s="8" t="s">
        <v>2869</v>
      </c>
      <c r="C83" s="8"/>
      <c r="D83" s="8" t="s">
        <v>2870</v>
      </c>
      <c r="E83" s="8" t="s">
        <v>2871</v>
      </c>
      <c r="F83" s="8" t="s">
        <v>2872</v>
      </c>
      <c r="G83" s="8"/>
      <c r="H83" s="8"/>
      <c r="I83" s="7">
        <v>40347.0</v>
      </c>
      <c r="J83" s="8" t="s">
        <v>2873</v>
      </c>
      <c r="K83" s="8" t="s">
        <v>2128</v>
      </c>
      <c r="L83" s="8">
        <v>2010.0</v>
      </c>
      <c r="M83" s="8">
        <v>38.0</v>
      </c>
      <c r="N83" s="8">
        <v>3.0</v>
      </c>
      <c r="O83" s="8">
        <v>448.0</v>
      </c>
      <c r="P83" s="8">
        <v>454.0</v>
      </c>
      <c r="Q83" s="10">
        <v>46091.0</v>
      </c>
      <c r="R83" s="8" t="s">
        <v>2075</v>
      </c>
      <c r="S83" s="8"/>
      <c r="T83" s="8"/>
      <c r="U83" s="8"/>
      <c r="V83" s="8"/>
      <c r="W83" s="8" t="s">
        <v>2129</v>
      </c>
      <c r="X83" s="8"/>
      <c r="Y83" s="8"/>
      <c r="Z83" s="8" t="s">
        <v>2874</v>
      </c>
      <c r="AA83" s="8"/>
      <c r="AB83" s="8"/>
      <c r="AC83" s="8"/>
      <c r="AD83" s="8" t="s">
        <v>2080</v>
      </c>
      <c r="AE83" s="8"/>
      <c r="AF83" s="8"/>
      <c r="AG83" s="8">
        <v>2.0097928E7</v>
      </c>
      <c r="AH83" s="8" t="s">
        <v>2875</v>
      </c>
      <c r="AI83" s="8"/>
      <c r="AJ83" s="8"/>
      <c r="AK83" s="8" t="s">
        <v>2876</v>
      </c>
      <c r="AL83" s="8" t="s">
        <v>2877</v>
      </c>
      <c r="AM83" s="8" t="s">
        <v>2763</v>
      </c>
    </row>
    <row r="84" ht="14.25" customHeight="1">
      <c r="A84" s="8">
        <v>82.0</v>
      </c>
      <c r="B84" s="8" t="s">
        <v>2878</v>
      </c>
      <c r="C84" s="8"/>
      <c r="D84" s="8" t="s">
        <v>2879</v>
      </c>
      <c r="E84" s="8" t="s">
        <v>2880</v>
      </c>
      <c r="F84" s="8" t="s">
        <v>2881</v>
      </c>
      <c r="G84" s="8"/>
      <c r="H84" s="8"/>
      <c r="I84" s="7">
        <v>40347.0</v>
      </c>
      <c r="J84" s="8" t="s">
        <v>2882</v>
      </c>
      <c r="K84" s="8" t="s">
        <v>2128</v>
      </c>
      <c r="L84" s="8">
        <v>2010.0</v>
      </c>
      <c r="M84" s="8">
        <v>38.0</v>
      </c>
      <c r="N84" s="8">
        <v>3.0</v>
      </c>
      <c r="O84" s="8">
        <v>492.0</v>
      </c>
      <c r="P84" s="8">
        <v>500.0</v>
      </c>
      <c r="Q84" s="10">
        <v>46091.0</v>
      </c>
      <c r="R84" s="8" t="s">
        <v>2075</v>
      </c>
      <c r="S84" s="8"/>
      <c r="T84" s="8"/>
      <c r="U84" s="8"/>
      <c r="V84" s="8"/>
      <c r="W84" s="8" t="s">
        <v>2129</v>
      </c>
      <c r="X84" s="8"/>
      <c r="Y84" s="8"/>
      <c r="Z84" s="8" t="s">
        <v>2883</v>
      </c>
      <c r="AA84" s="8"/>
      <c r="AB84" s="8"/>
      <c r="AC84" s="8"/>
      <c r="AD84" s="8" t="s">
        <v>2080</v>
      </c>
      <c r="AE84" s="8"/>
      <c r="AF84" s="8"/>
      <c r="AG84" s="8">
        <v>2.0194956E7</v>
      </c>
      <c r="AH84" s="8" t="s">
        <v>2884</v>
      </c>
      <c r="AI84" s="8"/>
      <c r="AJ84" s="8"/>
      <c r="AK84" s="8" t="s">
        <v>2885</v>
      </c>
      <c r="AL84" s="8" t="s">
        <v>2886</v>
      </c>
      <c r="AM84" s="8" t="s">
        <v>2763</v>
      </c>
    </row>
    <row r="85" ht="14.25" customHeight="1">
      <c r="A85" s="8">
        <v>83.0</v>
      </c>
      <c r="B85" s="8" t="s">
        <v>2887</v>
      </c>
      <c r="C85" s="8"/>
      <c r="D85" s="8" t="s">
        <v>2888</v>
      </c>
      <c r="E85" s="8" t="s">
        <v>2889</v>
      </c>
      <c r="F85" s="8" t="s">
        <v>2890</v>
      </c>
      <c r="G85" s="8"/>
      <c r="H85" s="8"/>
      <c r="I85" s="7">
        <v>40186.0</v>
      </c>
      <c r="J85" s="8" t="s">
        <v>2891</v>
      </c>
      <c r="K85" s="8" t="s">
        <v>2892</v>
      </c>
      <c r="L85" s="8">
        <v>2009.0</v>
      </c>
      <c r="M85" s="8">
        <v>37.0</v>
      </c>
      <c r="N85" s="8">
        <v>10.0</v>
      </c>
      <c r="O85" s="8">
        <v>1946.0</v>
      </c>
      <c r="P85" s="8">
        <v>1957.0</v>
      </c>
      <c r="Q85" s="8">
        <v>2009.0</v>
      </c>
      <c r="R85" s="8" t="s">
        <v>2075</v>
      </c>
      <c r="S85" s="8"/>
      <c r="T85" s="8"/>
      <c r="U85" s="8"/>
      <c r="V85" s="8"/>
      <c r="W85" s="8" t="s">
        <v>2893</v>
      </c>
      <c r="X85" s="8"/>
      <c r="Y85" s="8" t="s">
        <v>2894</v>
      </c>
      <c r="Z85" s="8" t="s">
        <v>2895</v>
      </c>
      <c r="AA85" s="8"/>
      <c r="AB85" s="8"/>
      <c r="AC85" s="8"/>
      <c r="AD85" s="8" t="s">
        <v>2080</v>
      </c>
      <c r="AE85" s="8" t="s">
        <v>2080</v>
      </c>
      <c r="AF85" s="8">
        <v>2.009613599E9</v>
      </c>
      <c r="AG85" s="8">
        <v>1.9684298E7</v>
      </c>
      <c r="AH85" s="8" t="s">
        <v>2896</v>
      </c>
      <c r="AI85" s="8" t="s">
        <v>485</v>
      </c>
      <c r="AJ85" s="8" t="s">
        <v>2897</v>
      </c>
      <c r="AK85" s="8" t="s">
        <v>2898</v>
      </c>
      <c r="AL85" s="8" t="s">
        <v>2899</v>
      </c>
      <c r="AM85" s="8" t="s">
        <v>2900</v>
      </c>
    </row>
    <row r="86" ht="14.25" customHeight="1">
      <c r="A86" s="8">
        <v>84.0</v>
      </c>
      <c r="B86" s="8" t="s">
        <v>2901</v>
      </c>
      <c r="C86" s="8"/>
      <c r="D86" s="8" t="s">
        <v>2902</v>
      </c>
      <c r="E86" s="8" t="s">
        <v>2903</v>
      </c>
      <c r="F86" s="8" t="s">
        <v>2904</v>
      </c>
      <c r="G86" s="8"/>
      <c r="H86" s="8"/>
      <c r="I86" s="7">
        <v>40128.0</v>
      </c>
      <c r="J86" s="8" t="s">
        <v>2905</v>
      </c>
      <c r="K86" s="8" t="s">
        <v>2241</v>
      </c>
      <c r="L86" s="8">
        <v>2009.0</v>
      </c>
      <c r="M86" s="8">
        <v>25.0</v>
      </c>
      <c r="N86" s="8">
        <v>10.0</v>
      </c>
      <c r="O86" s="8">
        <v>1067.0</v>
      </c>
      <c r="P86" s="8">
        <v>1074.0</v>
      </c>
      <c r="Q86" s="10">
        <v>46304.0</v>
      </c>
      <c r="R86" s="8" t="s">
        <v>2075</v>
      </c>
      <c r="S86" s="8"/>
      <c r="T86" s="8"/>
      <c r="U86" s="8"/>
      <c r="V86" s="8"/>
      <c r="W86" s="8" t="s">
        <v>2821</v>
      </c>
      <c r="X86" s="8"/>
      <c r="Y86" s="8" t="s">
        <v>2822</v>
      </c>
      <c r="Z86" s="8" t="s">
        <v>2906</v>
      </c>
      <c r="AA86" s="8"/>
      <c r="AB86" s="8"/>
      <c r="AC86" s="8"/>
      <c r="AD86" s="8" t="s">
        <v>2080</v>
      </c>
      <c r="AE86" s="8" t="s">
        <v>2080</v>
      </c>
      <c r="AF86" s="8">
        <v>2.009511078E9</v>
      </c>
      <c r="AG86" s="8">
        <v>1.9801284E7</v>
      </c>
      <c r="AH86" s="8" t="s">
        <v>2907</v>
      </c>
      <c r="AI86" s="8" t="s">
        <v>480</v>
      </c>
      <c r="AJ86" s="8" t="s">
        <v>2908</v>
      </c>
      <c r="AK86" s="8" t="s">
        <v>2909</v>
      </c>
      <c r="AL86" s="8" t="s">
        <v>2910</v>
      </c>
      <c r="AM86" s="8" t="s">
        <v>2900</v>
      </c>
    </row>
    <row r="87" ht="14.25" customHeight="1">
      <c r="A87" s="8">
        <v>85.0</v>
      </c>
      <c r="B87" s="8" t="s">
        <v>486</v>
      </c>
      <c r="C87" s="8"/>
      <c r="D87" s="8" t="s">
        <v>2911</v>
      </c>
      <c r="E87" s="8" t="s">
        <v>2912</v>
      </c>
      <c r="F87" s="8" t="s">
        <v>2913</v>
      </c>
      <c r="G87" s="8"/>
      <c r="H87" s="8"/>
      <c r="I87" s="7">
        <v>40189.0</v>
      </c>
      <c r="J87" s="8" t="s">
        <v>2914</v>
      </c>
      <c r="K87" s="8" t="s">
        <v>2755</v>
      </c>
      <c r="L87" s="8">
        <v>2009.0</v>
      </c>
      <c r="M87" s="8">
        <v>17.0</v>
      </c>
      <c r="N87" s="8">
        <v>9.0</v>
      </c>
      <c r="O87" s="8">
        <v>1117.0</v>
      </c>
      <c r="P87" s="8">
        <v>1124.0</v>
      </c>
      <c r="Q87" s="10">
        <v>46274.0</v>
      </c>
      <c r="R87" s="8" t="s">
        <v>2075</v>
      </c>
      <c r="S87" s="8"/>
      <c r="T87" s="8"/>
      <c r="U87" s="8"/>
      <c r="V87" s="8"/>
      <c r="W87" s="8" t="s">
        <v>2756</v>
      </c>
      <c r="X87" s="8"/>
      <c r="Y87" s="8" t="s">
        <v>2757</v>
      </c>
      <c r="Z87" s="8" t="s">
        <v>2915</v>
      </c>
      <c r="AA87" s="8"/>
      <c r="AB87" s="8"/>
      <c r="AC87" s="8"/>
      <c r="AD87" s="8" t="s">
        <v>2080</v>
      </c>
      <c r="AE87" s="8" t="s">
        <v>2080</v>
      </c>
      <c r="AF87" s="8"/>
      <c r="AG87" s="8">
        <v>1.957518E7</v>
      </c>
      <c r="AH87" s="8" t="s">
        <v>2916</v>
      </c>
      <c r="AI87" s="8" t="s">
        <v>490</v>
      </c>
      <c r="AJ87" s="8" t="s">
        <v>2917</v>
      </c>
      <c r="AK87" s="8" t="s">
        <v>2918</v>
      </c>
      <c r="AL87" s="8" t="s">
        <v>2919</v>
      </c>
      <c r="AM87" s="8" t="s">
        <v>2763</v>
      </c>
    </row>
    <row r="88" ht="14.25" customHeight="1">
      <c r="A88" s="8">
        <v>86.0</v>
      </c>
      <c r="B88" s="8" t="s">
        <v>2920</v>
      </c>
      <c r="C88" s="8"/>
      <c r="D88" s="8" t="s">
        <v>2921</v>
      </c>
      <c r="E88" s="8" t="s">
        <v>2922</v>
      </c>
      <c r="F88" s="8" t="s">
        <v>2923</v>
      </c>
      <c r="G88" s="8"/>
      <c r="H88" s="8"/>
      <c r="I88" s="7">
        <v>39986.0</v>
      </c>
      <c r="J88" s="8" t="s">
        <v>2924</v>
      </c>
      <c r="K88" s="8" t="s">
        <v>2925</v>
      </c>
      <c r="L88" s="8">
        <v>2009.0</v>
      </c>
      <c r="M88" s="8">
        <v>92.0</v>
      </c>
      <c r="N88" s="8">
        <v>4.0</v>
      </c>
      <c r="O88" s="8">
        <v>491.0</v>
      </c>
      <c r="P88" s="8">
        <v>497.0</v>
      </c>
      <c r="Q88" s="10">
        <v>46121.0</v>
      </c>
      <c r="R88" s="8" t="s">
        <v>2075</v>
      </c>
      <c r="S88" s="8"/>
      <c r="T88" s="8"/>
      <c r="U88" s="8"/>
      <c r="V88" s="8"/>
      <c r="W88" s="8" t="s">
        <v>2926</v>
      </c>
      <c r="X88" s="8"/>
      <c r="Y88" s="8" t="s">
        <v>2927</v>
      </c>
      <c r="Z88" s="8" t="s">
        <v>2928</v>
      </c>
      <c r="AA88" s="8"/>
      <c r="AB88" s="8"/>
      <c r="AC88" s="8"/>
      <c r="AD88" s="8" t="s">
        <v>2080</v>
      </c>
      <c r="AE88" s="8" t="s">
        <v>2929</v>
      </c>
      <c r="AF88" s="8">
        <v>2.009229345E9</v>
      </c>
      <c r="AG88" s="8">
        <v>1.9374299E7</v>
      </c>
      <c r="AH88" s="8" t="s">
        <v>2930</v>
      </c>
      <c r="AI88" s="8"/>
      <c r="AJ88" s="8"/>
      <c r="AK88" s="8" t="s">
        <v>2931</v>
      </c>
      <c r="AL88" s="8" t="s">
        <v>2932</v>
      </c>
      <c r="AM88" s="8" t="s">
        <v>2828</v>
      </c>
    </row>
    <row r="89" ht="14.25" customHeight="1">
      <c r="A89" s="8">
        <v>87.0</v>
      </c>
      <c r="B89" s="8" t="s">
        <v>2933</v>
      </c>
      <c r="C89" s="8" t="s">
        <v>2934</v>
      </c>
      <c r="D89" s="8" t="s">
        <v>2935</v>
      </c>
      <c r="E89" s="8" t="s">
        <v>2936</v>
      </c>
      <c r="F89" s="8" t="s">
        <v>2937</v>
      </c>
      <c r="G89" s="8"/>
      <c r="H89" s="8"/>
      <c r="I89" s="7">
        <v>39847.0</v>
      </c>
      <c r="J89" s="8" t="s">
        <v>2938</v>
      </c>
      <c r="K89" s="8" t="s">
        <v>2939</v>
      </c>
      <c r="L89" s="8">
        <v>2008.0</v>
      </c>
      <c r="M89" s="8">
        <v>94.0</v>
      </c>
      <c r="N89" s="8">
        <v>6.0</v>
      </c>
      <c r="O89" s="8">
        <v>533.0</v>
      </c>
      <c r="P89" s="8">
        <v>540.0</v>
      </c>
      <c r="Q89" s="10">
        <v>46303.0</v>
      </c>
      <c r="R89" s="8" t="s">
        <v>2075</v>
      </c>
      <c r="S89" s="8"/>
      <c r="T89" s="8"/>
      <c r="U89" s="8"/>
      <c r="V89" s="8"/>
      <c r="W89" s="8" t="s">
        <v>2940</v>
      </c>
      <c r="X89" s="8"/>
      <c r="Y89" s="8" t="s">
        <v>2941</v>
      </c>
      <c r="Z89" s="8" t="s">
        <v>2942</v>
      </c>
      <c r="AA89" s="8"/>
      <c r="AB89" s="8"/>
      <c r="AC89" s="8"/>
      <c r="AD89" s="8" t="s">
        <v>2943</v>
      </c>
      <c r="AE89" s="8" t="s">
        <v>2944</v>
      </c>
      <c r="AF89" s="8"/>
      <c r="AG89" s="8">
        <v>1.8929746E7</v>
      </c>
      <c r="AH89" s="8" t="s">
        <v>2945</v>
      </c>
      <c r="AI89" s="8" t="s">
        <v>508</v>
      </c>
      <c r="AJ89" s="8" t="s">
        <v>2946</v>
      </c>
      <c r="AK89" s="8" t="s">
        <v>2947</v>
      </c>
      <c r="AL89" s="8" t="s">
        <v>2948</v>
      </c>
      <c r="AM89" s="8" t="s">
        <v>2763</v>
      </c>
    </row>
    <row r="90" ht="14.25" customHeight="1">
      <c r="A90" s="8">
        <v>88.0</v>
      </c>
      <c r="B90" s="8" t="s">
        <v>2949</v>
      </c>
      <c r="C90" s="8"/>
      <c r="D90" s="8"/>
      <c r="E90" s="8"/>
      <c r="F90" s="8"/>
      <c r="G90" s="8"/>
      <c r="H90" s="7">
        <v>45781.0</v>
      </c>
      <c r="I90" s="7">
        <v>45781.0</v>
      </c>
      <c r="J90" s="8" t="s">
        <v>2950</v>
      </c>
      <c r="K90" s="8" t="s">
        <v>2089</v>
      </c>
      <c r="L90" s="8">
        <v>2007.0</v>
      </c>
      <c r="M90" s="8"/>
      <c r="N90" s="8"/>
      <c r="O90" s="8"/>
      <c r="P90" s="8"/>
      <c r="Q90" s="9">
        <v>39337.0</v>
      </c>
      <c r="R90" s="8" t="s">
        <v>2090</v>
      </c>
      <c r="S90" s="8"/>
      <c r="T90" s="8"/>
      <c r="U90" s="8"/>
      <c r="V90" s="8"/>
      <c r="W90" s="8"/>
      <c r="X90" s="8"/>
      <c r="Y90" s="8" t="s">
        <v>2089</v>
      </c>
      <c r="Z90" s="8" t="s">
        <v>2951</v>
      </c>
      <c r="AA90" s="8"/>
      <c r="AB90" s="8"/>
      <c r="AC90" s="8"/>
      <c r="AD90" s="8" t="s">
        <v>2080</v>
      </c>
      <c r="AE90" s="8" t="s">
        <v>2080</v>
      </c>
      <c r="AF90" s="8"/>
      <c r="AG90" s="8"/>
      <c r="AH90" s="8" t="s">
        <v>2952</v>
      </c>
      <c r="AI90" s="8"/>
      <c r="AJ90" s="8" t="s">
        <v>2953</v>
      </c>
      <c r="AK90" s="8" t="s">
        <v>2954</v>
      </c>
      <c r="AL90" s="8"/>
      <c r="AM90" s="8" t="s">
        <v>2095</v>
      </c>
    </row>
    <row r="91" ht="14.25" customHeight="1">
      <c r="A91" s="8">
        <v>89.0</v>
      </c>
      <c r="B91" s="8" t="s">
        <v>515</v>
      </c>
      <c r="C91" s="8"/>
      <c r="D91" s="8" t="s">
        <v>2955</v>
      </c>
      <c r="E91" s="8" t="s">
        <v>2956</v>
      </c>
      <c r="F91" s="8" t="s">
        <v>2957</v>
      </c>
      <c r="G91" s="8"/>
      <c r="H91" s="8"/>
      <c r="I91" s="7">
        <v>39264.0</v>
      </c>
      <c r="J91" s="8" t="s">
        <v>2958</v>
      </c>
      <c r="K91" s="8" t="s">
        <v>2644</v>
      </c>
      <c r="L91" s="8">
        <v>2007.0</v>
      </c>
      <c r="M91" s="8">
        <v>17.0</v>
      </c>
      <c r="N91" s="8">
        <v>4.0</v>
      </c>
      <c r="O91" s="8">
        <v>242.0</v>
      </c>
      <c r="P91" s="8">
        <v>250.0</v>
      </c>
      <c r="Q91" s="10">
        <v>46210.0</v>
      </c>
      <c r="R91" s="8" t="s">
        <v>2075</v>
      </c>
      <c r="S91" s="8"/>
      <c r="T91" s="8"/>
      <c r="U91" s="8"/>
      <c r="V91" s="8"/>
      <c r="W91" s="8" t="s">
        <v>2959</v>
      </c>
      <c r="X91" s="8"/>
      <c r="Y91" s="8" t="s">
        <v>2960</v>
      </c>
      <c r="Z91" s="8" t="s">
        <v>2961</v>
      </c>
      <c r="AA91" s="8" t="s">
        <v>2962</v>
      </c>
      <c r="AB91" s="8"/>
      <c r="AC91" s="8"/>
      <c r="AD91" s="8" t="s">
        <v>2080</v>
      </c>
      <c r="AE91" s="8" t="s">
        <v>2080</v>
      </c>
      <c r="AF91" s="8">
        <v>2.007337025E9</v>
      </c>
      <c r="AG91" s="8">
        <v>1.7620776E7</v>
      </c>
      <c r="AH91" s="8" t="s">
        <v>2963</v>
      </c>
      <c r="AI91" s="8" t="s">
        <v>519</v>
      </c>
      <c r="AJ91" s="8" t="s">
        <v>2964</v>
      </c>
      <c r="AK91" s="8" t="s">
        <v>2965</v>
      </c>
      <c r="AL91" s="8" t="s">
        <v>2966</v>
      </c>
      <c r="AM91" s="8" t="s">
        <v>2967</v>
      </c>
    </row>
    <row r="92" ht="14.25" customHeight="1">
      <c r="A92" s="8">
        <v>90.0</v>
      </c>
      <c r="B92" s="8" t="s">
        <v>2968</v>
      </c>
      <c r="C92" s="8"/>
      <c r="D92" s="8" t="s">
        <v>2969</v>
      </c>
      <c r="E92" s="8" t="s">
        <v>2970</v>
      </c>
      <c r="F92" s="8" t="s">
        <v>2971</v>
      </c>
      <c r="G92" s="8"/>
      <c r="H92" s="8"/>
      <c r="I92" s="7">
        <v>39203.0</v>
      </c>
      <c r="J92" s="8" t="s">
        <v>2972</v>
      </c>
      <c r="K92" s="8" t="s">
        <v>2892</v>
      </c>
      <c r="L92" s="8">
        <v>2007.0</v>
      </c>
      <c r="M92" s="8">
        <v>35.0</v>
      </c>
      <c r="N92" s="8">
        <v>5.0</v>
      </c>
      <c r="O92" s="8">
        <v>740.0</v>
      </c>
      <c r="P92" s="8">
        <v>748.0</v>
      </c>
      <c r="Q92" s="10">
        <v>46149.0</v>
      </c>
      <c r="R92" s="8" t="s">
        <v>2075</v>
      </c>
      <c r="S92" s="8"/>
      <c r="T92" s="8"/>
      <c r="U92" s="8"/>
      <c r="V92" s="8"/>
      <c r="W92" s="8" t="s">
        <v>2893</v>
      </c>
      <c r="X92" s="8"/>
      <c r="Y92" s="8" t="s">
        <v>2894</v>
      </c>
      <c r="Z92" s="8" t="s">
        <v>2973</v>
      </c>
      <c r="AA92" s="8"/>
      <c r="AB92" s="8"/>
      <c r="AC92" s="8"/>
      <c r="AD92" s="8" t="s">
        <v>2080</v>
      </c>
      <c r="AE92" s="8" t="s">
        <v>2080</v>
      </c>
      <c r="AF92" s="8">
        <v>2.007301223E9</v>
      </c>
      <c r="AG92" s="8">
        <v>1.7293471E7</v>
      </c>
      <c r="AH92" s="8" t="s">
        <v>2974</v>
      </c>
      <c r="AI92" s="8" t="s">
        <v>533</v>
      </c>
      <c r="AJ92" s="8" t="s">
        <v>2975</v>
      </c>
      <c r="AK92" s="8" t="s">
        <v>2976</v>
      </c>
      <c r="AL92" s="8" t="s">
        <v>2977</v>
      </c>
      <c r="AM92" s="8" t="s">
        <v>2978</v>
      </c>
    </row>
    <row r="93" ht="14.25" customHeight="1">
      <c r="A93" s="8">
        <v>91.0</v>
      </c>
      <c r="B93" s="8" t="s">
        <v>2979</v>
      </c>
      <c r="C93" s="8"/>
      <c r="D93" s="8" t="s">
        <v>2980</v>
      </c>
      <c r="E93" s="8" t="s">
        <v>2981</v>
      </c>
      <c r="F93" s="8" t="s">
        <v>2982</v>
      </c>
      <c r="G93" s="8"/>
      <c r="H93" s="8"/>
      <c r="I93" s="7">
        <v>39247.0</v>
      </c>
      <c r="J93" s="8" t="s">
        <v>2983</v>
      </c>
      <c r="K93" s="8" t="s">
        <v>2755</v>
      </c>
      <c r="L93" s="8">
        <v>2007.0</v>
      </c>
      <c r="M93" s="8">
        <v>15.0</v>
      </c>
      <c r="N93" s="8">
        <v>4.0</v>
      </c>
      <c r="O93" s="8">
        <v>402.0</v>
      </c>
      <c r="P93" s="8">
        <v>414.0</v>
      </c>
      <c r="Q93" s="10">
        <v>46119.0</v>
      </c>
      <c r="R93" s="8" t="s">
        <v>2075</v>
      </c>
      <c r="S93" s="8"/>
      <c r="T93" s="8"/>
      <c r="U93" s="8"/>
      <c r="V93" s="8"/>
      <c r="W93" s="8" t="s">
        <v>2756</v>
      </c>
      <c r="X93" s="8"/>
      <c r="Y93" s="8" t="s">
        <v>2674</v>
      </c>
      <c r="Z93" s="8" t="s">
        <v>2984</v>
      </c>
      <c r="AA93" s="8"/>
      <c r="AB93" s="8"/>
      <c r="AC93" s="8"/>
      <c r="AD93" s="8" t="s">
        <v>2080</v>
      </c>
      <c r="AE93" s="8" t="s">
        <v>2080</v>
      </c>
      <c r="AF93" s="8"/>
      <c r="AG93" s="8">
        <v>1.7219226E7</v>
      </c>
      <c r="AH93" s="8" t="s">
        <v>2985</v>
      </c>
      <c r="AI93" s="8" t="s">
        <v>553</v>
      </c>
      <c r="AJ93" s="8" t="s">
        <v>2986</v>
      </c>
      <c r="AK93" s="8" t="s">
        <v>2987</v>
      </c>
      <c r="AL93" s="8" t="s">
        <v>2988</v>
      </c>
      <c r="AM93" s="8" t="s">
        <v>2763</v>
      </c>
    </row>
    <row r="94" ht="14.25" customHeight="1">
      <c r="A94" s="8">
        <v>92.0</v>
      </c>
      <c r="B94" s="8" t="s">
        <v>2989</v>
      </c>
      <c r="C94" s="8"/>
      <c r="D94" s="8" t="s">
        <v>2990</v>
      </c>
      <c r="E94" s="8" t="s">
        <v>2991</v>
      </c>
      <c r="F94" s="8" t="s">
        <v>2992</v>
      </c>
      <c r="G94" s="8"/>
      <c r="H94" s="8"/>
      <c r="I94" s="7">
        <v>39162.0</v>
      </c>
      <c r="J94" s="8" t="s">
        <v>2993</v>
      </c>
      <c r="K94" s="8" t="s">
        <v>2892</v>
      </c>
      <c r="L94" s="8">
        <v>2007.0</v>
      </c>
      <c r="M94" s="8">
        <v>35.0</v>
      </c>
      <c r="N94" s="8">
        <v>3.0</v>
      </c>
      <c r="O94" s="8">
        <v>384.0</v>
      </c>
      <c r="P94" s="8">
        <v>394.0</v>
      </c>
      <c r="Q94" s="10">
        <v>46088.0</v>
      </c>
      <c r="R94" s="8" t="s">
        <v>2075</v>
      </c>
      <c r="S94" s="8"/>
      <c r="T94" s="8"/>
      <c r="U94" s="8"/>
      <c r="V94" s="8"/>
      <c r="W94" s="8" t="s">
        <v>2893</v>
      </c>
      <c r="X94" s="8"/>
      <c r="Y94" s="8" t="s">
        <v>2894</v>
      </c>
      <c r="Z94" s="8" t="s">
        <v>2994</v>
      </c>
      <c r="AA94" s="8"/>
      <c r="AB94" s="8"/>
      <c r="AC94" s="8"/>
      <c r="AD94" s="8" t="s">
        <v>2080</v>
      </c>
      <c r="AE94" s="8" t="s">
        <v>2080</v>
      </c>
      <c r="AF94" s="8">
        <v>2.007097084E9</v>
      </c>
      <c r="AG94" s="8">
        <v>1.7218661E7</v>
      </c>
      <c r="AH94" s="8" t="s">
        <v>2995</v>
      </c>
      <c r="AI94" s="8" t="s">
        <v>558</v>
      </c>
      <c r="AJ94" s="8" t="s">
        <v>2996</v>
      </c>
      <c r="AK94" s="8" t="s">
        <v>2997</v>
      </c>
      <c r="AL94" s="8" t="s">
        <v>2998</v>
      </c>
      <c r="AM94" s="8" t="s">
        <v>2999</v>
      </c>
    </row>
    <row r="95" ht="14.25" customHeight="1">
      <c r="A95" s="8">
        <v>93.0</v>
      </c>
      <c r="B95" s="8" t="s">
        <v>3000</v>
      </c>
      <c r="C95" s="8"/>
      <c r="D95" s="8" t="s">
        <v>3001</v>
      </c>
      <c r="E95" s="8" t="s">
        <v>3002</v>
      </c>
      <c r="F95" s="8" t="s">
        <v>3003</v>
      </c>
      <c r="G95" s="8"/>
      <c r="H95" s="8"/>
      <c r="I95" s="7">
        <v>39042.0</v>
      </c>
      <c r="J95" s="8" t="s">
        <v>3004</v>
      </c>
      <c r="K95" s="8" t="s">
        <v>2892</v>
      </c>
      <c r="L95" s="8">
        <v>2006.0</v>
      </c>
      <c r="M95" s="8">
        <v>34.0</v>
      </c>
      <c r="N95" s="8">
        <v>12.0</v>
      </c>
      <c r="O95" s="8">
        <v>1933.0</v>
      </c>
      <c r="P95" s="8">
        <v>1940.0</v>
      </c>
      <c r="Q95" s="10">
        <v>46362.0</v>
      </c>
      <c r="R95" s="8" t="s">
        <v>2075</v>
      </c>
      <c r="S95" s="8"/>
      <c r="T95" s="8"/>
      <c r="U95" s="8"/>
      <c r="V95" s="8"/>
      <c r="W95" s="8" t="s">
        <v>2893</v>
      </c>
      <c r="X95" s="8"/>
      <c r="Y95" s="8" t="s">
        <v>2894</v>
      </c>
      <c r="Z95" s="8" t="s">
        <v>3005</v>
      </c>
      <c r="AA95" s="8"/>
      <c r="AB95" s="8"/>
      <c r="AC95" s="8"/>
      <c r="AD95" s="8" t="s">
        <v>2080</v>
      </c>
      <c r="AE95" s="8" t="s">
        <v>2080</v>
      </c>
      <c r="AF95" s="8">
        <v>2.00654687E9</v>
      </c>
      <c r="AG95" s="8">
        <v>1.6923826E7</v>
      </c>
      <c r="AH95" s="8" t="s">
        <v>3006</v>
      </c>
      <c r="AI95" s="8" t="s">
        <v>572</v>
      </c>
      <c r="AJ95" s="8" t="s">
        <v>3007</v>
      </c>
      <c r="AK95" s="8" t="s">
        <v>3008</v>
      </c>
      <c r="AL95" s="8" t="s">
        <v>3009</v>
      </c>
      <c r="AM95" s="8" t="s">
        <v>2900</v>
      </c>
    </row>
    <row r="96" ht="14.25" customHeight="1">
      <c r="A96" s="8">
        <v>94.0</v>
      </c>
      <c r="B96" s="8" t="s">
        <v>3010</v>
      </c>
      <c r="C96" s="8"/>
      <c r="D96" s="8" t="s">
        <v>3011</v>
      </c>
      <c r="E96" s="8" t="s">
        <v>3012</v>
      </c>
      <c r="F96" s="8" t="s">
        <v>3013</v>
      </c>
      <c r="G96" s="8"/>
      <c r="H96" s="8"/>
      <c r="I96" s="7">
        <v>38991.0</v>
      </c>
      <c r="J96" s="8" t="s">
        <v>3014</v>
      </c>
      <c r="K96" s="8" t="s">
        <v>2755</v>
      </c>
      <c r="L96" s="8">
        <v>2006.0</v>
      </c>
      <c r="M96" s="8">
        <v>14.0</v>
      </c>
      <c r="N96" s="8">
        <v>10.0</v>
      </c>
      <c r="O96" s="8">
        <v>1021.0</v>
      </c>
      <c r="P96" s="8">
        <v>1028.0</v>
      </c>
      <c r="Q96" s="10">
        <v>46301.0</v>
      </c>
      <c r="R96" s="8" t="s">
        <v>2075</v>
      </c>
      <c r="S96" s="8"/>
      <c r="T96" s="8"/>
      <c r="U96" s="8"/>
      <c r="V96" s="8"/>
      <c r="W96" s="8" t="s">
        <v>2756</v>
      </c>
      <c r="X96" s="8"/>
      <c r="Y96" s="8" t="s">
        <v>2757</v>
      </c>
      <c r="Z96" s="8" t="s">
        <v>3015</v>
      </c>
      <c r="AA96" s="8"/>
      <c r="AB96" s="8"/>
      <c r="AC96" s="8"/>
      <c r="AD96" s="8" t="s">
        <v>2080</v>
      </c>
      <c r="AE96" s="8" t="s">
        <v>2080</v>
      </c>
      <c r="AF96" s="8"/>
      <c r="AG96" s="8">
        <v>1.6496124E7</v>
      </c>
      <c r="AH96" s="8" t="s">
        <v>3016</v>
      </c>
      <c r="AI96" s="8" t="s">
        <v>582</v>
      </c>
      <c r="AJ96" s="8" t="s">
        <v>3017</v>
      </c>
      <c r="AK96" s="8" t="s">
        <v>3018</v>
      </c>
      <c r="AL96" s="8" t="s">
        <v>3019</v>
      </c>
      <c r="AM96" s="8" t="s">
        <v>2763</v>
      </c>
    </row>
    <row r="97" ht="14.25" customHeight="1">
      <c r="A97" s="8">
        <v>95.0</v>
      </c>
      <c r="B97" s="8" t="s">
        <v>3020</v>
      </c>
      <c r="C97" s="8"/>
      <c r="D97" s="8" t="s">
        <v>3021</v>
      </c>
      <c r="E97" s="8" t="s">
        <v>3022</v>
      </c>
      <c r="F97" s="8" t="s">
        <v>3023</v>
      </c>
      <c r="G97" s="8"/>
      <c r="H97" s="8"/>
      <c r="I97" s="7">
        <v>38928.0</v>
      </c>
      <c r="J97" s="8" t="s">
        <v>3024</v>
      </c>
      <c r="K97" s="8" t="s">
        <v>2892</v>
      </c>
      <c r="L97" s="8">
        <v>2006.0</v>
      </c>
      <c r="M97" s="8">
        <v>34.0</v>
      </c>
      <c r="N97" s="8">
        <v>7.0</v>
      </c>
      <c r="O97" s="8">
        <v>1134.0</v>
      </c>
      <c r="P97" s="8">
        <v>1140.0</v>
      </c>
      <c r="Q97" s="10">
        <v>46209.0</v>
      </c>
      <c r="R97" s="8" t="s">
        <v>2075</v>
      </c>
      <c r="S97" s="8"/>
      <c r="T97" s="8"/>
      <c r="U97" s="8"/>
      <c r="V97" s="8"/>
      <c r="W97" s="8" t="s">
        <v>2893</v>
      </c>
      <c r="X97" s="8"/>
      <c r="Y97" s="8" t="s">
        <v>2894</v>
      </c>
      <c r="Z97" s="8" t="s">
        <v>3025</v>
      </c>
      <c r="AA97" s="8"/>
      <c r="AB97" s="8"/>
      <c r="AC97" s="8"/>
      <c r="AD97" s="8" t="s">
        <v>2080</v>
      </c>
      <c r="AE97" s="8" t="s">
        <v>2080</v>
      </c>
      <c r="AF97" s="8">
        <v>2.006313213E9</v>
      </c>
      <c r="AG97" s="8">
        <v>1.6452264E7</v>
      </c>
      <c r="AH97" s="8" t="s">
        <v>3026</v>
      </c>
      <c r="AI97" s="8" t="s">
        <v>587</v>
      </c>
      <c r="AJ97" s="8" t="s">
        <v>3027</v>
      </c>
      <c r="AK97" s="8" t="s">
        <v>3028</v>
      </c>
      <c r="AL97" s="8" t="s">
        <v>3029</v>
      </c>
      <c r="AM97" s="8" t="s">
        <v>2900</v>
      </c>
    </row>
    <row r="98" ht="14.25" customHeight="1">
      <c r="A98" s="8">
        <v>96.0</v>
      </c>
      <c r="B98" s="8" t="s">
        <v>598</v>
      </c>
      <c r="C98" s="8"/>
      <c r="D98" s="8" t="s">
        <v>3030</v>
      </c>
      <c r="E98" s="8" t="s">
        <v>3031</v>
      </c>
      <c r="F98" s="8" t="s">
        <v>3032</v>
      </c>
      <c r="G98" s="8"/>
      <c r="H98" s="8"/>
      <c r="I98" s="7">
        <v>38769.0</v>
      </c>
      <c r="J98" s="8" t="s">
        <v>3033</v>
      </c>
      <c r="K98" s="8" t="s">
        <v>2892</v>
      </c>
      <c r="L98" s="8">
        <v>2006.0</v>
      </c>
      <c r="M98" s="8">
        <v>34.0</v>
      </c>
      <c r="N98" s="8">
        <v>2.0</v>
      </c>
      <c r="O98" s="8">
        <v>213.0</v>
      </c>
      <c r="P98" s="8">
        <v>219.0</v>
      </c>
      <c r="Q98" s="10">
        <v>46059.0</v>
      </c>
      <c r="R98" s="8" t="s">
        <v>2075</v>
      </c>
      <c r="S98" s="8"/>
      <c r="T98" s="8"/>
      <c r="U98" s="8"/>
      <c r="V98" s="8"/>
      <c r="W98" s="8" t="s">
        <v>2893</v>
      </c>
      <c r="X98" s="8"/>
      <c r="Y98" s="8" t="s">
        <v>2894</v>
      </c>
      <c r="Z98" s="8" t="s">
        <v>3034</v>
      </c>
      <c r="AA98" s="8"/>
      <c r="AB98" s="8"/>
      <c r="AC98" s="8"/>
      <c r="AD98" s="8" t="s">
        <v>2080</v>
      </c>
      <c r="AE98" s="8" t="s">
        <v>2080</v>
      </c>
      <c r="AF98" s="8">
        <v>2.006052008E9</v>
      </c>
      <c r="AG98" s="8">
        <v>1.6282583E7</v>
      </c>
      <c r="AH98" s="8" t="s">
        <v>3035</v>
      </c>
      <c r="AI98" s="8" t="s">
        <v>602</v>
      </c>
      <c r="AJ98" s="8" t="s">
        <v>3036</v>
      </c>
      <c r="AK98" s="8" t="s">
        <v>3037</v>
      </c>
      <c r="AL98" s="8" t="s">
        <v>3038</v>
      </c>
      <c r="AM98" s="8" t="s">
        <v>2900</v>
      </c>
    </row>
    <row r="99" ht="14.25" customHeight="1">
      <c r="A99" s="8">
        <v>97.0</v>
      </c>
      <c r="B99" s="8" t="s">
        <v>3039</v>
      </c>
      <c r="C99" s="8"/>
      <c r="D99" s="8" t="s">
        <v>3040</v>
      </c>
      <c r="E99" s="8" t="s">
        <v>3041</v>
      </c>
      <c r="F99" s="8" t="s">
        <v>3042</v>
      </c>
      <c r="G99" s="8"/>
      <c r="H99" s="8"/>
      <c r="I99" s="7">
        <v>38874.0</v>
      </c>
      <c r="J99" s="8" t="s">
        <v>3043</v>
      </c>
      <c r="K99" s="8" t="s">
        <v>3044</v>
      </c>
      <c r="L99" s="8">
        <v>2006.0</v>
      </c>
      <c r="M99" s="8">
        <v>16.0</v>
      </c>
      <c r="N99" s="8">
        <v>1.0</v>
      </c>
      <c r="O99" s="8">
        <v>14.0</v>
      </c>
      <c r="P99" s="8">
        <v>18.0</v>
      </c>
      <c r="Q99" s="10">
        <v>46059.0</v>
      </c>
      <c r="R99" s="8" t="s">
        <v>2075</v>
      </c>
      <c r="S99" s="8"/>
      <c r="T99" s="8"/>
      <c r="U99" s="8"/>
      <c r="V99" s="8"/>
      <c r="W99" s="8" t="s">
        <v>3045</v>
      </c>
      <c r="X99" s="8"/>
      <c r="Y99" s="8" t="s">
        <v>3046</v>
      </c>
      <c r="Z99" s="8" t="s">
        <v>3047</v>
      </c>
      <c r="AA99" s="8"/>
      <c r="AB99" s="8"/>
      <c r="AC99" s="8"/>
      <c r="AD99" s="8" t="s">
        <v>2080</v>
      </c>
      <c r="AE99" s="8" t="s">
        <v>2080</v>
      </c>
      <c r="AF99" s="8"/>
      <c r="AG99" s="8">
        <v>1.6430676E7</v>
      </c>
      <c r="AH99" s="8" t="s">
        <v>3048</v>
      </c>
      <c r="AI99" s="8" t="s">
        <v>592</v>
      </c>
      <c r="AJ99" s="8" t="s">
        <v>3049</v>
      </c>
      <c r="AK99" s="8" t="s">
        <v>3050</v>
      </c>
      <c r="AL99" s="8" t="s">
        <v>3051</v>
      </c>
      <c r="AM99" s="8" t="s">
        <v>2763</v>
      </c>
    </row>
    <row r="100" ht="14.25" customHeight="1">
      <c r="A100" s="8">
        <v>98.0</v>
      </c>
      <c r="B100" s="8" t="s">
        <v>3052</v>
      </c>
      <c r="C100" s="8" t="s">
        <v>3053</v>
      </c>
      <c r="D100" s="8" t="s">
        <v>3054</v>
      </c>
      <c r="E100" s="8" t="s">
        <v>3055</v>
      </c>
      <c r="F100" s="8" t="s">
        <v>3056</v>
      </c>
      <c r="G100" s="8"/>
      <c r="H100" s="8"/>
      <c r="I100" s="7">
        <v>39111.0</v>
      </c>
      <c r="J100" s="8" t="s">
        <v>3057</v>
      </c>
      <c r="K100" s="8" t="s">
        <v>2939</v>
      </c>
      <c r="L100" s="8">
        <v>2006.0</v>
      </c>
      <c r="M100" s="8">
        <v>92.0</v>
      </c>
      <c r="N100" s="8">
        <v>8.0</v>
      </c>
      <c r="O100" s="8">
        <v>788.0</v>
      </c>
      <c r="P100" s="8">
        <v>797.0</v>
      </c>
      <c r="Q100" s="10">
        <v>46362.0</v>
      </c>
      <c r="R100" s="8" t="s">
        <v>2075</v>
      </c>
      <c r="S100" s="8"/>
      <c r="T100" s="8"/>
      <c r="U100" s="8"/>
      <c r="V100" s="8"/>
      <c r="W100" s="8" t="s">
        <v>2940</v>
      </c>
      <c r="X100" s="8"/>
      <c r="Y100" s="8" t="s">
        <v>3058</v>
      </c>
      <c r="Z100" s="8" t="s">
        <v>3059</v>
      </c>
      <c r="AA100" s="8"/>
      <c r="AB100" s="8"/>
      <c r="AC100" s="8"/>
      <c r="AD100" s="8" t="s">
        <v>2943</v>
      </c>
      <c r="AE100" s="8" t="s">
        <v>3060</v>
      </c>
      <c r="AF100" s="8"/>
      <c r="AG100" s="8">
        <v>1.7245238E7</v>
      </c>
      <c r="AH100" s="8" t="s">
        <v>3061</v>
      </c>
      <c r="AI100" s="8" t="s">
        <v>548</v>
      </c>
      <c r="AJ100" s="8" t="s">
        <v>3062</v>
      </c>
      <c r="AK100" s="8" t="s">
        <v>3063</v>
      </c>
      <c r="AL100" s="8" t="s">
        <v>3064</v>
      </c>
      <c r="AM100" s="8" t="s">
        <v>2349</v>
      </c>
    </row>
    <row r="101" ht="14.25" customHeight="1">
      <c r="A101" s="8">
        <v>99.0</v>
      </c>
      <c r="B101" s="8" t="s">
        <v>3065</v>
      </c>
      <c r="C101" s="8"/>
      <c r="D101" s="8"/>
      <c r="E101" s="8"/>
      <c r="F101" s="8"/>
      <c r="G101" s="8"/>
      <c r="H101" s="7">
        <v>45791.0</v>
      </c>
      <c r="I101" s="7">
        <v>45791.0</v>
      </c>
      <c r="J101" s="8" t="s">
        <v>3066</v>
      </c>
      <c r="K101" s="8" t="s">
        <v>2089</v>
      </c>
      <c r="L101" s="8">
        <v>2005.0</v>
      </c>
      <c r="M101" s="8"/>
      <c r="N101" s="8"/>
      <c r="O101" s="8"/>
      <c r="P101" s="8"/>
      <c r="Q101" s="9">
        <v>38608.0</v>
      </c>
      <c r="R101" s="8" t="s">
        <v>2090</v>
      </c>
      <c r="S101" s="8"/>
      <c r="T101" s="8"/>
      <c r="U101" s="8"/>
      <c r="V101" s="8"/>
      <c r="W101" s="8"/>
      <c r="X101" s="8"/>
      <c r="Y101" s="8" t="s">
        <v>2089</v>
      </c>
      <c r="Z101" s="8" t="s">
        <v>3067</v>
      </c>
      <c r="AA101" s="8"/>
      <c r="AB101" s="8"/>
      <c r="AC101" s="8"/>
      <c r="AD101" s="8" t="s">
        <v>2080</v>
      </c>
      <c r="AE101" s="8" t="s">
        <v>2080</v>
      </c>
      <c r="AF101" s="8"/>
      <c r="AG101" s="8"/>
      <c r="AH101" s="8" t="s">
        <v>3068</v>
      </c>
      <c r="AI101" s="8"/>
      <c r="AJ101" s="8" t="s">
        <v>3069</v>
      </c>
      <c r="AK101" s="8" t="s">
        <v>3070</v>
      </c>
      <c r="AL101" s="8"/>
      <c r="AM101" s="8" t="s">
        <v>2095</v>
      </c>
    </row>
    <row r="102" ht="14.25" customHeight="1">
      <c r="A102" s="8">
        <v>100.0</v>
      </c>
      <c r="B102" s="8" t="s">
        <v>3071</v>
      </c>
      <c r="C102" s="8"/>
      <c r="D102" s="8" t="s">
        <v>3072</v>
      </c>
      <c r="E102" s="8" t="s">
        <v>3073</v>
      </c>
      <c r="F102" s="8" t="s">
        <v>3074</v>
      </c>
      <c r="G102" s="8"/>
      <c r="H102" s="8"/>
      <c r="I102" s="7">
        <v>38589.0</v>
      </c>
      <c r="J102" s="8" t="s">
        <v>3075</v>
      </c>
      <c r="K102" s="8" t="s">
        <v>2892</v>
      </c>
      <c r="L102" s="8">
        <v>2005.0</v>
      </c>
      <c r="M102" s="8">
        <v>33.0</v>
      </c>
      <c r="N102" s="8">
        <v>8.0</v>
      </c>
      <c r="O102" s="8">
        <v>1160.0</v>
      </c>
      <c r="P102" s="8">
        <v>1165.0</v>
      </c>
      <c r="Q102" s="10">
        <v>46239.0</v>
      </c>
      <c r="R102" s="8" t="s">
        <v>2075</v>
      </c>
      <c r="S102" s="8"/>
      <c r="T102" s="8"/>
      <c r="U102" s="8"/>
      <c r="V102" s="8"/>
      <c r="W102" s="8" t="s">
        <v>3076</v>
      </c>
      <c r="X102" s="8"/>
      <c r="Y102" s="8" t="s">
        <v>2894</v>
      </c>
      <c r="Z102" s="8" t="s">
        <v>3077</v>
      </c>
      <c r="AA102" s="8" t="s">
        <v>3078</v>
      </c>
      <c r="AB102" s="8"/>
      <c r="AC102" s="8"/>
      <c r="AD102" s="8" t="s">
        <v>2080</v>
      </c>
      <c r="AE102" s="8" t="s">
        <v>2080</v>
      </c>
      <c r="AF102" s="8">
        <v>2.005337472E9</v>
      </c>
      <c r="AG102" s="8">
        <v>1.6000666E7</v>
      </c>
      <c r="AH102" s="8" t="s">
        <v>3079</v>
      </c>
      <c r="AI102" s="8" t="s">
        <v>606</v>
      </c>
      <c r="AJ102" s="8" t="s">
        <v>3080</v>
      </c>
      <c r="AK102" s="8" t="s">
        <v>3081</v>
      </c>
      <c r="AL102" s="8" t="s">
        <v>3082</v>
      </c>
      <c r="AM102" s="8" t="s">
        <v>2967</v>
      </c>
    </row>
    <row r="103" ht="14.25" customHeight="1">
      <c r="A103" s="8">
        <v>101.0</v>
      </c>
      <c r="B103" s="8" t="s">
        <v>3083</v>
      </c>
      <c r="C103" s="8"/>
      <c r="D103" s="8" t="s">
        <v>3084</v>
      </c>
      <c r="E103" s="8" t="s">
        <v>3085</v>
      </c>
      <c r="F103" s="8" t="s">
        <v>3086</v>
      </c>
      <c r="G103" s="8"/>
      <c r="H103" s="8"/>
      <c r="I103" s="7">
        <v>38460.0</v>
      </c>
      <c r="J103" s="8" t="s">
        <v>3087</v>
      </c>
      <c r="K103" s="8" t="s">
        <v>2241</v>
      </c>
      <c r="L103" s="8">
        <v>2005.0</v>
      </c>
      <c r="M103" s="8">
        <v>21.0</v>
      </c>
      <c r="N103" s="8">
        <v>4.0</v>
      </c>
      <c r="O103" s="8">
        <v>412.0</v>
      </c>
      <c r="P103" s="8">
        <v>417.0</v>
      </c>
      <c r="Q103" s="10">
        <v>46117.0</v>
      </c>
      <c r="R103" s="8" t="s">
        <v>2075</v>
      </c>
      <c r="S103" s="8"/>
      <c r="T103" s="8"/>
      <c r="U103" s="8"/>
      <c r="V103" s="8"/>
      <c r="W103" s="8" t="s">
        <v>2821</v>
      </c>
      <c r="X103" s="8"/>
      <c r="Y103" s="8" t="s">
        <v>2822</v>
      </c>
      <c r="Z103" s="8" t="s">
        <v>3088</v>
      </c>
      <c r="AA103" s="8"/>
      <c r="AB103" s="8"/>
      <c r="AC103" s="8"/>
      <c r="AD103" s="8" t="s">
        <v>2080</v>
      </c>
      <c r="AE103" s="8" t="s">
        <v>2080</v>
      </c>
      <c r="AF103" s="8">
        <v>2.005144631E9</v>
      </c>
      <c r="AG103" s="8">
        <v>1.580052E7</v>
      </c>
      <c r="AH103" s="8" t="s">
        <v>3089</v>
      </c>
      <c r="AI103" s="8" t="s">
        <v>617</v>
      </c>
      <c r="AJ103" s="8" t="s">
        <v>3090</v>
      </c>
      <c r="AK103" s="8" t="s">
        <v>3091</v>
      </c>
      <c r="AL103" s="8" t="s">
        <v>3092</v>
      </c>
      <c r="AM103" s="8" t="s">
        <v>2900</v>
      </c>
    </row>
    <row r="104" ht="14.25" customHeight="1">
      <c r="A104" s="8">
        <v>102.0</v>
      </c>
      <c r="B104" s="8" t="s">
        <v>3093</v>
      </c>
      <c r="C104" s="8"/>
      <c r="D104" s="8" t="s">
        <v>3094</v>
      </c>
      <c r="E104" s="8" t="s">
        <v>3095</v>
      </c>
      <c r="F104" s="8" t="s">
        <v>3096</v>
      </c>
      <c r="G104" s="8"/>
      <c r="H104" s="8"/>
      <c r="I104" s="7">
        <v>38419.0</v>
      </c>
      <c r="J104" s="8" t="s">
        <v>3097</v>
      </c>
      <c r="K104" s="8" t="s">
        <v>2892</v>
      </c>
      <c r="L104" s="8">
        <v>2005.0</v>
      </c>
      <c r="M104" s="8">
        <v>33.0</v>
      </c>
      <c r="N104" s="8">
        <v>3.0</v>
      </c>
      <c r="O104" s="8">
        <v>347.0</v>
      </c>
      <c r="P104" s="8">
        <v>359.0</v>
      </c>
      <c r="Q104" s="10">
        <v>46086.0</v>
      </c>
      <c r="R104" s="8" t="s">
        <v>2075</v>
      </c>
      <c r="S104" s="8"/>
      <c r="T104" s="8"/>
      <c r="U104" s="8"/>
      <c r="V104" s="8"/>
      <c r="W104" s="8" t="s">
        <v>3076</v>
      </c>
      <c r="X104" s="8"/>
      <c r="Y104" s="8" t="s">
        <v>2894</v>
      </c>
      <c r="Z104" s="8" t="s">
        <v>3098</v>
      </c>
      <c r="AA104" s="8"/>
      <c r="AB104" s="8"/>
      <c r="AC104" s="8"/>
      <c r="AD104" s="8" t="s">
        <v>2080</v>
      </c>
      <c r="AE104" s="8" t="s">
        <v>2080</v>
      </c>
      <c r="AF104" s="8">
        <v>2.005089359E9</v>
      </c>
      <c r="AG104" s="8">
        <v>1.571625E7</v>
      </c>
      <c r="AH104" s="8" t="s">
        <v>3099</v>
      </c>
      <c r="AI104" s="8" t="s">
        <v>622</v>
      </c>
      <c r="AJ104" s="8" t="s">
        <v>3100</v>
      </c>
      <c r="AK104" s="8" t="s">
        <v>3101</v>
      </c>
      <c r="AL104" s="8" t="s">
        <v>3102</v>
      </c>
      <c r="AM104" s="8" t="s">
        <v>2900</v>
      </c>
    </row>
    <row r="105" ht="14.25" customHeight="1">
      <c r="A105" s="8">
        <v>103.0</v>
      </c>
      <c r="B105" s="8" t="s">
        <v>628</v>
      </c>
      <c r="C105" s="8"/>
      <c r="D105" s="8" t="s">
        <v>3103</v>
      </c>
      <c r="E105" s="8" t="s">
        <v>3104</v>
      </c>
      <c r="F105" s="8" t="s">
        <v>3105</v>
      </c>
      <c r="G105" s="8"/>
      <c r="H105" s="8"/>
      <c r="I105" s="7">
        <v>38404.0</v>
      </c>
      <c r="J105" s="8" t="s">
        <v>3106</v>
      </c>
      <c r="K105" s="8" t="s">
        <v>2241</v>
      </c>
      <c r="L105" s="8">
        <v>2005.0</v>
      </c>
      <c r="M105" s="8">
        <v>21.0</v>
      </c>
      <c r="N105" s="8">
        <v>2.0</v>
      </c>
      <c r="O105" s="8">
        <v>147.0</v>
      </c>
      <c r="P105" s="8">
        <v>151.0</v>
      </c>
      <c r="Q105" s="10">
        <v>46058.0</v>
      </c>
      <c r="R105" s="8" t="s">
        <v>2075</v>
      </c>
      <c r="S105" s="8"/>
      <c r="T105" s="8"/>
      <c r="U105" s="8"/>
      <c r="V105" s="8"/>
      <c r="W105" s="8" t="s">
        <v>2821</v>
      </c>
      <c r="X105" s="8"/>
      <c r="Y105" s="8" t="s">
        <v>2822</v>
      </c>
      <c r="Z105" s="8" t="s">
        <v>3107</v>
      </c>
      <c r="AA105" s="8" t="s">
        <v>3108</v>
      </c>
      <c r="AB105" s="8"/>
      <c r="AC105" s="8"/>
      <c r="AD105" s="8" t="s">
        <v>2080</v>
      </c>
      <c r="AE105" s="8" t="s">
        <v>2080</v>
      </c>
      <c r="AF105" s="8">
        <v>2.005066698E9</v>
      </c>
      <c r="AG105" s="8">
        <v>1.5689862E7</v>
      </c>
      <c r="AH105" s="8" t="s">
        <v>3109</v>
      </c>
      <c r="AI105" s="8" t="s">
        <v>632</v>
      </c>
      <c r="AJ105" s="8" t="s">
        <v>3110</v>
      </c>
      <c r="AK105" s="8" t="s">
        <v>3111</v>
      </c>
      <c r="AL105" s="8" t="s">
        <v>3112</v>
      </c>
      <c r="AM105" s="8" t="s">
        <v>2900</v>
      </c>
    </row>
    <row r="106" ht="14.25" customHeight="1">
      <c r="A106" s="8">
        <v>104.0</v>
      </c>
      <c r="B106" s="8" t="s">
        <v>638</v>
      </c>
      <c r="C106" s="8"/>
      <c r="D106" s="8" t="s">
        <v>3113</v>
      </c>
      <c r="E106" s="8" t="s">
        <v>3114</v>
      </c>
      <c r="F106" s="8" t="s">
        <v>3115</v>
      </c>
      <c r="G106" s="8"/>
      <c r="H106" s="8"/>
      <c r="I106" s="7">
        <v>38364.0</v>
      </c>
      <c r="J106" s="8" t="s">
        <v>3116</v>
      </c>
      <c r="K106" s="8" t="s">
        <v>2892</v>
      </c>
      <c r="L106" s="8">
        <v>2005.0</v>
      </c>
      <c r="M106" s="8">
        <v>33.0</v>
      </c>
      <c r="N106" s="8">
        <v>1.0</v>
      </c>
      <c r="O106" s="8">
        <v>94.0</v>
      </c>
      <c r="P106" s="8">
        <v>101.0</v>
      </c>
      <c r="Q106" s="10">
        <v>46027.0</v>
      </c>
      <c r="R106" s="8" t="s">
        <v>2075</v>
      </c>
      <c r="S106" s="8"/>
      <c r="T106" s="8"/>
      <c r="U106" s="8"/>
      <c r="V106" s="8"/>
      <c r="W106" s="8" t="s">
        <v>3076</v>
      </c>
      <c r="X106" s="8"/>
      <c r="Y106" s="8" t="s">
        <v>2894</v>
      </c>
      <c r="Z106" s="8" t="s">
        <v>3117</v>
      </c>
      <c r="AA106" s="8"/>
      <c r="AB106" s="8"/>
      <c r="AC106" s="8"/>
      <c r="AD106" s="8" t="s">
        <v>2080</v>
      </c>
      <c r="AE106" s="8" t="s">
        <v>2080</v>
      </c>
      <c r="AF106" s="8">
        <v>2.005011101E9</v>
      </c>
      <c r="AG106" s="8">
        <v>1.5611004E7</v>
      </c>
      <c r="AH106" s="8" t="s">
        <v>3118</v>
      </c>
      <c r="AI106" s="8" t="s">
        <v>642</v>
      </c>
      <c r="AJ106" s="8" t="s">
        <v>3119</v>
      </c>
      <c r="AK106" s="8" t="s">
        <v>3120</v>
      </c>
      <c r="AL106" s="8" t="s">
        <v>3121</v>
      </c>
      <c r="AM106" s="8" t="s">
        <v>2900</v>
      </c>
    </row>
    <row r="107" ht="14.25" customHeight="1">
      <c r="A107" s="8">
        <v>105.0</v>
      </c>
      <c r="B107" s="8" t="s">
        <v>633</v>
      </c>
      <c r="C107" s="8"/>
      <c r="D107" s="8" t="s">
        <v>3122</v>
      </c>
      <c r="E107" s="8" t="s">
        <v>3123</v>
      </c>
      <c r="F107" s="8" t="s">
        <v>3124</v>
      </c>
      <c r="G107" s="8"/>
      <c r="H107" s="8"/>
      <c r="I107" s="7">
        <v>38377.0</v>
      </c>
      <c r="J107" s="8" t="s">
        <v>3125</v>
      </c>
      <c r="K107" s="8" t="s">
        <v>2241</v>
      </c>
      <c r="L107" s="8">
        <v>2005.0</v>
      </c>
      <c r="M107" s="8">
        <v>21.0</v>
      </c>
      <c r="N107" s="8">
        <v>1.0</v>
      </c>
      <c r="O107" s="8">
        <v>34.0</v>
      </c>
      <c r="P107" s="8">
        <v>42.0</v>
      </c>
      <c r="Q107" s="10">
        <v>46027.0</v>
      </c>
      <c r="R107" s="8" t="s">
        <v>2075</v>
      </c>
      <c r="S107" s="8"/>
      <c r="T107" s="8"/>
      <c r="U107" s="8"/>
      <c r="V107" s="8"/>
      <c r="W107" s="8" t="s">
        <v>2821</v>
      </c>
      <c r="X107" s="8"/>
      <c r="Y107" s="8" t="s">
        <v>2822</v>
      </c>
      <c r="Z107" s="8" t="s">
        <v>3126</v>
      </c>
      <c r="AA107" s="8"/>
      <c r="AB107" s="8"/>
      <c r="AC107" s="8"/>
      <c r="AD107" s="8" t="s">
        <v>2080</v>
      </c>
      <c r="AE107" s="8" t="s">
        <v>2080</v>
      </c>
      <c r="AF107" s="8">
        <v>2.005028337E9</v>
      </c>
      <c r="AG107" s="8">
        <v>1.5650664E7</v>
      </c>
      <c r="AH107" s="8" t="s">
        <v>3127</v>
      </c>
      <c r="AI107" s="8" t="s">
        <v>637</v>
      </c>
      <c r="AJ107" s="8" t="s">
        <v>3128</v>
      </c>
      <c r="AK107" s="8" t="s">
        <v>3129</v>
      </c>
      <c r="AL107" s="8" t="s">
        <v>3130</v>
      </c>
      <c r="AM107" s="8" t="s">
        <v>2900</v>
      </c>
    </row>
    <row r="108" ht="14.25" customHeight="1">
      <c r="A108" s="8">
        <v>106.0</v>
      </c>
      <c r="B108" s="8" t="s">
        <v>643</v>
      </c>
      <c r="C108" s="8"/>
      <c r="D108" s="8" t="s">
        <v>3131</v>
      </c>
      <c r="E108" s="8" t="s">
        <v>3132</v>
      </c>
      <c r="F108" s="8" t="s">
        <v>3133</v>
      </c>
      <c r="G108" s="8"/>
      <c r="H108" s="8"/>
      <c r="I108" s="7">
        <v>38330.0</v>
      </c>
      <c r="J108" s="8" t="s">
        <v>3134</v>
      </c>
      <c r="K108" s="8" t="s">
        <v>2892</v>
      </c>
      <c r="L108" s="8">
        <v>2004.0</v>
      </c>
      <c r="M108" s="8">
        <v>32.0</v>
      </c>
      <c r="N108" s="8">
        <v>8.0</v>
      </c>
      <c r="O108" s="8">
        <v>1881.0</v>
      </c>
      <c r="P108" s="8">
        <v>1886.0</v>
      </c>
      <c r="Q108" s="10">
        <v>46360.0</v>
      </c>
      <c r="R108" s="8" t="s">
        <v>2075</v>
      </c>
      <c r="S108" s="8"/>
      <c r="T108" s="8"/>
      <c r="U108" s="8"/>
      <c r="V108" s="8"/>
      <c r="W108" s="8" t="s">
        <v>3076</v>
      </c>
      <c r="X108" s="8"/>
      <c r="Y108" s="8" t="s">
        <v>2894</v>
      </c>
      <c r="Z108" s="8" t="s">
        <v>3135</v>
      </c>
      <c r="AA108" s="8"/>
      <c r="AB108" s="8"/>
      <c r="AC108" s="8"/>
      <c r="AD108" s="8" t="s">
        <v>2080</v>
      </c>
      <c r="AE108" s="8" t="s">
        <v>2080</v>
      </c>
      <c r="AF108" s="8">
        <v>2.004505854E9</v>
      </c>
      <c r="AG108" s="8">
        <v>1.5572316E7</v>
      </c>
      <c r="AH108" s="8" t="s">
        <v>3136</v>
      </c>
      <c r="AI108" s="8" t="s">
        <v>647</v>
      </c>
      <c r="AJ108" s="8" t="s">
        <v>3137</v>
      </c>
      <c r="AK108" s="8" t="s">
        <v>3138</v>
      </c>
      <c r="AL108" s="8" t="s">
        <v>3139</v>
      </c>
      <c r="AM108" s="8" t="s">
        <v>2967</v>
      </c>
    </row>
    <row r="109" ht="14.25" customHeight="1">
      <c r="A109" s="8">
        <v>107.0</v>
      </c>
      <c r="B109" s="8" t="s">
        <v>3140</v>
      </c>
      <c r="C109" s="8"/>
      <c r="D109" s="8" t="s">
        <v>3141</v>
      </c>
      <c r="E109" s="8" t="s">
        <v>3142</v>
      </c>
      <c r="F109" s="8" t="s">
        <v>3143</v>
      </c>
      <c r="G109" s="8"/>
      <c r="H109" s="8"/>
      <c r="I109" s="7">
        <v>38296.0</v>
      </c>
      <c r="J109" s="8" t="s">
        <v>3144</v>
      </c>
      <c r="K109" s="8" t="s">
        <v>3145</v>
      </c>
      <c r="L109" s="8">
        <v>2004.0</v>
      </c>
      <c r="M109" s="8">
        <v>86.0</v>
      </c>
      <c r="N109" s="8">
        <v>10.0</v>
      </c>
      <c r="O109" s="8">
        <v>2143.0</v>
      </c>
      <c r="P109" s="8">
        <v>2155.0</v>
      </c>
      <c r="Q109" s="10">
        <v>46299.0</v>
      </c>
      <c r="R109" s="8" t="s">
        <v>2075</v>
      </c>
      <c r="S109" s="8"/>
      <c r="T109" s="8"/>
      <c r="U109" s="8"/>
      <c r="V109" s="8"/>
      <c r="W109" s="8" t="s">
        <v>3146</v>
      </c>
      <c r="X109" s="8"/>
      <c r="Y109" s="8" t="s">
        <v>3147</v>
      </c>
      <c r="Z109" s="8" t="s">
        <v>3148</v>
      </c>
      <c r="AA109" s="8"/>
      <c r="AB109" s="8"/>
      <c r="AC109" s="8"/>
      <c r="AD109" s="8" t="s">
        <v>2080</v>
      </c>
      <c r="AE109" s="8" t="s">
        <v>2080</v>
      </c>
      <c r="AF109" s="8"/>
      <c r="AG109" s="8">
        <v>1.5466722E7</v>
      </c>
      <c r="AH109" s="8" t="s">
        <v>3149</v>
      </c>
      <c r="AI109" s="8" t="s">
        <v>3150</v>
      </c>
      <c r="AJ109" s="8" t="s">
        <v>3151</v>
      </c>
      <c r="AK109" s="8" t="s">
        <v>3152</v>
      </c>
      <c r="AL109" s="8" t="s">
        <v>3153</v>
      </c>
      <c r="AM109" s="8" t="s">
        <v>2249</v>
      </c>
    </row>
    <row r="110" ht="14.25" customHeight="1">
      <c r="A110" s="8">
        <v>108.0</v>
      </c>
      <c r="B110" s="8" t="s">
        <v>3154</v>
      </c>
      <c r="C110" s="8" t="s">
        <v>3155</v>
      </c>
      <c r="D110" s="8" t="s">
        <v>3156</v>
      </c>
      <c r="E110" s="8" t="s">
        <v>3157</v>
      </c>
      <c r="F110" s="8" t="s">
        <v>3158</v>
      </c>
      <c r="G110" s="8"/>
      <c r="H110" s="8"/>
      <c r="I110" s="7">
        <v>37901.0</v>
      </c>
      <c r="J110" s="8" t="s">
        <v>3159</v>
      </c>
      <c r="K110" s="8" t="s">
        <v>2939</v>
      </c>
      <c r="L110" s="8">
        <v>2003.0</v>
      </c>
      <c r="M110" s="8">
        <v>89.0</v>
      </c>
      <c r="N110" s="8">
        <v>5.0</v>
      </c>
      <c r="O110" s="8">
        <v>413.0</v>
      </c>
      <c r="P110" s="8">
        <v>422.0</v>
      </c>
      <c r="Q110" s="10">
        <v>46268.0</v>
      </c>
      <c r="R110" s="8" t="s">
        <v>2075</v>
      </c>
      <c r="S110" s="8"/>
      <c r="T110" s="8"/>
      <c r="U110" s="8"/>
      <c r="V110" s="8"/>
      <c r="W110" s="8" t="s">
        <v>2940</v>
      </c>
      <c r="X110" s="8"/>
      <c r="Y110" s="8" t="s">
        <v>2941</v>
      </c>
      <c r="Z110" s="8" t="s">
        <v>3160</v>
      </c>
      <c r="AA110" s="8"/>
      <c r="AB110" s="8"/>
      <c r="AC110" s="8"/>
      <c r="AD110" s="8" t="s">
        <v>2943</v>
      </c>
      <c r="AE110" s="8" t="s">
        <v>3060</v>
      </c>
      <c r="AF110" s="8">
        <v>2.003389479E9</v>
      </c>
      <c r="AG110" s="8">
        <v>1.3679741E7</v>
      </c>
      <c r="AH110" s="8" t="s">
        <v>3161</v>
      </c>
      <c r="AI110" s="8"/>
      <c r="AJ110" s="8"/>
      <c r="AK110" s="8" t="s">
        <v>3162</v>
      </c>
      <c r="AL110" s="8" t="s">
        <v>3163</v>
      </c>
      <c r="AM110" s="8" t="s">
        <v>2967</v>
      </c>
    </row>
    <row r="111" ht="14.25" customHeight="1">
      <c r="A111" s="8">
        <v>109.0</v>
      </c>
      <c r="B111" s="8" t="s">
        <v>3164</v>
      </c>
      <c r="C111" s="8"/>
      <c r="D111" s="8" t="s">
        <v>3165</v>
      </c>
      <c r="E111" s="8" t="s">
        <v>3166</v>
      </c>
      <c r="F111" s="8" t="s">
        <v>3167</v>
      </c>
      <c r="G111" s="8"/>
      <c r="H111" s="8"/>
      <c r="I111" s="7">
        <v>38070.0</v>
      </c>
      <c r="J111" s="8" t="s">
        <v>3168</v>
      </c>
      <c r="K111" s="8" t="s">
        <v>2755</v>
      </c>
      <c r="L111" s="8">
        <v>2003.0</v>
      </c>
      <c r="M111" s="8">
        <v>11.0</v>
      </c>
      <c r="N111" s="8">
        <v>5.0</v>
      </c>
      <c r="O111" s="8">
        <v>318.0</v>
      </c>
      <c r="P111" s="8">
        <v>321.0</v>
      </c>
      <c r="Q111" s="10">
        <v>46268.0</v>
      </c>
      <c r="R111" s="8" t="s">
        <v>2075</v>
      </c>
      <c r="S111" s="8"/>
      <c r="T111" s="8"/>
      <c r="U111" s="8"/>
      <c r="V111" s="8"/>
      <c r="W111" s="8" t="s">
        <v>3169</v>
      </c>
      <c r="X111" s="8"/>
      <c r="Y111" s="8" t="s">
        <v>2674</v>
      </c>
      <c r="Z111" s="8" t="s">
        <v>3170</v>
      </c>
      <c r="AA111" s="8"/>
      <c r="AB111" s="8"/>
      <c r="AC111" s="8"/>
      <c r="AD111" s="8" t="s">
        <v>2080</v>
      </c>
      <c r="AE111" s="8" t="s">
        <v>2080</v>
      </c>
      <c r="AF111" s="8"/>
      <c r="AG111" s="8">
        <v>1.2897981E7</v>
      </c>
      <c r="AH111" s="8" t="s">
        <v>3171</v>
      </c>
      <c r="AI111" s="8" t="s">
        <v>664</v>
      </c>
      <c r="AJ111" s="8" t="s">
        <v>3172</v>
      </c>
      <c r="AK111" s="8" t="s">
        <v>3173</v>
      </c>
      <c r="AL111" s="8" t="s">
        <v>3174</v>
      </c>
      <c r="AM111" s="8" t="s">
        <v>2763</v>
      </c>
    </row>
    <row r="112" ht="14.25" customHeight="1">
      <c r="A112" s="8">
        <v>110.0</v>
      </c>
      <c r="B112" s="8" t="s">
        <v>3175</v>
      </c>
      <c r="C112" s="8"/>
      <c r="D112" s="8" t="s">
        <v>3176</v>
      </c>
      <c r="E112" s="8" t="s">
        <v>3177</v>
      </c>
      <c r="F112" s="8" t="s">
        <v>3178</v>
      </c>
      <c r="G112" s="8"/>
      <c r="H112" s="8"/>
      <c r="I112" s="7">
        <v>37805.0</v>
      </c>
      <c r="J112" s="8" t="s">
        <v>3179</v>
      </c>
      <c r="K112" s="8" t="s">
        <v>2369</v>
      </c>
      <c r="L112" s="8">
        <v>2003.0</v>
      </c>
      <c r="M112" s="8">
        <v>123.0</v>
      </c>
      <c r="N112" s="8">
        <v>4.0</v>
      </c>
      <c r="O112" s="8">
        <v>144.0</v>
      </c>
      <c r="P112" s="8">
        <v>147.0</v>
      </c>
      <c r="Q112" s="10">
        <v>46145.0</v>
      </c>
      <c r="R112" s="8" t="s">
        <v>2075</v>
      </c>
      <c r="S112" s="8"/>
      <c r="T112" s="8"/>
      <c r="U112" s="8"/>
      <c r="V112" s="8"/>
      <c r="W112" s="8" t="s">
        <v>3180</v>
      </c>
      <c r="X112" s="8"/>
      <c r="Y112" s="8" t="s">
        <v>2757</v>
      </c>
      <c r="Z112" s="8" t="s">
        <v>3181</v>
      </c>
      <c r="AA112" s="8"/>
      <c r="AB112" s="8"/>
      <c r="AC112" s="8"/>
      <c r="AD112" s="8" t="s">
        <v>2080</v>
      </c>
      <c r="AE112" s="8" t="s">
        <v>2080</v>
      </c>
      <c r="AF112" s="8">
        <v>2.003248893E9</v>
      </c>
      <c r="AG112" s="8">
        <v>1.273471E7</v>
      </c>
      <c r="AH112" s="8" t="s">
        <v>3182</v>
      </c>
      <c r="AI112" s="8" t="s">
        <v>679</v>
      </c>
      <c r="AJ112" s="8" t="s">
        <v>3183</v>
      </c>
      <c r="AK112" s="8" t="s">
        <v>3184</v>
      </c>
      <c r="AL112" s="8" t="s">
        <v>3185</v>
      </c>
      <c r="AM112" s="8" t="s">
        <v>2967</v>
      </c>
    </row>
    <row r="113" ht="14.25" customHeight="1">
      <c r="A113" s="8">
        <v>111.0</v>
      </c>
      <c r="B113" s="8" t="s">
        <v>3186</v>
      </c>
      <c r="C113" s="8"/>
      <c r="D113" s="8" t="s">
        <v>3187</v>
      </c>
      <c r="E113" s="8" t="s">
        <v>3188</v>
      </c>
      <c r="F113" s="8" t="s">
        <v>3189</v>
      </c>
      <c r="G113" s="8"/>
      <c r="H113" s="8"/>
      <c r="I113" s="7">
        <v>37602.0</v>
      </c>
      <c r="J113" s="8" t="s">
        <v>3190</v>
      </c>
      <c r="K113" s="8" t="s">
        <v>2892</v>
      </c>
      <c r="L113" s="8">
        <v>2002.0</v>
      </c>
      <c r="M113" s="8">
        <v>30.0</v>
      </c>
      <c r="N113" s="8">
        <v>6.0</v>
      </c>
      <c r="O113" s="8">
        <v>851.0</v>
      </c>
      <c r="P113" s="8">
        <v>856.0</v>
      </c>
      <c r="Q113" s="9">
        <v>37591.0</v>
      </c>
      <c r="R113" s="8" t="s">
        <v>2075</v>
      </c>
      <c r="S113" s="8"/>
      <c r="T113" s="8"/>
      <c r="U113" s="8"/>
      <c r="V113" s="8"/>
      <c r="W113" s="8" t="s">
        <v>3076</v>
      </c>
      <c r="X113" s="8"/>
      <c r="Y113" s="8" t="s">
        <v>2894</v>
      </c>
      <c r="Z113" s="8" t="s">
        <v>3191</v>
      </c>
      <c r="AA113" s="8"/>
      <c r="AB113" s="8"/>
      <c r="AC113" s="8"/>
      <c r="AD113" s="8" t="s">
        <v>2080</v>
      </c>
      <c r="AE113" s="8" t="s">
        <v>2080</v>
      </c>
      <c r="AF113" s="8">
        <v>2.00242905E9</v>
      </c>
      <c r="AG113" s="8">
        <v>1.2435652E7</v>
      </c>
      <c r="AH113" s="8" t="s">
        <v>3192</v>
      </c>
      <c r="AI113" s="8" t="s">
        <v>698</v>
      </c>
      <c r="AJ113" s="8" t="s">
        <v>3193</v>
      </c>
      <c r="AK113" s="8" t="s">
        <v>3194</v>
      </c>
      <c r="AL113" s="8" t="s">
        <v>3195</v>
      </c>
      <c r="AM113" s="8" t="s">
        <v>2967</v>
      </c>
    </row>
    <row r="114" ht="14.25" customHeight="1">
      <c r="A114" s="8">
        <v>112.0</v>
      </c>
      <c r="B114" s="8" t="s">
        <v>3196</v>
      </c>
      <c r="C114" s="8"/>
      <c r="D114" s="8" t="s">
        <v>3197</v>
      </c>
      <c r="E114" s="8" t="s">
        <v>3198</v>
      </c>
      <c r="F114" s="8" t="s">
        <v>3199</v>
      </c>
      <c r="G114" s="8"/>
      <c r="H114" s="8"/>
      <c r="I114" s="7">
        <v>37377.0</v>
      </c>
      <c r="J114" s="8" t="s">
        <v>3200</v>
      </c>
      <c r="K114" s="8" t="s">
        <v>3201</v>
      </c>
      <c r="L114" s="8">
        <v>2002.0</v>
      </c>
      <c r="M114" s="8">
        <v>84.0</v>
      </c>
      <c r="N114" s="8">
        <v>3.0</v>
      </c>
      <c r="O114" s="8">
        <v>356.0</v>
      </c>
      <c r="P114" s="8">
        <v>360.0</v>
      </c>
      <c r="Q114" s="8">
        <v>2002.0</v>
      </c>
      <c r="R114" s="8" t="s">
        <v>2075</v>
      </c>
      <c r="S114" s="8"/>
      <c r="T114" s="8"/>
      <c r="U114" s="8"/>
      <c r="V114" s="8"/>
      <c r="W114" s="8" t="s">
        <v>3202</v>
      </c>
      <c r="X114" s="8"/>
      <c r="Y114" s="8" t="s">
        <v>3203</v>
      </c>
      <c r="Z114" s="8" t="s">
        <v>3204</v>
      </c>
      <c r="AA114" s="8"/>
      <c r="AB114" s="8"/>
      <c r="AC114" s="8"/>
      <c r="AD114" s="8" t="s">
        <v>2080</v>
      </c>
      <c r="AE114" s="8" t="s">
        <v>2080</v>
      </c>
      <c r="AF114" s="8">
        <v>2.002148041E9</v>
      </c>
      <c r="AG114" s="8">
        <v>1.2002492E7</v>
      </c>
      <c r="AH114" s="8" t="s">
        <v>3205</v>
      </c>
      <c r="AI114" s="8" t="s">
        <v>3206</v>
      </c>
      <c r="AJ114" s="8" t="s">
        <v>3207</v>
      </c>
      <c r="AK114" s="8" t="s">
        <v>3208</v>
      </c>
      <c r="AL114" s="8" t="s">
        <v>3209</v>
      </c>
      <c r="AM114" s="8" t="s">
        <v>2967</v>
      </c>
    </row>
    <row r="115" ht="14.25" customHeight="1">
      <c r="A115" s="8">
        <v>113.0</v>
      </c>
      <c r="B115" s="8" t="s">
        <v>3210</v>
      </c>
      <c r="C115" s="8"/>
      <c r="D115" s="8" t="s">
        <v>3211</v>
      </c>
      <c r="E115" s="8" t="s">
        <v>3212</v>
      </c>
      <c r="F115" s="8" t="s">
        <v>3213</v>
      </c>
      <c r="G115" s="8"/>
      <c r="H115" s="8"/>
      <c r="I115" s="7">
        <v>37453.0</v>
      </c>
      <c r="J115" s="8" t="s">
        <v>3214</v>
      </c>
      <c r="K115" s="8" t="s">
        <v>3215</v>
      </c>
      <c r="L115" s="8">
        <v>2002.0</v>
      </c>
      <c r="M115" s="8">
        <v>12.0</v>
      </c>
      <c r="N115" s="8">
        <v>2.0</v>
      </c>
      <c r="O115" s="8">
        <v>73.0</v>
      </c>
      <c r="P115" s="8">
        <v>80.0</v>
      </c>
      <c r="Q115" s="10">
        <v>46114.0</v>
      </c>
      <c r="R115" s="8" t="s">
        <v>2075</v>
      </c>
      <c r="S115" s="8"/>
      <c r="T115" s="8"/>
      <c r="U115" s="8"/>
      <c r="V115" s="8"/>
      <c r="W115" s="8" t="s">
        <v>3216</v>
      </c>
      <c r="X115" s="8"/>
      <c r="Y115" s="8"/>
      <c r="Z115" s="8" t="s">
        <v>3217</v>
      </c>
      <c r="AA115" s="8"/>
      <c r="AB115" s="8"/>
      <c r="AC115" s="8"/>
      <c r="AD115" s="8" t="s">
        <v>2080</v>
      </c>
      <c r="AE115" s="8"/>
      <c r="AF115" s="8"/>
      <c r="AG115" s="8">
        <v>1.2121424E7</v>
      </c>
      <c r="AH115" s="8" t="s">
        <v>3218</v>
      </c>
      <c r="AI115" s="8"/>
      <c r="AJ115" s="8"/>
      <c r="AK115" s="8" t="s">
        <v>3219</v>
      </c>
      <c r="AL115" s="8" t="s">
        <v>3220</v>
      </c>
      <c r="AM115" s="8" t="s">
        <v>2763</v>
      </c>
    </row>
    <row r="116" ht="14.25" customHeight="1">
      <c r="A116" s="8">
        <v>114.0</v>
      </c>
      <c r="B116" s="8" t="s">
        <v>3221</v>
      </c>
      <c r="C116" s="8"/>
      <c r="D116" s="8" t="s">
        <v>3222</v>
      </c>
      <c r="E116" s="8" t="s">
        <v>3223</v>
      </c>
      <c r="F116" s="8" t="s">
        <v>3224</v>
      </c>
      <c r="G116" s="8"/>
      <c r="H116" s="8"/>
      <c r="I116" s="7">
        <v>37289.0</v>
      </c>
      <c r="J116" s="8" t="s">
        <v>3225</v>
      </c>
      <c r="K116" s="8" t="s">
        <v>2892</v>
      </c>
      <c r="L116" s="8">
        <v>2002.0</v>
      </c>
      <c r="M116" s="8">
        <v>30.0</v>
      </c>
      <c r="N116" s="8">
        <v>1.0</v>
      </c>
      <c r="O116" s="8">
        <v>27.0</v>
      </c>
      <c r="P116" s="8">
        <v>31.0</v>
      </c>
      <c r="Q116" s="8">
        <v>2002.0</v>
      </c>
      <c r="R116" s="8" t="s">
        <v>2075</v>
      </c>
      <c r="S116" s="8"/>
      <c r="T116" s="8"/>
      <c r="U116" s="8"/>
      <c r="V116" s="8"/>
      <c r="W116" s="8" t="s">
        <v>3076</v>
      </c>
      <c r="X116" s="8"/>
      <c r="Y116" s="8" t="s">
        <v>2894</v>
      </c>
      <c r="Z116" s="8" t="s">
        <v>3226</v>
      </c>
      <c r="AA116" s="8"/>
      <c r="AB116" s="8"/>
      <c r="AC116" s="8"/>
      <c r="AD116" s="8" t="s">
        <v>2080</v>
      </c>
      <c r="AE116" s="8" t="s">
        <v>2080</v>
      </c>
      <c r="AF116" s="8">
        <v>2.002035893E9</v>
      </c>
      <c r="AG116" s="8">
        <v>1.1798992E7</v>
      </c>
      <c r="AH116" s="8" t="s">
        <v>3227</v>
      </c>
      <c r="AI116" s="8" t="s">
        <v>746</v>
      </c>
      <c r="AJ116" s="8" t="s">
        <v>3228</v>
      </c>
      <c r="AK116" s="8" t="s">
        <v>3229</v>
      </c>
      <c r="AL116" s="8" t="s">
        <v>3230</v>
      </c>
      <c r="AM116" s="8" t="s">
        <v>2900</v>
      </c>
    </row>
    <row r="117" ht="14.25" customHeight="1">
      <c r="A117" s="8">
        <v>115.0</v>
      </c>
      <c r="B117" s="8" t="s">
        <v>3231</v>
      </c>
      <c r="C117" s="8"/>
      <c r="D117" s="8" t="s">
        <v>3232</v>
      </c>
      <c r="E117" s="8" t="s">
        <v>3233</v>
      </c>
      <c r="F117" s="8" t="s">
        <v>3234</v>
      </c>
      <c r="G117" s="8"/>
      <c r="H117" s="8"/>
      <c r="I117" s="7">
        <v>37529.0</v>
      </c>
      <c r="J117" s="8" t="s">
        <v>3235</v>
      </c>
      <c r="K117" s="8" t="s">
        <v>3145</v>
      </c>
      <c r="L117" s="8">
        <v>2002.0</v>
      </c>
      <c r="M117" s="8">
        <v>84.0</v>
      </c>
      <c r="N117" s="8">
        <v>9.0</v>
      </c>
      <c r="O117" s="8">
        <v>1503.0</v>
      </c>
      <c r="P117" s="8">
        <v>1513.0</v>
      </c>
      <c r="Q117" s="10">
        <v>46267.0</v>
      </c>
      <c r="R117" s="8" t="s">
        <v>2075</v>
      </c>
      <c r="S117" s="8"/>
      <c r="T117" s="8"/>
      <c r="U117" s="8"/>
      <c r="V117" s="8"/>
      <c r="W117" s="8" t="s">
        <v>3146</v>
      </c>
      <c r="X117" s="8"/>
      <c r="Y117" s="8" t="s">
        <v>3147</v>
      </c>
      <c r="Z117" s="8" t="s">
        <v>3236</v>
      </c>
      <c r="AA117" s="8"/>
      <c r="AB117" s="8"/>
      <c r="AC117" s="8"/>
      <c r="AD117" s="8" t="s">
        <v>2080</v>
      </c>
      <c r="AE117" s="8" t="s">
        <v>2080</v>
      </c>
      <c r="AF117" s="8"/>
      <c r="AG117" s="8">
        <v>1.2208905E7</v>
      </c>
      <c r="AH117" s="8" t="s">
        <v>3237</v>
      </c>
      <c r="AI117" s="8" t="s">
        <v>707</v>
      </c>
      <c r="AJ117" s="8" t="s">
        <v>3238</v>
      </c>
      <c r="AK117" s="8" t="s">
        <v>3239</v>
      </c>
      <c r="AL117" s="8" t="s">
        <v>3240</v>
      </c>
      <c r="AM117" s="8" t="s">
        <v>2249</v>
      </c>
    </row>
    <row r="118" ht="14.25" customHeight="1">
      <c r="A118" s="8">
        <v>116.0</v>
      </c>
      <c r="B118" s="8" t="s">
        <v>3241</v>
      </c>
      <c r="C118" s="8"/>
      <c r="D118" s="8" t="s">
        <v>3242</v>
      </c>
      <c r="E118" s="8" t="s">
        <v>3243</v>
      </c>
      <c r="F118" s="8" t="s">
        <v>3244</v>
      </c>
      <c r="G118" s="8"/>
      <c r="H118" s="8"/>
      <c r="I118" s="7">
        <v>37230.0</v>
      </c>
      <c r="J118" s="8" t="s">
        <v>3245</v>
      </c>
      <c r="K118" s="8" t="s">
        <v>2892</v>
      </c>
      <c r="L118" s="8">
        <v>2001.0</v>
      </c>
      <c r="M118" s="8">
        <v>29.0</v>
      </c>
      <c r="N118" s="8">
        <v>6.0</v>
      </c>
      <c r="O118" s="8">
        <v>722.0</v>
      </c>
      <c r="P118" s="8">
        <v>728.0</v>
      </c>
      <c r="Q118" s="8">
        <v>2001.0</v>
      </c>
      <c r="R118" s="8" t="s">
        <v>2075</v>
      </c>
      <c r="S118" s="8"/>
      <c r="T118" s="8"/>
      <c r="U118" s="8"/>
      <c r="V118" s="8"/>
      <c r="W118" s="8" t="s">
        <v>3076</v>
      </c>
      <c r="X118" s="8"/>
      <c r="Y118" s="8" t="s">
        <v>2894</v>
      </c>
      <c r="Z118" s="8" t="s">
        <v>3246</v>
      </c>
      <c r="AA118" s="8"/>
      <c r="AB118" s="8"/>
      <c r="AC118" s="8"/>
      <c r="AD118" s="8" t="s">
        <v>2080</v>
      </c>
      <c r="AE118" s="8" t="s">
        <v>2080</v>
      </c>
      <c r="AF118" s="8">
        <v>2.001410933E9</v>
      </c>
      <c r="AG118" s="8">
        <v>1.1734484E7</v>
      </c>
      <c r="AH118" s="8" t="s">
        <v>3247</v>
      </c>
      <c r="AI118" s="8" t="s">
        <v>756</v>
      </c>
      <c r="AJ118" s="8" t="s">
        <v>3248</v>
      </c>
      <c r="AK118" s="8" t="s">
        <v>3249</v>
      </c>
      <c r="AL118" s="8" t="s">
        <v>3250</v>
      </c>
      <c r="AM118" s="8" t="s">
        <v>2900</v>
      </c>
    </row>
    <row r="119" ht="14.25" customHeight="1">
      <c r="A119" s="8">
        <v>117.0</v>
      </c>
      <c r="B119" s="8" t="s">
        <v>3251</v>
      </c>
      <c r="C119" s="8"/>
      <c r="D119" s="8" t="s">
        <v>3252</v>
      </c>
      <c r="E119" s="8" t="s">
        <v>3253</v>
      </c>
      <c r="F119" s="8" t="s">
        <v>3254</v>
      </c>
      <c r="G119" s="8"/>
      <c r="H119" s="8"/>
      <c r="I119" s="7">
        <v>37204.0</v>
      </c>
      <c r="J119" s="8" t="s">
        <v>3255</v>
      </c>
      <c r="K119" s="8" t="s">
        <v>3256</v>
      </c>
      <c r="L119" s="8">
        <v>2001.0</v>
      </c>
      <c r="M119" s="8">
        <v>27.0</v>
      </c>
      <c r="N119" s="8">
        <v>5.0</v>
      </c>
      <c r="O119" s="8">
        <v>241.0</v>
      </c>
      <c r="P119" s="8">
        <v>249.0</v>
      </c>
      <c r="Q119" s="8">
        <v>2001.0</v>
      </c>
      <c r="R119" s="8" t="s">
        <v>2075</v>
      </c>
      <c r="S119" s="8"/>
      <c r="T119" s="8"/>
      <c r="U119" s="8"/>
      <c r="V119" s="8"/>
      <c r="W119" s="8" t="s">
        <v>3257</v>
      </c>
      <c r="X119" s="8"/>
      <c r="Y119" s="8"/>
      <c r="Z119" s="8" t="s">
        <v>3258</v>
      </c>
      <c r="AA119" s="8" t="s">
        <v>3259</v>
      </c>
      <c r="AB119" s="8"/>
      <c r="AC119" s="8"/>
      <c r="AD119" s="8" t="s">
        <v>2080</v>
      </c>
      <c r="AE119" s="8" t="s">
        <v>2080</v>
      </c>
      <c r="AF119" s="8">
        <v>2.00137813E9</v>
      </c>
      <c r="AG119" s="8"/>
      <c r="AH119" s="8" t="s">
        <v>3260</v>
      </c>
      <c r="AI119" s="8" t="s">
        <v>3261</v>
      </c>
      <c r="AJ119" s="8" t="s">
        <v>3262</v>
      </c>
      <c r="AK119" s="8" t="s">
        <v>3263</v>
      </c>
      <c r="AL119" s="8" t="s">
        <v>3264</v>
      </c>
      <c r="AM119" s="8" t="s">
        <v>3265</v>
      </c>
    </row>
    <row r="120" ht="14.25" customHeight="1">
      <c r="A120" s="8">
        <v>118.0</v>
      </c>
      <c r="B120" s="8" t="s">
        <v>3266</v>
      </c>
      <c r="C120" s="8"/>
      <c r="D120" s="8" t="s">
        <v>3267</v>
      </c>
      <c r="E120" s="8" t="s">
        <v>3268</v>
      </c>
      <c r="F120" s="8" t="s">
        <v>3269</v>
      </c>
      <c r="G120" s="8"/>
      <c r="H120" s="8"/>
      <c r="I120" s="7">
        <v>37194.0</v>
      </c>
      <c r="J120" s="8" t="s">
        <v>3270</v>
      </c>
      <c r="K120" s="8" t="s">
        <v>2550</v>
      </c>
      <c r="L120" s="8">
        <v>2001.0</v>
      </c>
      <c r="M120" s="8">
        <v>9.0</v>
      </c>
      <c r="N120" s="8">
        <v>5.0</v>
      </c>
      <c r="O120" s="8">
        <v>260.0</v>
      </c>
      <c r="P120" s="8">
        <v>266.0</v>
      </c>
      <c r="Q120" s="10">
        <v>46266.0</v>
      </c>
      <c r="R120" s="8" t="s">
        <v>2075</v>
      </c>
      <c r="S120" s="8"/>
      <c r="T120" s="8"/>
      <c r="U120" s="8"/>
      <c r="V120" s="8"/>
      <c r="W120" s="8" t="s">
        <v>3169</v>
      </c>
      <c r="X120" s="8"/>
      <c r="Y120" s="8"/>
      <c r="Z120" s="8" t="s">
        <v>3271</v>
      </c>
      <c r="AA120" s="8"/>
      <c r="AB120" s="8"/>
      <c r="AC120" s="8"/>
      <c r="AD120" s="8" t="s">
        <v>2080</v>
      </c>
      <c r="AE120" s="8"/>
      <c r="AF120" s="8"/>
      <c r="AG120" s="8">
        <v>1.1685356E7</v>
      </c>
      <c r="AH120" s="8" t="s">
        <v>3272</v>
      </c>
      <c r="AI120" s="8"/>
      <c r="AJ120" s="8"/>
      <c r="AK120" s="8" t="s">
        <v>3273</v>
      </c>
      <c r="AL120" s="8" t="s">
        <v>3274</v>
      </c>
      <c r="AM120" s="8" t="s">
        <v>2763</v>
      </c>
    </row>
    <row r="121" ht="14.25" customHeight="1">
      <c r="A121" s="8">
        <v>119.0</v>
      </c>
      <c r="B121" s="8" t="s">
        <v>761</v>
      </c>
      <c r="C121" s="8"/>
      <c r="D121" s="8" t="s">
        <v>3275</v>
      </c>
      <c r="E121" s="8" t="s">
        <v>3276</v>
      </c>
      <c r="F121" s="8" t="s">
        <v>3277</v>
      </c>
      <c r="G121" s="8"/>
      <c r="H121" s="8"/>
      <c r="I121" s="7">
        <v>37656.0</v>
      </c>
      <c r="J121" s="8" t="s">
        <v>3278</v>
      </c>
      <c r="K121" s="8" t="s">
        <v>186</v>
      </c>
      <c r="L121" s="8">
        <v>2001.0</v>
      </c>
      <c r="M121" s="8">
        <v>17.0</v>
      </c>
      <c r="N121" s="8">
        <v>7.0</v>
      </c>
      <c r="O121" s="8">
        <v>717.0</v>
      </c>
      <c r="P121" s="8">
        <v>723.0</v>
      </c>
      <c r="Q121" s="10">
        <v>46266.0</v>
      </c>
      <c r="R121" s="8" t="s">
        <v>2075</v>
      </c>
      <c r="S121" s="8"/>
      <c r="T121" s="8"/>
      <c r="U121" s="8"/>
      <c r="V121" s="8"/>
      <c r="W121" s="8" t="s">
        <v>2821</v>
      </c>
      <c r="X121" s="8"/>
      <c r="Y121" s="8" t="s">
        <v>2822</v>
      </c>
      <c r="Z121" s="8" t="s">
        <v>3279</v>
      </c>
      <c r="AA121" s="8"/>
      <c r="AB121" s="8"/>
      <c r="AC121" s="8"/>
      <c r="AD121" s="8" t="s">
        <v>2080</v>
      </c>
      <c r="AE121" s="8" t="s">
        <v>2080</v>
      </c>
      <c r="AF121" s="8">
        <v>2.003041157E9</v>
      </c>
      <c r="AG121" s="8">
        <v>1.153609E7</v>
      </c>
      <c r="AH121" s="8" t="s">
        <v>3280</v>
      </c>
      <c r="AI121" s="8" t="s">
        <v>765</v>
      </c>
      <c r="AJ121" s="8" t="s">
        <v>3281</v>
      </c>
      <c r="AK121" s="8" t="s">
        <v>3282</v>
      </c>
      <c r="AL121" s="8" t="s">
        <v>3283</v>
      </c>
      <c r="AM121" s="8" t="s">
        <v>2967</v>
      </c>
    </row>
    <row r="122" ht="14.25" customHeight="1">
      <c r="A122" s="8">
        <v>120.0</v>
      </c>
      <c r="B122" s="8" t="s">
        <v>771</v>
      </c>
      <c r="C122" s="8"/>
      <c r="D122" s="8" t="s">
        <v>3284</v>
      </c>
      <c r="E122" s="8" t="s">
        <v>3285</v>
      </c>
      <c r="F122" s="8" t="s">
        <v>3286</v>
      </c>
      <c r="G122" s="8"/>
      <c r="H122" s="8"/>
      <c r="I122" s="7">
        <v>37062.0</v>
      </c>
      <c r="J122" s="8" t="s">
        <v>3287</v>
      </c>
      <c r="K122" s="8" t="s">
        <v>2892</v>
      </c>
      <c r="L122" s="8">
        <v>2001.0</v>
      </c>
      <c r="M122" s="8">
        <v>29.0</v>
      </c>
      <c r="N122" s="8">
        <v>3.0</v>
      </c>
      <c r="O122" s="8">
        <v>272.0</v>
      </c>
      <c r="P122" s="8">
        <v>279.0</v>
      </c>
      <c r="Q122" s="8">
        <v>2001.0</v>
      </c>
      <c r="R122" s="8" t="s">
        <v>2075</v>
      </c>
      <c r="S122" s="8"/>
      <c r="T122" s="8"/>
      <c r="U122" s="8"/>
      <c r="V122" s="8"/>
      <c r="W122" s="8" t="s">
        <v>3076</v>
      </c>
      <c r="X122" s="8"/>
      <c r="Y122" s="8" t="s">
        <v>2894</v>
      </c>
      <c r="Z122" s="8" t="s">
        <v>3288</v>
      </c>
      <c r="AA122" s="8"/>
      <c r="AB122" s="8"/>
      <c r="AC122" s="8"/>
      <c r="AD122" s="8" t="s">
        <v>2080</v>
      </c>
      <c r="AE122" s="8" t="s">
        <v>2080</v>
      </c>
      <c r="AF122" s="8">
        <v>2.001194117E9</v>
      </c>
      <c r="AG122" s="8">
        <v>1.1394593E7</v>
      </c>
      <c r="AH122" s="8" t="s">
        <v>3289</v>
      </c>
      <c r="AI122" s="8" t="s">
        <v>775</v>
      </c>
      <c r="AJ122" s="8" t="s">
        <v>3290</v>
      </c>
      <c r="AK122" s="8" t="s">
        <v>3291</v>
      </c>
      <c r="AL122" s="8" t="s">
        <v>3292</v>
      </c>
      <c r="AM122" s="8" t="s">
        <v>2967</v>
      </c>
    </row>
    <row r="123" ht="14.25" customHeight="1">
      <c r="A123" s="8">
        <v>121.0</v>
      </c>
      <c r="B123" s="8" t="s">
        <v>3293</v>
      </c>
      <c r="C123" s="8"/>
      <c r="D123" s="8" t="s">
        <v>3294</v>
      </c>
      <c r="E123" s="8" t="s">
        <v>3295</v>
      </c>
      <c r="F123" s="8" t="s">
        <v>3296</v>
      </c>
      <c r="G123" s="8"/>
      <c r="H123" s="8"/>
      <c r="I123" s="7">
        <v>37035.0</v>
      </c>
      <c r="J123" s="8" t="s">
        <v>3297</v>
      </c>
      <c r="K123" s="8" t="s">
        <v>3215</v>
      </c>
      <c r="L123" s="8">
        <v>2001.0</v>
      </c>
      <c r="M123" s="8">
        <v>11.0</v>
      </c>
      <c r="N123" s="8">
        <v>3.0</v>
      </c>
      <c r="O123" s="8">
        <v>170.0</v>
      </c>
      <c r="P123" s="8">
        <v>177.0</v>
      </c>
      <c r="Q123" s="10">
        <v>46174.0</v>
      </c>
      <c r="R123" s="8" t="s">
        <v>2075</v>
      </c>
      <c r="S123" s="8"/>
      <c r="T123" s="8"/>
      <c r="U123" s="8"/>
      <c r="V123" s="8"/>
      <c r="W123" s="8" t="s">
        <v>3216</v>
      </c>
      <c r="X123" s="8"/>
      <c r="Y123" s="8"/>
      <c r="Z123" s="8" t="s">
        <v>3298</v>
      </c>
      <c r="AA123" s="8"/>
      <c r="AB123" s="8"/>
      <c r="AC123" s="8"/>
      <c r="AD123" s="8" t="s">
        <v>2080</v>
      </c>
      <c r="AE123" s="8"/>
      <c r="AF123" s="8"/>
      <c r="AG123" s="8">
        <v>1.1374431E7</v>
      </c>
      <c r="AH123" s="8" t="s">
        <v>3299</v>
      </c>
      <c r="AI123" s="8"/>
      <c r="AJ123" s="8"/>
      <c r="AK123" s="8" t="s">
        <v>3300</v>
      </c>
      <c r="AL123" s="8" t="s">
        <v>3301</v>
      </c>
      <c r="AM123" s="8" t="s">
        <v>2763</v>
      </c>
    </row>
    <row r="124" ht="14.25" customHeight="1">
      <c r="A124" s="8">
        <v>122.0</v>
      </c>
      <c r="B124" s="8" t="s">
        <v>780</v>
      </c>
      <c r="C124" s="8"/>
      <c r="D124" s="8" t="s">
        <v>3302</v>
      </c>
      <c r="E124" s="8" t="s">
        <v>3303</v>
      </c>
      <c r="F124" s="8" t="s">
        <v>3304</v>
      </c>
      <c r="G124" s="8"/>
      <c r="H124" s="8"/>
      <c r="I124" s="7">
        <v>37025.0</v>
      </c>
      <c r="J124" s="8" t="s">
        <v>3305</v>
      </c>
      <c r="K124" s="8" t="s">
        <v>3201</v>
      </c>
      <c r="L124" s="8">
        <v>2001.0</v>
      </c>
      <c r="M124" s="8">
        <v>83.0</v>
      </c>
      <c r="N124" s="8">
        <v>3.0</v>
      </c>
      <c r="O124" s="8">
        <v>348.0</v>
      </c>
      <c r="P124" s="8">
        <v>354.0</v>
      </c>
      <c r="Q124" s="8">
        <v>2001.0</v>
      </c>
      <c r="R124" s="8" t="s">
        <v>2075</v>
      </c>
      <c r="S124" s="8"/>
      <c r="T124" s="8"/>
      <c r="U124" s="8"/>
      <c r="V124" s="8"/>
      <c r="W124" s="8" t="s">
        <v>3202</v>
      </c>
      <c r="X124" s="8"/>
      <c r="Y124" s="8" t="s">
        <v>3203</v>
      </c>
      <c r="Z124" s="8" t="s">
        <v>3306</v>
      </c>
      <c r="AA124" s="8"/>
      <c r="AB124" s="8"/>
      <c r="AC124" s="8"/>
      <c r="AD124" s="8" t="s">
        <v>2080</v>
      </c>
      <c r="AE124" s="8" t="s">
        <v>2080</v>
      </c>
      <c r="AF124" s="8">
        <v>2.001161375E9</v>
      </c>
      <c r="AG124" s="8">
        <v>1.1341418E7</v>
      </c>
      <c r="AH124" s="8" t="s">
        <v>3307</v>
      </c>
      <c r="AI124" s="8" t="s">
        <v>3308</v>
      </c>
      <c r="AJ124" s="8" t="s">
        <v>3309</v>
      </c>
      <c r="AK124" s="8" t="s">
        <v>3310</v>
      </c>
      <c r="AL124" s="8" t="s">
        <v>3311</v>
      </c>
      <c r="AM124" s="8" t="s">
        <v>2967</v>
      </c>
    </row>
    <row r="125" ht="14.25" customHeight="1">
      <c r="A125" s="8">
        <v>123.0</v>
      </c>
      <c r="B125" s="8" t="s">
        <v>3312</v>
      </c>
      <c r="C125" s="8"/>
      <c r="D125" s="8" t="s">
        <v>3313</v>
      </c>
      <c r="E125" s="8" t="s">
        <v>3314</v>
      </c>
      <c r="F125" s="8" t="s">
        <v>3315</v>
      </c>
      <c r="G125" s="8"/>
      <c r="H125" s="8"/>
      <c r="I125" s="7">
        <v>36966.0</v>
      </c>
      <c r="J125" s="8" t="s">
        <v>3316</v>
      </c>
      <c r="K125" s="8" t="s">
        <v>3215</v>
      </c>
      <c r="L125" s="8">
        <v>2001.0</v>
      </c>
      <c r="M125" s="8">
        <v>11.0</v>
      </c>
      <c r="N125" s="8">
        <v>2.0</v>
      </c>
      <c r="O125" s="8">
        <v>110.0</v>
      </c>
      <c r="P125" s="8">
        <v>114.0</v>
      </c>
      <c r="Q125" s="10">
        <v>46113.0</v>
      </c>
      <c r="R125" s="8" t="s">
        <v>2075</v>
      </c>
      <c r="S125" s="8"/>
      <c r="T125" s="8"/>
      <c r="U125" s="8"/>
      <c r="V125" s="8"/>
      <c r="W125" s="8" t="s">
        <v>3216</v>
      </c>
      <c r="X125" s="8"/>
      <c r="Y125" s="8"/>
      <c r="Z125" s="8" t="s">
        <v>3317</v>
      </c>
      <c r="AA125" s="8"/>
      <c r="AB125" s="8"/>
      <c r="AC125" s="8"/>
      <c r="AD125" s="8" t="s">
        <v>2080</v>
      </c>
      <c r="AE125" s="8"/>
      <c r="AF125" s="8"/>
      <c r="AG125" s="8">
        <v>1.1252459E7</v>
      </c>
      <c r="AH125" s="8" t="s">
        <v>3318</v>
      </c>
      <c r="AI125" s="8"/>
      <c r="AJ125" s="8"/>
      <c r="AK125" s="8" t="s">
        <v>3319</v>
      </c>
      <c r="AL125" s="8" t="s">
        <v>3320</v>
      </c>
      <c r="AM125" s="8" t="s">
        <v>2763</v>
      </c>
    </row>
    <row r="126" ht="14.25" customHeight="1">
      <c r="A126" s="8">
        <v>124.0</v>
      </c>
      <c r="B126" s="8" t="s">
        <v>3321</v>
      </c>
      <c r="C126" s="8"/>
      <c r="D126" s="8" t="s">
        <v>3322</v>
      </c>
      <c r="E126" s="8" t="s">
        <v>3323</v>
      </c>
      <c r="F126" s="8" t="s">
        <v>3324</v>
      </c>
      <c r="G126" s="8"/>
      <c r="H126" s="8"/>
      <c r="I126" s="7">
        <v>36976.0</v>
      </c>
      <c r="J126" s="8" t="s">
        <v>3325</v>
      </c>
      <c r="K126" s="8" t="s">
        <v>2550</v>
      </c>
      <c r="L126" s="8">
        <v>2001.0</v>
      </c>
      <c r="M126" s="8">
        <v>9.0</v>
      </c>
      <c r="N126" s="8">
        <v>1.0</v>
      </c>
      <c r="O126" s="8">
        <v>6.0</v>
      </c>
      <c r="P126" s="8">
        <v>11.0</v>
      </c>
      <c r="Q126" s="8">
        <v>2001.0</v>
      </c>
      <c r="R126" s="8" t="s">
        <v>2075</v>
      </c>
      <c r="S126" s="8"/>
      <c r="T126" s="8"/>
      <c r="U126" s="8"/>
      <c r="V126" s="8"/>
      <c r="W126" s="8" t="s">
        <v>3169</v>
      </c>
      <c r="X126" s="8"/>
      <c r="Y126" s="8"/>
      <c r="Z126" s="8" t="s">
        <v>3326</v>
      </c>
      <c r="AA126" s="8"/>
      <c r="AB126" s="8"/>
      <c r="AC126" s="8"/>
      <c r="AD126" s="8" t="s">
        <v>2080</v>
      </c>
      <c r="AE126" s="8"/>
      <c r="AF126" s="8"/>
      <c r="AG126" s="8">
        <v>1.1269585E7</v>
      </c>
      <c r="AH126" s="8" t="s">
        <v>3327</v>
      </c>
      <c r="AI126" s="8"/>
      <c r="AJ126" s="8"/>
      <c r="AK126" s="8" t="s">
        <v>3328</v>
      </c>
      <c r="AL126" s="8" t="s">
        <v>3329</v>
      </c>
      <c r="AM126" s="8" t="s">
        <v>2763</v>
      </c>
    </row>
    <row r="127" ht="14.25" customHeight="1">
      <c r="A127" s="8">
        <v>125.0</v>
      </c>
      <c r="B127" s="8" t="s">
        <v>3330</v>
      </c>
      <c r="C127" s="8" t="s">
        <v>3331</v>
      </c>
      <c r="D127" s="8" t="s">
        <v>3332</v>
      </c>
      <c r="E127" s="8" t="s">
        <v>3333</v>
      </c>
      <c r="F127" s="8" t="s">
        <v>3334</v>
      </c>
      <c r="G127" s="8"/>
      <c r="H127" s="8"/>
      <c r="I127" s="7">
        <v>36721.0</v>
      </c>
      <c r="J127" s="8" t="s">
        <v>3335</v>
      </c>
      <c r="K127" s="8" t="s">
        <v>611</v>
      </c>
      <c r="L127" s="8">
        <v>2000.0</v>
      </c>
      <c r="M127" s="8">
        <v>103.0</v>
      </c>
      <c r="N127" s="8">
        <v>6.0</v>
      </c>
      <c r="O127" s="8">
        <v>468.0</v>
      </c>
      <c r="P127" s="8">
        <v>478.0</v>
      </c>
      <c r="Q127" s="11">
        <v>36678.0</v>
      </c>
      <c r="R127" s="8" t="s">
        <v>2075</v>
      </c>
      <c r="S127" s="8"/>
      <c r="T127" s="8"/>
      <c r="U127" s="8"/>
      <c r="V127" s="8"/>
      <c r="W127" s="8" t="s">
        <v>3336</v>
      </c>
      <c r="X127" s="8"/>
      <c r="Y127" s="8" t="s">
        <v>2757</v>
      </c>
      <c r="Z127" s="8" t="s">
        <v>3337</v>
      </c>
      <c r="AA127" s="8" t="s">
        <v>3338</v>
      </c>
      <c r="AB127" s="8"/>
      <c r="AC127" s="8"/>
      <c r="AD127" s="8" t="s">
        <v>3339</v>
      </c>
      <c r="AE127" s="8" t="s">
        <v>3340</v>
      </c>
      <c r="AF127" s="8">
        <v>2.000230465E9</v>
      </c>
      <c r="AG127" s="8">
        <v>1.0925649E7</v>
      </c>
      <c r="AH127" s="8" t="s">
        <v>3341</v>
      </c>
      <c r="AI127" s="8" t="s">
        <v>807</v>
      </c>
      <c r="AJ127" s="8" t="s">
        <v>3342</v>
      </c>
      <c r="AK127" s="8" t="s">
        <v>3343</v>
      </c>
      <c r="AL127" s="8" t="s">
        <v>3344</v>
      </c>
      <c r="AM127" s="8" t="s">
        <v>2967</v>
      </c>
    </row>
    <row r="128" ht="14.25" customHeight="1">
      <c r="A128" s="8">
        <v>126.0</v>
      </c>
      <c r="B128" s="8" t="s">
        <v>3345</v>
      </c>
      <c r="C128" s="8"/>
      <c r="D128" s="8" t="s">
        <v>3346</v>
      </c>
      <c r="E128" s="8" t="s">
        <v>3347</v>
      </c>
      <c r="F128" s="8" t="s">
        <v>3348</v>
      </c>
      <c r="G128" s="8"/>
      <c r="H128" s="8"/>
      <c r="I128" s="7">
        <v>36480.0</v>
      </c>
      <c r="J128" s="8" t="s">
        <v>3349</v>
      </c>
      <c r="K128" s="8" t="s">
        <v>2550</v>
      </c>
      <c r="L128" s="8">
        <v>1999.0</v>
      </c>
      <c r="M128" s="8">
        <v>7.0</v>
      </c>
      <c r="N128" s="8">
        <v>5.0</v>
      </c>
      <c r="O128" s="8">
        <v>290.0</v>
      </c>
      <c r="P128" s="8">
        <v>295.0</v>
      </c>
      <c r="Q128" s="8">
        <v>1999.0</v>
      </c>
      <c r="R128" s="8" t="s">
        <v>2075</v>
      </c>
      <c r="S128" s="8"/>
      <c r="T128" s="8"/>
      <c r="U128" s="8"/>
      <c r="V128" s="8"/>
      <c r="W128" s="8" t="s">
        <v>3169</v>
      </c>
      <c r="X128" s="8"/>
      <c r="Y128" s="8"/>
      <c r="Z128" s="8" t="s">
        <v>3350</v>
      </c>
      <c r="AA128" s="8"/>
      <c r="AB128" s="8"/>
      <c r="AC128" s="8"/>
      <c r="AD128" s="8" t="s">
        <v>2080</v>
      </c>
      <c r="AE128" s="8"/>
      <c r="AF128" s="8"/>
      <c r="AG128" s="8">
        <v>1.0525698E7</v>
      </c>
      <c r="AH128" s="8" t="s">
        <v>3351</v>
      </c>
      <c r="AI128" s="8"/>
      <c r="AJ128" s="8"/>
      <c r="AK128" s="8" t="s">
        <v>3352</v>
      </c>
      <c r="AL128" s="8" t="s">
        <v>3353</v>
      </c>
      <c r="AM128" s="8" t="s">
        <v>2763</v>
      </c>
    </row>
    <row r="129" ht="14.25" customHeight="1">
      <c r="A129" s="8">
        <v>127.0</v>
      </c>
      <c r="B129" s="8" t="s">
        <v>828</v>
      </c>
      <c r="C129" s="8"/>
      <c r="D129" s="8" t="s">
        <v>3354</v>
      </c>
      <c r="E129" s="8" t="s">
        <v>3355</v>
      </c>
      <c r="F129" s="8" t="s">
        <v>3356</v>
      </c>
      <c r="G129" s="8"/>
      <c r="H129" s="8"/>
      <c r="I129" s="7">
        <v>36360.0</v>
      </c>
      <c r="J129" s="8" t="s">
        <v>3357</v>
      </c>
      <c r="K129" s="8" t="s">
        <v>186</v>
      </c>
      <c r="L129" s="8">
        <v>1999.0</v>
      </c>
      <c r="M129" s="8">
        <v>15.0</v>
      </c>
      <c r="N129" s="8">
        <v>5.0</v>
      </c>
      <c r="O129" s="8">
        <v>463.0</v>
      </c>
      <c r="P129" s="8">
        <v>473.0</v>
      </c>
      <c r="Q129" s="8">
        <v>1999.0</v>
      </c>
      <c r="R129" s="8" t="s">
        <v>2075</v>
      </c>
      <c r="S129" s="8"/>
      <c r="T129" s="8"/>
      <c r="U129" s="8"/>
      <c r="V129" s="8"/>
      <c r="W129" s="8" t="s">
        <v>2821</v>
      </c>
      <c r="X129" s="8"/>
      <c r="Y129" s="8" t="s">
        <v>2822</v>
      </c>
      <c r="Z129" s="8" t="s">
        <v>3358</v>
      </c>
      <c r="AA129" s="8" t="s">
        <v>3078</v>
      </c>
      <c r="AB129" s="8"/>
      <c r="AC129" s="8"/>
      <c r="AD129" s="8" t="s">
        <v>2080</v>
      </c>
      <c r="AE129" s="8" t="s">
        <v>2080</v>
      </c>
      <c r="AF129" s="8">
        <v>1.99923928E9</v>
      </c>
      <c r="AG129" s="8">
        <v>1.0424549E7</v>
      </c>
      <c r="AH129" s="8" t="s">
        <v>3359</v>
      </c>
      <c r="AI129" s="8" t="s">
        <v>832</v>
      </c>
      <c r="AJ129" s="8" t="s">
        <v>3360</v>
      </c>
      <c r="AK129" s="8" t="s">
        <v>3361</v>
      </c>
      <c r="AL129" s="8" t="s">
        <v>3362</v>
      </c>
      <c r="AM129" s="8" t="s">
        <v>2967</v>
      </c>
    </row>
    <row r="130" ht="14.25" customHeight="1">
      <c r="A130" s="8">
        <v>128.0</v>
      </c>
      <c r="B130" s="8" t="s">
        <v>3363</v>
      </c>
      <c r="C130" s="8"/>
      <c r="D130" s="8" t="s">
        <v>3364</v>
      </c>
      <c r="E130" s="8" t="s">
        <v>3365</v>
      </c>
      <c r="F130" s="8" t="s">
        <v>3366</v>
      </c>
      <c r="G130" s="8"/>
      <c r="H130" s="8"/>
      <c r="I130" s="7">
        <v>36137.0</v>
      </c>
      <c r="J130" s="8" t="s">
        <v>3367</v>
      </c>
      <c r="K130" s="8" t="s">
        <v>186</v>
      </c>
      <c r="L130" s="8">
        <v>1998.0</v>
      </c>
      <c r="M130" s="8">
        <v>14.0</v>
      </c>
      <c r="N130" s="8">
        <v>8.0</v>
      </c>
      <c r="O130" s="8">
        <v>845.0</v>
      </c>
      <c r="P130" s="8">
        <v>850.0</v>
      </c>
      <c r="Q130" s="8">
        <v>1998.0</v>
      </c>
      <c r="R130" s="8" t="s">
        <v>2075</v>
      </c>
      <c r="S130" s="8"/>
      <c r="T130" s="8"/>
      <c r="U130" s="8"/>
      <c r="V130" s="8"/>
      <c r="W130" s="8" t="s">
        <v>2821</v>
      </c>
      <c r="X130" s="8"/>
      <c r="Y130" s="8" t="s">
        <v>2822</v>
      </c>
      <c r="Z130" s="8" t="s">
        <v>3368</v>
      </c>
      <c r="AA130" s="8"/>
      <c r="AB130" s="8"/>
      <c r="AC130" s="8"/>
      <c r="AD130" s="8" t="s">
        <v>2080</v>
      </c>
      <c r="AE130" s="8" t="s">
        <v>2080</v>
      </c>
      <c r="AF130" s="8">
        <v>1.998396092E9</v>
      </c>
      <c r="AG130" s="8">
        <v>9848597.0</v>
      </c>
      <c r="AH130" s="8" t="s">
        <v>3369</v>
      </c>
      <c r="AI130" s="8" t="s">
        <v>3370</v>
      </c>
      <c r="AJ130" s="8" t="s">
        <v>3371</v>
      </c>
      <c r="AK130" s="8" t="s">
        <v>3372</v>
      </c>
      <c r="AL130" s="8" t="s">
        <v>3373</v>
      </c>
      <c r="AM130" s="8" t="s">
        <v>2967</v>
      </c>
    </row>
    <row r="131" ht="14.25" customHeight="1">
      <c r="A131" s="8">
        <v>129.0</v>
      </c>
      <c r="B131" s="8" t="s">
        <v>3374</v>
      </c>
      <c r="C131" s="8"/>
      <c r="D131" s="8" t="s">
        <v>3375</v>
      </c>
      <c r="E131" s="8" t="s">
        <v>3376</v>
      </c>
      <c r="F131" s="8" t="s">
        <v>3377</v>
      </c>
      <c r="G131" s="8"/>
      <c r="H131" s="8"/>
      <c r="I131" s="7">
        <v>36005.0</v>
      </c>
      <c r="J131" s="8" t="s">
        <v>3378</v>
      </c>
      <c r="K131" s="8" t="s">
        <v>2550</v>
      </c>
      <c r="L131" s="8">
        <v>1998.0</v>
      </c>
      <c r="M131" s="8">
        <v>6.0</v>
      </c>
      <c r="N131" s="8">
        <v>2.0</v>
      </c>
      <c r="O131" s="8">
        <v>82.0</v>
      </c>
      <c r="P131" s="8">
        <v>87.0</v>
      </c>
      <c r="Q131" s="8">
        <v>1998.0</v>
      </c>
      <c r="R131" s="8" t="s">
        <v>2075</v>
      </c>
      <c r="S131" s="8"/>
      <c r="T131" s="8"/>
      <c r="U131" s="8"/>
      <c r="V131" s="8"/>
      <c r="W131" s="8" t="s">
        <v>3169</v>
      </c>
      <c r="X131" s="8"/>
      <c r="Y131" s="8"/>
      <c r="Z131" s="8" t="s">
        <v>3379</v>
      </c>
      <c r="AA131" s="8"/>
      <c r="AB131" s="8"/>
      <c r="AC131" s="8"/>
      <c r="AD131" s="8" t="s">
        <v>2080</v>
      </c>
      <c r="AE131" s="8"/>
      <c r="AF131" s="8"/>
      <c r="AG131" s="8">
        <v>9604191.0</v>
      </c>
      <c r="AH131" s="8" t="s">
        <v>3380</v>
      </c>
      <c r="AI131" s="8"/>
      <c r="AJ131" s="8"/>
      <c r="AK131" s="8" t="s">
        <v>3381</v>
      </c>
      <c r="AL131" s="8" t="s">
        <v>3382</v>
      </c>
      <c r="AM131" s="8" t="s">
        <v>2763</v>
      </c>
    </row>
    <row r="132" ht="14.25" customHeight="1">
      <c r="A132" s="8">
        <v>130.0</v>
      </c>
      <c r="B132" s="8" t="s">
        <v>3383</v>
      </c>
      <c r="C132" s="8"/>
      <c r="D132" s="8" t="s">
        <v>3384</v>
      </c>
      <c r="E132" s="8" t="s">
        <v>3385</v>
      </c>
      <c r="F132" s="8" t="s">
        <v>3386</v>
      </c>
      <c r="G132" s="8"/>
      <c r="H132" s="8"/>
      <c r="I132" s="7">
        <v>35824.0</v>
      </c>
      <c r="J132" s="8" t="s">
        <v>3387</v>
      </c>
      <c r="K132" s="8" t="s">
        <v>2550</v>
      </c>
      <c r="L132" s="8">
        <v>1997.0</v>
      </c>
      <c r="M132" s="8">
        <v>5.0</v>
      </c>
      <c r="N132" s="8">
        <v>4.0</v>
      </c>
      <c r="O132" s="8">
        <v>213.0</v>
      </c>
      <c r="P132" s="8">
        <v>216.0</v>
      </c>
      <c r="Q132" s="8">
        <v>1997.0</v>
      </c>
      <c r="R132" s="8" t="s">
        <v>2075</v>
      </c>
      <c r="S132" s="8"/>
      <c r="T132" s="8"/>
      <c r="U132" s="8"/>
      <c r="V132" s="8"/>
      <c r="W132" s="8" t="s">
        <v>3169</v>
      </c>
      <c r="X132" s="8"/>
      <c r="Y132" s="8"/>
      <c r="Z132" s="8" t="s">
        <v>3388</v>
      </c>
      <c r="AA132" s="8"/>
      <c r="AB132" s="8"/>
      <c r="AC132" s="8"/>
      <c r="AD132" s="8" t="s">
        <v>2080</v>
      </c>
      <c r="AE132" s="8"/>
      <c r="AF132" s="8"/>
      <c r="AG132" s="8">
        <v>9430569.0</v>
      </c>
      <c r="AH132" s="8" t="s">
        <v>3389</v>
      </c>
      <c r="AI132" s="8"/>
      <c r="AJ132" s="8"/>
      <c r="AK132" s="8" t="s">
        <v>3390</v>
      </c>
      <c r="AL132" s="8" t="s">
        <v>3391</v>
      </c>
      <c r="AM132" s="8" t="s">
        <v>2763</v>
      </c>
    </row>
    <row r="133" ht="14.25" customHeight="1">
      <c r="A133" s="8">
        <v>131.0</v>
      </c>
      <c r="B133" s="8" t="s">
        <v>3392</v>
      </c>
      <c r="C133" s="8"/>
      <c r="D133" s="8" t="s">
        <v>3393</v>
      </c>
      <c r="E133" s="8" t="s">
        <v>3394</v>
      </c>
      <c r="F133" s="8" t="s">
        <v>3395</v>
      </c>
      <c r="G133" s="8"/>
      <c r="H133" s="8"/>
      <c r="I133" s="7">
        <v>35611.0</v>
      </c>
      <c r="J133" s="8" t="s">
        <v>3396</v>
      </c>
      <c r="K133" s="8" t="s">
        <v>2550</v>
      </c>
      <c r="L133" s="8">
        <v>1997.0</v>
      </c>
      <c r="M133" s="8">
        <v>5.0</v>
      </c>
      <c r="N133" s="8">
        <v>1.0</v>
      </c>
      <c r="O133" s="8">
        <v>6.0</v>
      </c>
      <c r="P133" s="8">
        <v>9.0</v>
      </c>
      <c r="Q133" s="8">
        <v>1997.0</v>
      </c>
      <c r="R133" s="8" t="s">
        <v>2075</v>
      </c>
      <c r="S133" s="8"/>
      <c r="T133" s="8"/>
      <c r="U133" s="8"/>
      <c r="V133" s="8"/>
      <c r="W133" s="8" t="s">
        <v>3169</v>
      </c>
      <c r="X133" s="8"/>
      <c r="Y133" s="8"/>
      <c r="Z133" s="8" t="s">
        <v>3397</v>
      </c>
      <c r="AA133" s="8"/>
      <c r="AB133" s="8"/>
      <c r="AC133" s="8"/>
      <c r="AD133" s="8" t="s">
        <v>2080</v>
      </c>
      <c r="AE133" s="8"/>
      <c r="AF133" s="8"/>
      <c r="AG133" s="8">
        <v>9127846.0</v>
      </c>
      <c r="AH133" s="8" t="s">
        <v>3398</v>
      </c>
      <c r="AI133" s="8"/>
      <c r="AJ133" s="8"/>
      <c r="AK133" s="8" t="s">
        <v>3399</v>
      </c>
      <c r="AL133" s="8" t="s">
        <v>3400</v>
      </c>
      <c r="AM133" s="8" t="s">
        <v>2763</v>
      </c>
    </row>
    <row r="134" ht="14.25" customHeight="1">
      <c r="A134" s="8">
        <v>132.0</v>
      </c>
      <c r="B134" s="8" t="s">
        <v>3401</v>
      </c>
      <c r="C134" s="8"/>
      <c r="D134" s="8" t="s">
        <v>3402</v>
      </c>
      <c r="E134" s="8" t="s">
        <v>3403</v>
      </c>
      <c r="F134" s="8" t="s">
        <v>3404</v>
      </c>
      <c r="G134" s="8"/>
      <c r="H134" s="8"/>
      <c r="I134" s="7">
        <v>35465.0</v>
      </c>
      <c r="J134" s="8" t="s">
        <v>3405</v>
      </c>
      <c r="K134" s="8" t="s">
        <v>3215</v>
      </c>
      <c r="L134" s="8">
        <v>1996.0</v>
      </c>
      <c r="M134" s="8">
        <v>6.0</v>
      </c>
      <c r="N134" s="8">
        <v>4.0</v>
      </c>
      <c r="O134" s="8">
        <v>247.0</v>
      </c>
      <c r="P134" s="8">
        <v>254.0</v>
      </c>
      <c r="Q134" s="11">
        <v>35278.0</v>
      </c>
      <c r="R134" s="8" t="s">
        <v>2075</v>
      </c>
      <c r="S134" s="8"/>
      <c r="T134" s="8"/>
      <c r="U134" s="8"/>
      <c r="V134" s="8"/>
      <c r="W134" s="8" t="s">
        <v>3216</v>
      </c>
      <c r="X134" s="8"/>
      <c r="Y134" s="8"/>
      <c r="Z134" s="8" t="s">
        <v>3406</v>
      </c>
      <c r="AA134" s="8"/>
      <c r="AB134" s="8"/>
      <c r="AC134" s="8"/>
      <c r="AD134" s="8" t="s">
        <v>2080</v>
      </c>
      <c r="AE134" s="8"/>
      <c r="AF134" s="8"/>
      <c r="AG134" s="8">
        <v>8896099.0</v>
      </c>
      <c r="AH134" s="8" t="s">
        <v>3407</v>
      </c>
      <c r="AI134" s="8"/>
      <c r="AJ134" s="8"/>
      <c r="AK134" s="8" t="s">
        <v>3408</v>
      </c>
      <c r="AL134" s="8" t="s">
        <v>3409</v>
      </c>
      <c r="AM134" s="8" t="s">
        <v>2763</v>
      </c>
    </row>
    <row r="135" ht="14.25" customHeight="1">
      <c r="A135" s="8">
        <v>133.0</v>
      </c>
      <c r="B135" s="8" t="s">
        <v>3410</v>
      </c>
      <c r="C135" s="8"/>
      <c r="D135" s="8" t="s">
        <v>3411</v>
      </c>
      <c r="E135" s="8" t="s">
        <v>3412</v>
      </c>
      <c r="F135" s="8" t="s">
        <v>3413</v>
      </c>
      <c r="G135" s="8"/>
      <c r="H135" s="8"/>
      <c r="I135" s="7">
        <v>35402.0</v>
      </c>
      <c r="J135" s="8" t="s">
        <v>3414</v>
      </c>
      <c r="K135" s="8" t="s">
        <v>3215</v>
      </c>
      <c r="L135" s="8">
        <v>1995.0</v>
      </c>
      <c r="M135" s="8">
        <v>5.0</v>
      </c>
      <c r="N135" s="8">
        <v>6.0</v>
      </c>
      <c r="O135" s="8">
        <v>358.0</v>
      </c>
      <c r="P135" s="8">
        <v>363.0</v>
      </c>
      <c r="Q135" s="11">
        <v>35034.0</v>
      </c>
      <c r="R135" s="8" t="s">
        <v>2075</v>
      </c>
      <c r="S135" s="8"/>
      <c r="T135" s="8"/>
      <c r="U135" s="8"/>
      <c r="V135" s="8"/>
      <c r="W135" s="8" t="s">
        <v>3216</v>
      </c>
      <c r="X135" s="8"/>
      <c r="Y135" s="8"/>
      <c r="Z135" s="8" t="s">
        <v>3415</v>
      </c>
      <c r="AA135" s="8"/>
      <c r="AB135" s="8"/>
      <c r="AC135" s="8"/>
      <c r="AD135" s="8" t="s">
        <v>2080</v>
      </c>
      <c r="AE135" s="8"/>
      <c r="AF135" s="8"/>
      <c r="AG135" s="8">
        <v>8775721.0</v>
      </c>
      <c r="AH135" s="8" t="s">
        <v>3416</v>
      </c>
      <c r="AI135" s="8"/>
      <c r="AJ135" s="8"/>
      <c r="AK135" s="8" t="s">
        <v>3417</v>
      </c>
      <c r="AL135" s="8" t="s">
        <v>3418</v>
      </c>
      <c r="AM135" s="8" t="s">
        <v>2763</v>
      </c>
    </row>
    <row r="136" ht="14.25" customHeight="1">
      <c r="A136" s="8">
        <v>134.0</v>
      </c>
      <c r="B136" s="8" t="s">
        <v>3419</v>
      </c>
      <c r="C136" s="8"/>
      <c r="D136" s="8" t="s">
        <v>3420</v>
      </c>
      <c r="E136" s="8" t="s">
        <v>3421</v>
      </c>
      <c r="F136" s="8" t="s">
        <v>3422</v>
      </c>
      <c r="G136" s="8"/>
      <c r="H136" s="8"/>
      <c r="I136" s="7">
        <v>34858.0</v>
      </c>
      <c r="J136" s="8" t="s">
        <v>3423</v>
      </c>
      <c r="K136" s="8" t="s">
        <v>2892</v>
      </c>
      <c r="L136" s="8">
        <v>1995.0</v>
      </c>
      <c r="M136" s="8">
        <v>23.0</v>
      </c>
      <c r="N136" s="8">
        <v>3.0</v>
      </c>
      <c r="O136" s="8">
        <v>365.0</v>
      </c>
      <c r="P136" s="8">
        <v>368.0</v>
      </c>
      <c r="Q136" s="8">
        <v>1995.0</v>
      </c>
      <c r="R136" s="8" t="s">
        <v>2075</v>
      </c>
      <c r="S136" s="8"/>
      <c r="T136" s="8"/>
      <c r="U136" s="8"/>
      <c r="V136" s="8"/>
      <c r="W136" s="8" t="s">
        <v>3076</v>
      </c>
      <c r="X136" s="8"/>
      <c r="Y136" s="8" t="s">
        <v>2894</v>
      </c>
      <c r="Z136" s="8" t="s">
        <v>3424</v>
      </c>
      <c r="AA136" s="8"/>
      <c r="AB136" s="8"/>
      <c r="AC136" s="8"/>
      <c r="AD136" s="8" t="s">
        <v>2080</v>
      </c>
      <c r="AE136" s="8" t="s">
        <v>2080</v>
      </c>
      <c r="AF136" s="8">
        <v>1.995161797E9</v>
      </c>
      <c r="AG136" s="8">
        <v>7661269.0</v>
      </c>
      <c r="AH136" s="8" t="s">
        <v>3425</v>
      </c>
      <c r="AI136" s="8"/>
      <c r="AJ136" s="8"/>
      <c r="AK136" s="8" t="s">
        <v>3426</v>
      </c>
      <c r="AL136" s="8" t="s">
        <v>3427</v>
      </c>
      <c r="AM136" s="8" t="s">
        <v>2967</v>
      </c>
    </row>
    <row r="137" ht="14.25" customHeight="1">
      <c r="A137" s="8">
        <v>135.0</v>
      </c>
      <c r="B137" s="8" t="s">
        <v>913</v>
      </c>
      <c r="C137" s="8"/>
      <c r="D137" s="8" t="s">
        <v>3428</v>
      </c>
      <c r="E137" s="8" t="s">
        <v>3429</v>
      </c>
      <c r="F137" s="8" t="s">
        <v>3430</v>
      </c>
      <c r="G137" s="8"/>
      <c r="H137" s="8"/>
      <c r="I137" s="7">
        <v>34792.0</v>
      </c>
      <c r="J137" s="8" t="s">
        <v>3431</v>
      </c>
      <c r="K137" s="8" t="s">
        <v>917</v>
      </c>
      <c r="L137" s="8">
        <v>1995.0</v>
      </c>
      <c r="M137" s="8">
        <v>18.0</v>
      </c>
      <c r="N137" s="8">
        <v>3.0</v>
      </c>
      <c r="O137" s="8">
        <v>249.0</v>
      </c>
      <c r="P137" s="8">
        <v>252.0</v>
      </c>
      <c r="Q137" s="8">
        <v>1995.0</v>
      </c>
      <c r="R137" s="8" t="s">
        <v>2075</v>
      </c>
      <c r="S137" s="8"/>
      <c r="T137" s="8"/>
      <c r="U137" s="8"/>
      <c r="V137" s="8"/>
      <c r="W137" s="8" t="s">
        <v>3432</v>
      </c>
      <c r="X137" s="8"/>
      <c r="Y137" s="8" t="s">
        <v>3433</v>
      </c>
      <c r="Z137" s="8" t="s">
        <v>3434</v>
      </c>
      <c r="AA137" s="8"/>
      <c r="AB137" s="8"/>
      <c r="AC137" s="8"/>
      <c r="AD137" s="8" t="s">
        <v>2080</v>
      </c>
      <c r="AE137" s="8" t="s">
        <v>2080</v>
      </c>
      <c r="AF137" s="8">
        <v>1.995094546E9</v>
      </c>
      <c r="AG137" s="8">
        <v>7761314.0</v>
      </c>
      <c r="AH137" s="8" t="s">
        <v>3435</v>
      </c>
      <c r="AI137" s="8"/>
      <c r="AJ137" s="8"/>
      <c r="AK137" s="8" t="s">
        <v>3436</v>
      </c>
      <c r="AL137" s="8" t="s">
        <v>3437</v>
      </c>
      <c r="AM137" s="8" t="s">
        <v>2967</v>
      </c>
    </row>
    <row r="138" ht="14.25" customHeight="1">
      <c r="A138" s="8">
        <v>136.0</v>
      </c>
      <c r="B138" s="8" t="s">
        <v>3438</v>
      </c>
      <c r="C138" s="8" t="s">
        <v>3439</v>
      </c>
      <c r="D138" s="8" t="s">
        <v>3440</v>
      </c>
      <c r="E138" s="8" t="s">
        <v>3441</v>
      </c>
      <c r="F138" s="8" t="s">
        <v>3442</v>
      </c>
      <c r="G138" s="8"/>
      <c r="H138" s="8"/>
      <c r="I138" s="7">
        <v>34434.0</v>
      </c>
      <c r="J138" s="8" t="s">
        <v>3443</v>
      </c>
      <c r="K138" s="8" t="s">
        <v>3444</v>
      </c>
      <c r="L138" s="8">
        <v>1994.0</v>
      </c>
      <c r="M138" s="8">
        <v>24.0</v>
      </c>
      <c r="N138" s="8">
        <v>1.0</v>
      </c>
      <c r="O138" s="8">
        <v>17.0</v>
      </c>
      <c r="P138" s="8">
        <v>23.0</v>
      </c>
      <c r="Q138" s="8">
        <v>1994.0</v>
      </c>
      <c r="R138" s="8" t="s">
        <v>2075</v>
      </c>
      <c r="S138" s="8"/>
      <c r="T138" s="8"/>
      <c r="U138" s="8"/>
      <c r="V138" s="8"/>
      <c r="W138" s="8" t="s">
        <v>3445</v>
      </c>
      <c r="X138" s="8"/>
      <c r="Y138" s="8" t="s">
        <v>3446</v>
      </c>
      <c r="Z138" s="8" t="s">
        <v>3447</v>
      </c>
      <c r="AA138" s="8"/>
      <c r="AB138" s="8"/>
      <c r="AC138" s="8"/>
      <c r="AD138" s="8" t="s">
        <v>3339</v>
      </c>
      <c r="AE138" s="8" t="s">
        <v>3448</v>
      </c>
      <c r="AF138" s="8">
        <v>1.994090466E9</v>
      </c>
      <c r="AG138" s="8">
        <v>8165955.0</v>
      </c>
      <c r="AH138" s="8" t="s">
        <v>3449</v>
      </c>
      <c r="AI138" s="8"/>
      <c r="AJ138" s="8"/>
      <c r="AK138" s="8" t="s">
        <v>3450</v>
      </c>
      <c r="AL138" s="8" t="s">
        <v>3451</v>
      </c>
      <c r="AM138" s="8" t="s">
        <v>2978</v>
      </c>
    </row>
    <row r="139" ht="14.25" customHeight="1">
      <c r="A139" s="8">
        <v>137.0</v>
      </c>
      <c r="B139" s="8" t="s">
        <v>3452</v>
      </c>
      <c r="C139" s="8"/>
      <c r="D139" s="8" t="s">
        <v>3453</v>
      </c>
      <c r="E139" s="8" t="s">
        <v>3454</v>
      </c>
      <c r="F139" s="8" t="s">
        <v>3455</v>
      </c>
      <c r="G139" s="8"/>
      <c r="H139" s="8"/>
      <c r="I139" s="7">
        <v>34207.0</v>
      </c>
      <c r="J139" s="8" t="s">
        <v>3456</v>
      </c>
      <c r="K139" s="8" t="s">
        <v>3457</v>
      </c>
      <c r="L139" s="8">
        <v>1993.0</v>
      </c>
      <c r="M139" s="8">
        <v>2.0</v>
      </c>
      <c r="N139" s="8">
        <v>3.0</v>
      </c>
      <c r="O139" s="8">
        <v>171.0</v>
      </c>
      <c r="P139" s="8">
        <v>178.0</v>
      </c>
      <c r="Q139" s="8">
        <v>1993.0</v>
      </c>
      <c r="R139" s="8" t="s">
        <v>2075</v>
      </c>
      <c r="S139" s="8"/>
      <c r="T139" s="8"/>
      <c r="U139" s="8"/>
      <c r="V139" s="8"/>
      <c r="W139" s="8" t="s">
        <v>3458</v>
      </c>
      <c r="X139" s="8"/>
      <c r="Y139" s="8"/>
      <c r="Z139" s="8" t="s">
        <v>3459</v>
      </c>
      <c r="AA139" s="8"/>
      <c r="AB139" s="8"/>
      <c r="AC139" s="8"/>
      <c r="AD139" s="8" t="s">
        <v>2080</v>
      </c>
      <c r="AE139" s="8" t="s">
        <v>2080</v>
      </c>
      <c r="AF139" s="8">
        <v>1.993236055E9</v>
      </c>
      <c r="AG139" s="8"/>
      <c r="AH139" s="8" t="s">
        <v>3460</v>
      </c>
      <c r="AI139" s="8" t="s">
        <v>3461</v>
      </c>
      <c r="AJ139" s="8" t="s">
        <v>3462</v>
      </c>
      <c r="AK139" s="8" t="s">
        <v>3463</v>
      </c>
      <c r="AL139" s="8" t="s">
        <v>3464</v>
      </c>
      <c r="AM139" s="8" t="s">
        <v>3265</v>
      </c>
    </row>
    <row r="140" ht="14.25" customHeight="1">
      <c r="A140" s="8">
        <v>0.0</v>
      </c>
      <c r="B140" s="8" t="s">
        <v>2069</v>
      </c>
      <c r="C140" s="8"/>
      <c r="D140" s="8" t="s">
        <v>2070</v>
      </c>
      <c r="E140" s="8" t="s">
        <v>2071</v>
      </c>
      <c r="F140" s="8" t="s">
        <v>2072</v>
      </c>
      <c r="G140" s="8"/>
      <c r="H140" s="7">
        <v>46015.0</v>
      </c>
      <c r="I140" s="7">
        <v>46020.0</v>
      </c>
      <c r="J140" s="8" t="s">
        <v>2073</v>
      </c>
      <c r="K140" s="8" t="s">
        <v>2074</v>
      </c>
      <c r="L140" s="8">
        <v>2026.0</v>
      </c>
      <c r="M140" s="8">
        <v>62.0</v>
      </c>
      <c r="N140" s="8"/>
      <c r="O140" s="8"/>
      <c r="P140" s="8"/>
      <c r="Q140" s="9">
        <v>46082.0</v>
      </c>
      <c r="R140" s="8" t="s">
        <v>2075</v>
      </c>
      <c r="S140" s="8"/>
      <c r="T140" s="8"/>
      <c r="U140" s="8"/>
      <c r="V140" s="8"/>
      <c r="W140" s="8" t="s">
        <v>2076</v>
      </c>
      <c r="X140" s="8"/>
      <c r="Y140" s="8" t="s">
        <v>2077</v>
      </c>
      <c r="Z140" s="8" t="s">
        <v>2078</v>
      </c>
      <c r="AA140" s="8"/>
      <c r="AB140" s="8"/>
      <c r="AC140" s="8" t="s">
        <v>2079</v>
      </c>
      <c r="AD140" s="8" t="s">
        <v>2080</v>
      </c>
      <c r="AE140" s="8" t="s">
        <v>2080</v>
      </c>
      <c r="AF140" s="8"/>
      <c r="AG140" s="8"/>
      <c r="AH140" s="8" t="s">
        <v>2081</v>
      </c>
      <c r="AI140" s="8" t="s">
        <v>2082</v>
      </c>
      <c r="AJ140" s="8" t="s">
        <v>2083</v>
      </c>
      <c r="AK140" s="8" t="s">
        <v>2084</v>
      </c>
      <c r="AL140" s="8" t="s">
        <v>2085</v>
      </c>
      <c r="AM140" s="8" t="s">
        <v>2086</v>
      </c>
    </row>
    <row r="141" ht="14.25" customHeight="1">
      <c r="A141" s="8">
        <v>1.0</v>
      </c>
      <c r="B141" s="8" t="s">
        <v>957</v>
      </c>
      <c r="C141" s="8"/>
      <c r="D141" s="8" t="s">
        <v>3465</v>
      </c>
      <c r="E141" s="8" t="s">
        <v>3466</v>
      </c>
      <c r="F141" s="8"/>
      <c r="G141" s="8"/>
      <c r="H141" s="7">
        <v>45799.0</v>
      </c>
      <c r="I141" s="7">
        <v>46058.0</v>
      </c>
      <c r="J141" s="8" t="s">
        <v>3467</v>
      </c>
      <c r="K141" s="8" t="s">
        <v>2550</v>
      </c>
      <c r="L141" s="8">
        <v>2026.0</v>
      </c>
      <c r="M141" s="8">
        <v>34.0</v>
      </c>
      <c r="N141" s="8">
        <v>2.0</v>
      </c>
      <c r="O141" s="8">
        <v>484.0</v>
      </c>
      <c r="P141" s="8">
        <v>493.0</v>
      </c>
      <c r="Q141" s="9">
        <v>46054.0</v>
      </c>
      <c r="R141" s="8" t="s">
        <v>2075</v>
      </c>
      <c r="S141" s="8"/>
      <c r="T141" s="8"/>
      <c r="U141" s="8"/>
      <c r="V141" s="8"/>
      <c r="W141" s="8" t="s">
        <v>2551</v>
      </c>
      <c r="X141" s="8"/>
      <c r="Y141" s="8"/>
      <c r="Z141" s="8" t="s">
        <v>3468</v>
      </c>
      <c r="AA141" s="8"/>
      <c r="AB141" s="8"/>
      <c r="AC141" s="8"/>
      <c r="AD141" s="8" t="s">
        <v>2080</v>
      </c>
      <c r="AE141" s="8" t="s">
        <v>2080</v>
      </c>
      <c r="AF141" s="8"/>
      <c r="AG141" s="8">
        <v>4.0351242E7</v>
      </c>
      <c r="AH141" s="8" t="s">
        <v>3469</v>
      </c>
      <c r="AI141" s="8" t="s">
        <v>962</v>
      </c>
      <c r="AJ141" s="8" t="s">
        <v>3470</v>
      </c>
      <c r="AK141" s="8" t="s">
        <v>3471</v>
      </c>
      <c r="AL141" s="8" t="s">
        <v>3472</v>
      </c>
      <c r="AM141" s="8" t="s">
        <v>2136</v>
      </c>
    </row>
    <row r="142" ht="14.25" customHeight="1">
      <c r="A142" s="8">
        <v>2.0</v>
      </c>
      <c r="B142" s="8" t="s">
        <v>979</v>
      </c>
      <c r="C142" s="8"/>
      <c r="D142" s="8" t="s">
        <v>3473</v>
      </c>
      <c r="E142" s="8" t="s">
        <v>3474</v>
      </c>
      <c r="F142" s="8" t="s">
        <v>3475</v>
      </c>
      <c r="G142" s="8"/>
      <c r="H142" s="7">
        <v>45652.0</v>
      </c>
      <c r="I142" s="7">
        <v>45667.0</v>
      </c>
      <c r="J142" s="8" t="s">
        <v>3476</v>
      </c>
      <c r="K142" s="8" t="s">
        <v>2369</v>
      </c>
      <c r="L142" s="8">
        <v>2025.0</v>
      </c>
      <c r="M142" s="8">
        <v>145.0</v>
      </c>
      <c r="N142" s="8">
        <v>1.0</v>
      </c>
      <c r="O142" s="8"/>
      <c r="P142" s="8"/>
      <c r="Q142" s="9">
        <v>45992.0</v>
      </c>
      <c r="R142" s="8" t="s">
        <v>2075</v>
      </c>
      <c r="S142" s="8"/>
      <c r="T142" s="8"/>
      <c r="U142" s="8"/>
      <c r="V142" s="8"/>
      <c r="W142" s="8" t="s">
        <v>2370</v>
      </c>
      <c r="X142" s="8"/>
      <c r="Y142" s="8" t="s">
        <v>2357</v>
      </c>
      <c r="Z142" s="8" t="s">
        <v>3477</v>
      </c>
      <c r="AA142" s="8"/>
      <c r="AB142" s="8"/>
      <c r="AC142" s="8"/>
      <c r="AD142" s="8" t="s">
        <v>2080</v>
      </c>
      <c r="AE142" s="8" t="s">
        <v>2080</v>
      </c>
      <c r="AF142" s="8"/>
      <c r="AG142" s="8">
        <v>3.9714511E7</v>
      </c>
      <c r="AH142" s="8" t="s">
        <v>3478</v>
      </c>
      <c r="AI142" s="8" t="s">
        <v>984</v>
      </c>
      <c r="AJ142" s="8" t="s">
        <v>3479</v>
      </c>
      <c r="AK142" s="8" t="s">
        <v>3480</v>
      </c>
      <c r="AL142" s="8" t="s">
        <v>3481</v>
      </c>
      <c r="AM142" s="8" t="s">
        <v>2086</v>
      </c>
    </row>
    <row r="143" ht="14.25" customHeight="1">
      <c r="A143" s="8">
        <v>3.0</v>
      </c>
      <c r="B143" s="8" t="s">
        <v>947</v>
      </c>
      <c r="C143" s="8"/>
      <c r="D143" s="8" t="s">
        <v>3482</v>
      </c>
      <c r="E143" s="8" t="s">
        <v>3483</v>
      </c>
      <c r="F143" s="8" t="s">
        <v>3484</v>
      </c>
      <c r="G143" s="8"/>
      <c r="H143" s="7">
        <v>45890.0</v>
      </c>
      <c r="I143" s="7">
        <v>45891.0</v>
      </c>
      <c r="J143" s="8" t="s">
        <v>3485</v>
      </c>
      <c r="K143" s="8" t="s">
        <v>180</v>
      </c>
      <c r="L143" s="8">
        <v>2025.0</v>
      </c>
      <c r="M143" s="8">
        <v>57.0</v>
      </c>
      <c r="N143" s="8"/>
      <c r="O143" s="8">
        <v>84.0</v>
      </c>
      <c r="P143" s="8">
        <v>99.0</v>
      </c>
      <c r="Q143" s="9">
        <v>45992.0</v>
      </c>
      <c r="R143" s="8" t="s">
        <v>2075</v>
      </c>
      <c r="S143" s="8"/>
      <c r="T143" s="8"/>
      <c r="U143" s="8"/>
      <c r="V143" s="8"/>
      <c r="W143" s="8" t="s">
        <v>2254</v>
      </c>
      <c r="X143" s="8"/>
      <c r="Y143" s="8" t="s">
        <v>2255</v>
      </c>
      <c r="Z143" s="8" t="s">
        <v>3486</v>
      </c>
      <c r="AA143" s="8"/>
      <c r="AB143" s="8"/>
      <c r="AC143" s="8"/>
      <c r="AD143" s="8" t="s">
        <v>2080</v>
      </c>
      <c r="AE143" s="8" t="s">
        <v>2080</v>
      </c>
      <c r="AF143" s="8"/>
      <c r="AG143" s="8">
        <v>4.0834676E7</v>
      </c>
      <c r="AH143" s="8" t="s">
        <v>3487</v>
      </c>
      <c r="AI143" s="8" t="s">
        <v>951</v>
      </c>
      <c r="AJ143" s="8" t="s">
        <v>3488</v>
      </c>
      <c r="AK143" s="8" t="s">
        <v>3489</v>
      </c>
      <c r="AL143" s="8" t="s">
        <v>3490</v>
      </c>
      <c r="AM143" s="8" t="s">
        <v>2086</v>
      </c>
    </row>
    <row r="144" ht="14.25" customHeight="1">
      <c r="A144" s="8">
        <v>4.0</v>
      </c>
      <c r="B144" s="8" t="s">
        <v>3491</v>
      </c>
      <c r="C144" s="8"/>
      <c r="D144" s="8" t="s">
        <v>3492</v>
      </c>
      <c r="E144" s="8" t="s">
        <v>3493</v>
      </c>
      <c r="F144" s="8" t="s">
        <v>3494</v>
      </c>
      <c r="G144" s="8"/>
      <c r="H144" s="7">
        <v>45950.0</v>
      </c>
      <c r="I144" s="7">
        <v>45954.0</v>
      </c>
      <c r="J144" s="8" t="s">
        <v>3495</v>
      </c>
      <c r="K144" s="8" t="s">
        <v>3496</v>
      </c>
      <c r="L144" s="8">
        <v>2025.0</v>
      </c>
      <c r="M144" s="8">
        <v>26.0</v>
      </c>
      <c r="N144" s="8">
        <v>1.0</v>
      </c>
      <c r="O144" s="8"/>
      <c r="P144" s="8"/>
      <c r="Q144" s="9">
        <v>45992.0</v>
      </c>
      <c r="R144" s="8" t="s">
        <v>2075</v>
      </c>
      <c r="S144" s="8"/>
      <c r="T144" s="8"/>
      <c r="U144" s="8"/>
      <c r="V144" s="8"/>
      <c r="W144" s="8" t="s">
        <v>3497</v>
      </c>
      <c r="X144" s="8"/>
      <c r="Y144" s="8" t="s">
        <v>3498</v>
      </c>
      <c r="Z144" s="8" t="s">
        <v>3499</v>
      </c>
      <c r="AA144" s="8" t="s">
        <v>3500</v>
      </c>
      <c r="AB144" s="8"/>
      <c r="AC144" s="8" t="s">
        <v>3501</v>
      </c>
      <c r="AD144" s="8" t="s">
        <v>2080</v>
      </c>
      <c r="AE144" s="8" t="s">
        <v>2080</v>
      </c>
      <c r="AF144" s="8"/>
      <c r="AG144" s="8">
        <v>4.1083992E7</v>
      </c>
      <c r="AH144" s="8" t="s">
        <v>3502</v>
      </c>
      <c r="AI144" s="8" t="s">
        <v>3503</v>
      </c>
      <c r="AJ144" s="8" t="s">
        <v>3504</v>
      </c>
      <c r="AK144" s="8" t="s">
        <v>3505</v>
      </c>
      <c r="AL144" s="8" t="s">
        <v>3506</v>
      </c>
      <c r="AM144" s="8" t="s">
        <v>2086</v>
      </c>
    </row>
    <row r="145" ht="14.25" customHeight="1">
      <c r="A145" s="8">
        <v>5.0</v>
      </c>
      <c r="B145" s="8" t="s">
        <v>3507</v>
      </c>
      <c r="C145" s="8"/>
      <c r="D145" s="8" t="s">
        <v>3508</v>
      </c>
      <c r="E145" s="8" t="s">
        <v>3509</v>
      </c>
      <c r="F145" s="8" t="s">
        <v>3510</v>
      </c>
      <c r="G145" s="8"/>
      <c r="H145" s="7">
        <v>45947.0</v>
      </c>
      <c r="I145" s="7">
        <v>45953.0</v>
      </c>
      <c r="J145" s="8" t="s">
        <v>3511</v>
      </c>
      <c r="K145" s="8" t="s">
        <v>2355</v>
      </c>
      <c r="L145" s="8">
        <v>2025.0</v>
      </c>
      <c r="M145" s="8">
        <v>12.0</v>
      </c>
      <c r="N145" s="8">
        <v>4.0</v>
      </c>
      <c r="O145" s="8"/>
      <c r="P145" s="8"/>
      <c r="Q145" s="9">
        <v>45931.0</v>
      </c>
      <c r="R145" s="8" t="s">
        <v>2075</v>
      </c>
      <c r="S145" s="8"/>
      <c r="T145" s="8"/>
      <c r="U145" s="8"/>
      <c r="V145" s="8"/>
      <c r="W145" s="8" t="s">
        <v>2356</v>
      </c>
      <c r="X145" s="8"/>
      <c r="Y145" s="8" t="s">
        <v>3512</v>
      </c>
      <c r="Z145" s="8" t="s">
        <v>3513</v>
      </c>
      <c r="AA145" s="8" t="s">
        <v>3514</v>
      </c>
      <c r="AB145" s="8"/>
      <c r="AC145" s="8"/>
      <c r="AD145" s="8" t="s">
        <v>2080</v>
      </c>
      <c r="AE145" s="8" t="s">
        <v>2080</v>
      </c>
      <c r="AF145" s="8"/>
      <c r="AG145" s="8"/>
      <c r="AH145" s="8" t="s">
        <v>3515</v>
      </c>
      <c r="AI145" s="8" t="s">
        <v>3516</v>
      </c>
      <c r="AJ145" s="8" t="s">
        <v>3517</v>
      </c>
      <c r="AK145" s="8" t="s">
        <v>3518</v>
      </c>
      <c r="AL145" s="8" t="s">
        <v>3519</v>
      </c>
      <c r="AM145" s="8" t="s">
        <v>2086</v>
      </c>
    </row>
    <row r="146" ht="14.25" customHeight="1">
      <c r="A146" s="8">
        <v>6.0</v>
      </c>
      <c r="B146" s="8" t="s">
        <v>963</v>
      </c>
      <c r="C146" s="8"/>
      <c r="D146" s="8" t="s">
        <v>3520</v>
      </c>
      <c r="E146" s="8" t="s">
        <v>3521</v>
      </c>
      <c r="F146" s="8"/>
      <c r="G146" s="8"/>
      <c r="H146" s="7">
        <v>45720.0</v>
      </c>
      <c r="I146" s="7">
        <v>45896.0</v>
      </c>
      <c r="J146" s="8" t="s">
        <v>3522</v>
      </c>
      <c r="K146" s="8" t="s">
        <v>3523</v>
      </c>
      <c r="L146" s="8">
        <v>2025.0</v>
      </c>
      <c r="M146" s="8">
        <v>34.0</v>
      </c>
      <c r="N146" s="8">
        <v>7.0</v>
      </c>
      <c r="O146" s="8">
        <v>733.0</v>
      </c>
      <c r="P146" s="8">
        <v>739.0</v>
      </c>
      <c r="Q146" s="9">
        <v>45901.0</v>
      </c>
      <c r="R146" s="8" t="s">
        <v>2075</v>
      </c>
      <c r="S146" s="8"/>
      <c r="T146" s="8"/>
      <c r="U146" s="8"/>
      <c r="V146" s="8"/>
      <c r="W146" s="8" t="s">
        <v>3524</v>
      </c>
      <c r="X146" s="8"/>
      <c r="Y146" s="8"/>
      <c r="Z146" s="8" t="s">
        <v>3525</v>
      </c>
      <c r="AA146" s="8"/>
      <c r="AB146" s="8"/>
      <c r="AC146" s="8"/>
      <c r="AD146" s="8" t="s">
        <v>2080</v>
      </c>
      <c r="AE146" s="8" t="s">
        <v>2080</v>
      </c>
      <c r="AF146" s="8"/>
      <c r="AG146" s="8">
        <v>3.9947195E7</v>
      </c>
      <c r="AH146" s="8" t="s">
        <v>3526</v>
      </c>
      <c r="AI146" s="8" t="s">
        <v>968</v>
      </c>
      <c r="AJ146" s="8" t="s">
        <v>3527</v>
      </c>
      <c r="AK146" s="8" t="s">
        <v>3528</v>
      </c>
      <c r="AL146" s="8" t="s">
        <v>3529</v>
      </c>
      <c r="AM146" s="8" t="s">
        <v>2136</v>
      </c>
    </row>
    <row r="147" ht="14.25" customHeight="1">
      <c r="A147" s="8">
        <v>7.0</v>
      </c>
      <c r="B147" s="8" t="s">
        <v>3530</v>
      </c>
      <c r="C147" s="8"/>
      <c r="D147" s="8" t="s">
        <v>3531</v>
      </c>
      <c r="E147" s="8" t="s">
        <v>3532</v>
      </c>
      <c r="F147" s="8" t="s">
        <v>3533</v>
      </c>
      <c r="G147" s="8"/>
      <c r="H147" s="7">
        <v>45930.0</v>
      </c>
      <c r="I147" s="7">
        <v>45943.0</v>
      </c>
      <c r="J147" s="8" t="s">
        <v>3534</v>
      </c>
      <c r="K147" s="8" t="s">
        <v>2355</v>
      </c>
      <c r="L147" s="8">
        <v>2025.0</v>
      </c>
      <c r="M147" s="8">
        <v>12.0</v>
      </c>
      <c r="N147" s="8">
        <v>3.0</v>
      </c>
      <c r="O147" s="8"/>
      <c r="P147" s="8"/>
      <c r="Q147" s="9">
        <v>45839.0</v>
      </c>
      <c r="R147" s="8" t="s">
        <v>2075</v>
      </c>
      <c r="S147" s="8"/>
      <c r="T147" s="8"/>
      <c r="U147" s="8"/>
      <c r="V147" s="8"/>
      <c r="W147" s="8" t="s">
        <v>2356</v>
      </c>
      <c r="X147" s="8"/>
      <c r="Y147" s="8" t="s">
        <v>3512</v>
      </c>
      <c r="Z147" s="8" t="s">
        <v>3535</v>
      </c>
      <c r="AA147" s="8" t="s">
        <v>3536</v>
      </c>
      <c r="AB147" s="8"/>
      <c r="AC147" s="8" t="s">
        <v>3537</v>
      </c>
      <c r="AD147" s="8" t="s">
        <v>2080</v>
      </c>
      <c r="AE147" s="8" t="s">
        <v>2080</v>
      </c>
      <c r="AF147" s="8"/>
      <c r="AG147" s="8"/>
      <c r="AH147" s="8" t="s">
        <v>3538</v>
      </c>
      <c r="AI147" s="8" t="s">
        <v>3539</v>
      </c>
      <c r="AJ147" s="8" t="s">
        <v>3540</v>
      </c>
      <c r="AK147" s="8" t="s">
        <v>3541</v>
      </c>
      <c r="AL147" s="8" t="s">
        <v>3542</v>
      </c>
      <c r="AM147" s="8" t="s">
        <v>2086</v>
      </c>
    </row>
    <row r="148" ht="14.25" customHeight="1">
      <c r="A148" s="8">
        <v>8.0</v>
      </c>
      <c r="B148" s="8" t="s">
        <v>3543</v>
      </c>
      <c r="C148" s="8"/>
      <c r="D148" s="8" t="s">
        <v>3544</v>
      </c>
      <c r="E148" s="8" t="s">
        <v>3545</v>
      </c>
      <c r="F148" s="8" t="s">
        <v>3546</v>
      </c>
      <c r="G148" s="8"/>
      <c r="H148" s="7">
        <v>45839.0</v>
      </c>
      <c r="I148" s="7">
        <v>45852.0</v>
      </c>
      <c r="J148" s="8" t="s">
        <v>3547</v>
      </c>
      <c r="K148" s="8" t="s">
        <v>3548</v>
      </c>
      <c r="L148" s="8">
        <v>2025.0</v>
      </c>
      <c r="M148" s="8">
        <v>12.0</v>
      </c>
      <c r="N148" s="8">
        <v>3.0</v>
      </c>
      <c r="O148" s="8">
        <v>101.0</v>
      </c>
      <c r="P148" s="8">
        <v>114.0</v>
      </c>
      <c r="Q148" s="9">
        <v>45839.0</v>
      </c>
      <c r="R148" s="8" t="s">
        <v>2075</v>
      </c>
      <c r="S148" s="8"/>
      <c r="T148" s="8"/>
      <c r="U148" s="8"/>
      <c r="V148" s="8"/>
      <c r="W148" s="8" t="s">
        <v>3549</v>
      </c>
      <c r="X148" s="8"/>
      <c r="Y148" s="8" t="s">
        <v>3550</v>
      </c>
      <c r="Z148" s="8" t="s">
        <v>3551</v>
      </c>
      <c r="AA148" s="8"/>
      <c r="AB148" s="8"/>
      <c r="AC148" s="8"/>
      <c r="AD148" s="8" t="s">
        <v>2080</v>
      </c>
      <c r="AE148" s="8" t="s">
        <v>2080</v>
      </c>
      <c r="AF148" s="8"/>
      <c r="AG148" s="8"/>
      <c r="AH148" s="8" t="s">
        <v>3552</v>
      </c>
      <c r="AI148" s="8" t="s">
        <v>3553</v>
      </c>
      <c r="AJ148" s="8" t="s">
        <v>3554</v>
      </c>
      <c r="AK148" s="8" t="s">
        <v>3555</v>
      </c>
      <c r="AL148" s="8" t="s">
        <v>3556</v>
      </c>
      <c r="AM148" s="8" t="s">
        <v>2086</v>
      </c>
    </row>
    <row r="149" ht="14.25" customHeight="1">
      <c r="A149" s="8">
        <v>9.0</v>
      </c>
      <c r="B149" s="8" t="s">
        <v>3557</v>
      </c>
      <c r="C149" s="8"/>
      <c r="D149" s="8" t="s">
        <v>3558</v>
      </c>
      <c r="E149" s="8" t="s">
        <v>3559</v>
      </c>
      <c r="F149" s="8" t="s">
        <v>3560</v>
      </c>
      <c r="G149" s="8"/>
      <c r="H149" s="7">
        <v>45891.0</v>
      </c>
      <c r="I149" s="7">
        <v>45897.0</v>
      </c>
      <c r="J149" s="8" t="s">
        <v>3561</v>
      </c>
      <c r="K149" s="8" t="s">
        <v>2196</v>
      </c>
      <c r="L149" s="8">
        <v>2025.0</v>
      </c>
      <c r="M149" s="8">
        <v>14.0</v>
      </c>
      <c r="N149" s="8">
        <v>7.0</v>
      </c>
      <c r="O149" s="8">
        <v>1656.0</v>
      </c>
      <c r="P149" s="8">
        <v>1660.0</v>
      </c>
      <c r="Q149" s="9">
        <v>45839.0</v>
      </c>
      <c r="R149" s="8" t="s">
        <v>2075</v>
      </c>
      <c r="S149" s="8"/>
      <c r="T149" s="8"/>
      <c r="U149" s="8"/>
      <c r="V149" s="8"/>
      <c r="W149" s="8" t="s">
        <v>2197</v>
      </c>
      <c r="X149" s="8"/>
      <c r="Y149" s="8" t="s">
        <v>2196</v>
      </c>
      <c r="Z149" s="8" t="s">
        <v>3562</v>
      </c>
      <c r="AA149" s="8"/>
      <c r="AB149" s="8"/>
      <c r="AC149" s="8"/>
      <c r="AD149" s="8" t="s">
        <v>2080</v>
      </c>
      <c r="AE149" s="8" t="s">
        <v>2080</v>
      </c>
      <c r="AF149" s="8"/>
      <c r="AG149" s="8"/>
      <c r="AH149" s="8" t="s">
        <v>3563</v>
      </c>
      <c r="AI149" s="8" t="s">
        <v>3564</v>
      </c>
      <c r="AJ149" s="8" t="s">
        <v>3565</v>
      </c>
      <c r="AK149" s="8" t="s">
        <v>3566</v>
      </c>
      <c r="AL149" s="8" t="s">
        <v>3567</v>
      </c>
      <c r="AM149" s="8" t="s">
        <v>2086</v>
      </c>
    </row>
    <row r="150" ht="14.25" customHeight="1">
      <c r="A150" s="8">
        <v>10.0</v>
      </c>
      <c r="B150" s="8" t="s">
        <v>974</v>
      </c>
      <c r="C150" s="8"/>
      <c r="D150" s="8" t="s">
        <v>3568</v>
      </c>
      <c r="E150" s="8" t="s">
        <v>3569</v>
      </c>
      <c r="F150" s="8"/>
      <c r="G150" s="8"/>
      <c r="H150" s="7">
        <v>45685.0</v>
      </c>
      <c r="I150" s="7">
        <v>45852.0</v>
      </c>
      <c r="J150" s="8" t="s">
        <v>3570</v>
      </c>
      <c r="K150" s="8" t="s">
        <v>2550</v>
      </c>
      <c r="L150" s="8">
        <v>2025.0</v>
      </c>
      <c r="M150" s="8">
        <v>33.0</v>
      </c>
      <c r="N150" s="8">
        <v>7.0</v>
      </c>
      <c r="O150" s="8">
        <v>2390.0</v>
      </c>
      <c r="P150" s="8">
        <v>2396.0</v>
      </c>
      <c r="Q150" s="9">
        <v>45839.0</v>
      </c>
      <c r="R150" s="8" t="s">
        <v>2075</v>
      </c>
      <c r="S150" s="8"/>
      <c r="T150" s="8"/>
      <c r="U150" s="8"/>
      <c r="V150" s="8"/>
      <c r="W150" s="8" t="s">
        <v>2551</v>
      </c>
      <c r="X150" s="8"/>
      <c r="Y150" s="8"/>
      <c r="Z150" s="8" t="s">
        <v>3571</v>
      </c>
      <c r="AA150" s="8"/>
      <c r="AB150" s="8"/>
      <c r="AC150" s="8"/>
      <c r="AD150" s="8" t="s">
        <v>2080</v>
      </c>
      <c r="AE150" s="8" t="s">
        <v>2080</v>
      </c>
      <c r="AF150" s="8"/>
      <c r="AG150" s="8">
        <v>3.9810716E7</v>
      </c>
      <c r="AH150" s="8" t="s">
        <v>3572</v>
      </c>
      <c r="AI150" s="8" t="s">
        <v>978</v>
      </c>
      <c r="AJ150" s="8" t="s">
        <v>3573</v>
      </c>
      <c r="AK150" s="8" t="s">
        <v>3574</v>
      </c>
      <c r="AL150" s="8" t="s">
        <v>3575</v>
      </c>
      <c r="AM150" s="8" t="s">
        <v>2136</v>
      </c>
    </row>
    <row r="151" ht="14.25" customHeight="1">
      <c r="A151" s="8">
        <v>11.0</v>
      </c>
      <c r="B151" s="8" t="s">
        <v>952</v>
      </c>
      <c r="C151" s="8"/>
      <c r="D151" s="8" t="s">
        <v>3576</v>
      </c>
      <c r="E151" s="8" t="s">
        <v>3577</v>
      </c>
      <c r="F151" s="8"/>
      <c r="G151" s="8"/>
      <c r="H151" s="7">
        <v>45832.0</v>
      </c>
      <c r="I151" s="7">
        <v>45873.0</v>
      </c>
      <c r="J151" s="8" t="s">
        <v>3578</v>
      </c>
      <c r="K151" s="8" t="s">
        <v>2128</v>
      </c>
      <c r="L151" s="8">
        <v>2025.0</v>
      </c>
      <c r="M151" s="8">
        <v>53.0</v>
      </c>
      <c r="N151" s="8">
        <v>9.0</v>
      </c>
      <c r="O151" s="8">
        <v>2145.0</v>
      </c>
      <c r="P151" s="8">
        <v>2153.0</v>
      </c>
      <c r="Q151" s="9">
        <v>45839.0</v>
      </c>
      <c r="R151" s="8" t="s">
        <v>2075</v>
      </c>
      <c r="S151" s="8"/>
      <c r="T151" s="8"/>
      <c r="U151" s="8"/>
      <c r="V151" s="8"/>
      <c r="W151" s="8" t="s">
        <v>2129</v>
      </c>
      <c r="X151" s="8"/>
      <c r="Y151" s="8"/>
      <c r="Z151" s="8" t="s">
        <v>3579</v>
      </c>
      <c r="AA151" s="8"/>
      <c r="AB151" s="8"/>
      <c r="AC151" s="8"/>
      <c r="AD151" s="8" t="s">
        <v>2080</v>
      </c>
      <c r="AE151" s="8" t="s">
        <v>2080</v>
      </c>
      <c r="AF151" s="8"/>
      <c r="AG151" s="8">
        <v>4.0476596E7</v>
      </c>
      <c r="AH151" s="8" t="s">
        <v>3580</v>
      </c>
      <c r="AI151" s="8" t="s">
        <v>956</v>
      </c>
      <c r="AJ151" s="8" t="s">
        <v>3581</v>
      </c>
      <c r="AK151" s="8" t="s">
        <v>3582</v>
      </c>
      <c r="AL151" s="8" t="s">
        <v>3583</v>
      </c>
      <c r="AM151" s="8" t="s">
        <v>2136</v>
      </c>
    </row>
    <row r="152" ht="14.25" customHeight="1">
      <c r="A152" s="8">
        <v>12.0</v>
      </c>
      <c r="B152" s="8" t="s">
        <v>3584</v>
      </c>
      <c r="C152" s="8"/>
      <c r="D152" s="8"/>
      <c r="E152" s="8"/>
      <c r="F152" s="8"/>
      <c r="G152" s="8"/>
      <c r="H152" s="7">
        <v>45943.0</v>
      </c>
      <c r="I152" s="7">
        <v>45943.0</v>
      </c>
      <c r="J152" s="8" t="s">
        <v>3585</v>
      </c>
      <c r="K152" s="8" t="s">
        <v>2089</v>
      </c>
      <c r="L152" s="8">
        <v>2025.0</v>
      </c>
      <c r="M152" s="8"/>
      <c r="N152" s="8"/>
      <c r="O152" s="8"/>
      <c r="P152" s="8"/>
      <c r="Q152" s="9">
        <v>45817.0</v>
      </c>
      <c r="R152" s="8" t="s">
        <v>2090</v>
      </c>
      <c r="S152" s="8"/>
      <c r="T152" s="8"/>
      <c r="U152" s="8"/>
      <c r="V152" s="8"/>
      <c r="W152" s="8"/>
      <c r="X152" s="8"/>
      <c r="Y152" s="8" t="s">
        <v>2089</v>
      </c>
      <c r="Z152" s="8" t="s">
        <v>3586</v>
      </c>
      <c r="AA152" s="8"/>
      <c r="AB152" s="8"/>
      <c r="AC152" s="8"/>
      <c r="AD152" s="8" t="s">
        <v>2080</v>
      </c>
      <c r="AE152" s="8" t="s">
        <v>2080</v>
      </c>
      <c r="AF152" s="8"/>
      <c r="AG152" s="8"/>
      <c r="AH152" s="8" t="s">
        <v>3587</v>
      </c>
      <c r="AI152" s="8"/>
      <c r="AJ152" s="8" t="s">
        <v>3588</v>
      </c>
      <c r="AK152" s="8" t="s">
        <v>3589</v>
      </c>
      <c r="AL152" s="8"/>
      <c r="AM152" s="8" t="s">
        <v>2095</v>
      </c>
    </row>
    <row r="153" ht="14.25" customHeight="1">
      <c r="A153" s="8">
        <v>13.0</v>
      </c>
      <c r="B153" s="8" t="s">
        <v>3590</v>
      </c>
      <c r="C153" s="8"/>
      <c r="D153" s="8" t="s">
        <v>3591</v>
      </c>
      <c r="E153" s="8" t="s">
        <v>3592</v>
      </c>
      <c r="F153" s="8" t="s">
        <v>3593</v>
      </c>
      <c r="G153" s="8"/>
      <c r="H153" s="7">
        <v>45730.0</v>
      </c>
      <c r="I153" s="7">
        <v>45803.0</v>
      </c>
      <c r="J153" s="8" t="s">
        <v>3594</v>
      </c>
      <c r="K153" s="8" t="s">
        <v>2594</v>
      </c>
      <c r="L153" s="8">
        <v>2025.0</v>
      </c>
      <c r="M153" s="8">
        <v>49.0</v>
      </c>
      <c r="N153" s="8">
        <v>6.0</v>
      </c>
      <c r="O153" s="8">
        <v>1365.0</v>
      </c>
      <c r="P153" s="8">
        <v>1372.0</v>
      </c>
      <c r="Q153" s="9">
        <v>45809.0</v>
      </c>
      <c r="R153" s="8" t="s">
        <v>2075</v>
      </c>
      <c r="S153" s="8"/>
      <c r="T153" s="8"/>
      <c r="U153" s="8"/>
      <c r="V153" s="8"/>
      <c r="W153" s="8" t="s">
        <v>2595</v>
      </c>
      <c r="X153" s="8"/>
      <c r="Y153" s="8" t="s">
        <v>3595</v>
      </c>
      <c r="Z153" s="8" t="s">
        <v>3596</v>
      </c>
      <c r="AA153" s="8"/>
      <c r="AB153" s="8"/>
      <c r="AC153" s="8"/>
      <c r="AD153" s="8" t="s">
        <v>2080</v>
      </c>
      <c r="AE153" s="8" t="s">
        <v>2080</v>
      </c>
      <c r="AF153" s="8"/>
      <c r="AG153" s="8">
        <v>4.0053066E7</v>
      </c>
      <c r="AH153" s="8" t="s">
        <v>3597</v>
      </c>
      <c r="AI153" s="8" t="s">
        <v>3598</v>
      </c>
      <c r="AJ153" s="8" t="s">
        <v>3599</v>
      </c>
      <c r="AK153" s="8" t="s">
        <v>3600</v>
      </c>
      <c r="AL153" s="8" t="s">
        <v>3601</v>
      </c>
      <c r="AM153" s="8" t="s">
        <v>2086</v>
      </c>
    </row>
    <row r="154" ht="14.25" customHeight="1">
      <c r="A154" s="8">
        <v>14.0</v>
      </c>
      <c r="B154" s="8" t="s">
        <v>991</v>
      </c>
      <c r="C154" s="8"/>
      <c r="D154" s="8" t="s">
        <v>3602</v>
      </c>
      <c r="E154" s="8" t="s">
        <v>3603</v>
      </c>
      <c r="F154" s="8" t="s">
        <v>3604</v>
      </c>
      <c r="G154" s="8"/>
      <c r="H154" s="7">
        <v>45611.0</v>
      </c>
      <c r="I154" s="7">
        <v>45817.0</v>
      </c>
      <c r="J154" s="8" t="s">
        <v>3605</v>
      </c>
      <c r="K154" s="8" t="s">
        <v>2241</v>
      </c>
      <c r="L154" s="8">
        <v>2025.0</v>
      </c>
      <c r="M154" s="8">
        <v>41.0</v>
      </c>
      <c r="N154" s="8">
        <v>6.0</v>
      </c>
      <c r="O154" s="8">
        <v>2021.0</v>
      </c>
      <c r="P154" s="8">
        <v>2032.0</v>
      </c>
      <c r="Q154" s="9">
        <v>45809.0</v>
      </c>
      <c r="R154" s="8" t="s">
        <v>2075</v>
      </c>
      <c r="S154" s="8"/>
      <c r="T154" s="8"/>
      <c r="U154" s="8"/>
      <c r="V154" s="8"/>
      <c r="W154" s="8" t="s">
        <v>2242</v>
      </c>
      <c r="X154" s="8"/>
      <c r="Y154" s="8" t="s">
        <v>2243</v>
      </c>
      <c r="Z154" s="8" t="s">
        <v>3606</v>
      </c>
      <c r="AA154" s="8"/>
      <c r="AB154" s="8"/>
      <c r="AC154" s="8"/>
      <c r="AD154" s="8" t="s">
        <v>2080</v>
      </c>
      <c r="AE154" s="8" t="s">
        <v>2080</v>
      </c>
      <c r="AF154" s="8"/>
      <c r="AG154" s="8">
        <v>3.9343075E7</v>
      </c>
      <c r="AH154" s="8" t="s">
        <v>3607</v>
      </c>
      <c r="AI154" s="8" t="s">
        <v>995</v>
      </c>
      <c r="AJ154" s="8" t="s">
        <v>3608</v>
      </c>
      <c r="AK154" s="8" t="s">
        <v>3609</v>
      </c>
      <c r="AL154" s="8" t="s">
        <v>3610</v>
      </c>
      <c r="AM154" s="8" t="s">
        <v>2086</v>
      </c>
    </row>
    <row r="155" ht="14.25" customHeight="1">
      <c r="A155" s="8">
        <v>15.0</v>
      </c>
      <c r="B155" s="8" t="s">
        <v>3611</v>
      </c>
      <c r="C155" s="8"/>
      <c r="D155" s="8" t="s">
        <v>3612</v>
      </c>
      <c r="E155" s="8" t="s">
        <v>3613</v>
      </c>
      <c r="F155" s="8"/>
      <c r="G155" s="8"/>
      <c r="H155" s="7">
        <v>45832.0</v>
      </c>
      <c r="I155" s="8"/>
      <c r="J155" s="8" t="s">
        <v>3614</v>
      </c>
      <c r="K155" s="8" t="s">
        <v>2550</v>
      </c>
      <c r="L155" s="8">
        <v>2025.0</v>
      </c>
      <c r="M155" s="8"/>
      <c r="N155" s="8"/>
      <c r="O155" s="8"/>
      <c r="P155" s="8"/>
      <c r="Q155" s="9">
        <v>45809.0</v>
      </c>
      <c r="R155" s="8" t="s">
        <v>2116</v>
      </c>
      <c r="S155" s="8"/>
      <c r="T155" s="8"/>
      <c r="U155" s="8"/>
      <c r="V155" s="8"/>
      <c r="W155" s="8" t="s">
        <v>2551</v>
      </c>
      <c r="X155" s="8"/>
      <c r="Y155" s="8"/>
      <c r="Z155" s="8" t="s">
        <v>3615</v>
      </c>
      <c r="AA155" s="8"/>
      <c r="AB155" s="8"/>
      <c r="AC155" s="8"/>
      <c r="AD155" s="8" t="s">
        <v>2080</v>
      </c>
      <c r="AE155" s="8" t="s">
        <v>2080</v>
      </c>
      <c r="AF155" s="8"/>
      <c r="AG155" s="8">
        <v>4.0450566E7</v>
      </c>
      <c r="AH155" s="8" t="s">
        <v>3616</v>
      </c>
      <c r="AI155" s="8" t="s">
        <v>3617</v>
      </c>
      <c r="AJ155" s="8" t="s">
        <v>3618</v>
      </c>
      <c r="AK155" s="8" t="s">
        <v>3619</v>
      </c>
      <c r="AL155" s="8" t="s">
        <v>3620</v>
      </c>
      <c r="AM155" s="8" t="s">
        <v>2136</v>
      </c>
    </row>
    <row r="156" ht="14.25" customHeight="1">
      <c r="A156" s="8">
        <v>16.0</v>
      </c>
      <c r="B156" s="8" t="s">
        <v>3621</v>
      </c>
      <c r="C156" s="8"/>
      <c r="D156" s="8"/>
      <c r="E156" s="8"/>
      <c r="F156" s="8"/>
      <c r="G156" s="8"/>
      <c r="H156" s="7">
        <v>45943.0</v>
      </c>
      <c r="I156" s="7">
        <v>45943.0</v>
      </c>
      <c r="J156" s="8" t="s">
        <v>3622</v>
      </c>
      <c r="K156" s="8" t="s">
        <v>2089</v>
      </c>
      <c r="L156" s="8">
        <v>2025.0</v>
      </c>
      <c r="M156" s="8"/>
      <c r="N156" s="8"/>
      <c r="O156" s="8"/>
      <c r="P156" s="8"/>
      <c r="Q156" s="9">
        <v>45789.0</v>
      </c>
      <c r="R156" s="8" t="s">
        <v>2090</v>
      </c>
      <c r="S156" s="8"/>
      <c r="T156" s="8"/>
      <c r="U156" s="8"/>
      <c r="V156" s="8"/>
      <c r="W156" s="8"/>
      <c r="X156" s="8"/>
      <c r="Y156" s="8" t="s">
        <v>2089</v>
      </c>
      <c r="Z156" s="8" t="s">
        <v>3623</v>
      </c>
      <c r="AA156" s="8"/>
      <c r="AB156" s="8"/>
      <c r="AC156" s="8"/>
      <c r="AD156" s="8" t="s">
        <v>2080</v>
      </c>
      <c r="AE156" s="8" t="s">
        <v>2080</v>
      </c>
      <c r="AF156" s="8"/>
      <c r="AG156" s="8"/>
      <c r="AH156" s="8" t="s">
        <v>3624</v>
      </c>
      <c r="AI156" s="8"/>
      <c r="AJ156" s="8" t="s">
        <v>3625</v>
      </c>
      <c r="AK156" s="8" t="s">
        <v>3626</v>
      </c>
      <c r="AL156" s="8"/>
      <c r="AM156" s="8" t="s">
        <v>2095</v>
      </c>
    </row>
    <row r="157" ht="14.25" customHeight="1">
      <c r="A157" s="8">
        <v>17.0</v>
      </c>
      <c r="B157" s="8" t="s">
        <v>3627</v>
      </c>
      <c r="C157" s="8"/>
      <c r="D157" s="8"/>
      <c r="E157" s="8"/>
      <c r="F157" s="8"/>
      <c r="G157" s="8"/>
      <c r="H157" s="7">
        <v>45943.0</v>
      </c>
      <c r="I157" s="7">
        <v>45943.0</v>
      </c>
      <c r="J157" s="8" t="s">
        <v>3628</v>
      </c>
      <c r="K157" s="8" t="s">
        <v>2089</v>
      </c>
      <c r="L157" s="8">
        <v>2025.0</v>
      </c>
      <c r="M157" s="8"/>
      <c r="N157" s="8"/>
      <c r="O157" s="8"/>
      <c r="P157" s="8"/>
      <c r="Q157" s="9">
        <v>45776.0</v>
      </c>
      <c r="R157" s="8" t="s">
        <v>2090</v>
      </c>
      <c r="S157" s="8"/>
      <c r="T157" s="8"/>
      <c r="U157" s="8"/>
      <c r="V157" s="8"/>
      <c r="W157" s="8"/>
      <c r="X157" s="8"/>
      <c r="Y157" s="8" t="s">
        <v>2089</v>
      </c>
      <c r="Z157" s="8" t="s">
        <v>3629</v>
      </c>
      <c r="AA157" s="8"/>
      <c r="AB157" s="8"/>
      <c r="AC157" s="8"/>
      <c r="AD157" s="8" t="s">
        <v>2080</v>
      </c>
      <c r="AE157" s="8" t="s">
        <v>2080</v>
      </c>
      <c r="AF157" s="8"/>
      <c r="AG157" s="8"/>
      <c r="AH157" s="8" t="s">
        <v>3630</v>
      </c>
      <c r="AI157" s="8"/>
      <c r="AJ157" s="8" t="s">
        <v>3631</v>
      </c>
      <c r="AK157" s="8" t="s">
        <v>3632</v>
      </c>
      <c r="AL157" s="8"/>
      <c r="AM157" s="8" t="s">
        <v>2095</v>
      </c>
    </row>
    <row r="158" ht="14.25" customHeight="1">
      <c r="A158" s="8">
        <v>18.0</v>
      </c>
      <c r="B158" s="8" t="s">
        <v>985</v>
      </c>
      <c r="C158" s="8"/>
      <c r="D158" s="8" t="s">
        <v>3633</v>
      </c>
      <c r="E158" s="8" t="s">
        <v>3634</v>
      </c>
      <c r="F158" s="8"/>
      <c r="G158" s="8"/>
      <c r="H158" s="7">
        <v>45621.0</v>
      </c>
      <c r="I158" s="7">
        <v>45694.0</v>
      </c>
      <c r="J158" s="8" t="s">
        <v>3635</v>
      </c>
      <c r="K158" s="8" t="s">
        <v>3636</v>
      </c>
      <c r="L158" s="8">
        <v>2025.0</v>
      </c>
      <c r="M158" s="8">
        <v>65.0</v>
      </c>
      <c r="N158" s="8">
        <v>2.0</v>
      </c>
      <c r="O158" s="8">
        <v>230.0</v>
      </c>
      <c r="P158" s="8">
        <v>237.0</v>
      </c>
      <c r="Q158" s="9">
        <v>45689.0</v>
      </c>
      <c r="R158" s="8" t="s">
        <v>2075</v>
      </c>
      <c r="S158" s="8"/>
      <c r="T158" s="8"/>
      <c r="U158" s="8"/>
      <c r="V158" s="8"/>
      <c r="W158" s="8" t="s">
        <v>3637</v>
      </c>
      <c r="X158" s="8"/>
      <c r="Y158" s="8"/>
      <c r="Z158" s="8" t="s">
        <v>3638</v>
      </c>
      <c r="AA158" s="8"/>
      <c r="AB158" s="8"/>
      <c r="AC158" s="8"/>
      <c r="AD158" s="8" t="s">
        <v>2080</v>
      </c>
      <c r="AE158" s="8" t="s">
        <v>2080</v>
      </c>
      <c r="AF158" s="8"/>
      <c r="AG158" s="8">
        <v>3.952687E7</v>
      </c>
      <c r="AH158" s="8" t="s">
        <v>3639</v>
      </c>
      <c r="AI158" s="8" t="s">
        <v>990</v>
      </c>
      <c r="AJ158" s="8" t="s">
        <v>3640</v>
      </c>
      <c r="AK158" s="8" t="s">
        <v>3641</v>
      </c>
      <c r="AL158" s="8" t="s">
        <v>3642</v>
      </c>
      <c r="AM158" s="8" t="s">
        <v>2136</v>
      </c>
    </row>
    <row r="159" ht="14.25" customHeight="1">
      <c r="A159" s="8">
        <v>19.0</v>
      </c>
      <c r="B159" s="8" t="s">
        <v>3643</v>
      </c>
      <c r="C159" s="8"/>
      <c r="D159" s="8"/>
      <c r="E159" s="8"/>
      <c r="F159" s="8"/>
      <c r="G159" s="8"/>
      <c r="H159" s="7">
        <v>45817.0</v>
      </c>
      <c r="I159" s="7">
        <v>45817.0</v>
      </c>
      <c r="J159" s="8" t="s">
        <v>3644</v>
      </c>
      <c r="K159" s="8" t="s">
        <v>2089</v>
      </c>
      <c r="L159" s="8">
        <v>2025.0</v>
      </c>
      <c r="M159" s="8"/>
      <c r="N159" s="8"/>
      <c r="O159" s="8"/>
      <c r="P159" s="8"/>
      <c r="Q159" s="9">
        <v>45666.0</v>
      </c>
      <c r="R159" s="8" t="s">
        <v>2090</v>
      </c>
      <c r="S159" s="8"/>
      <c r="T159" s="8"/>
      <c r="U159" s="8"/>
      <c r="V159" s="8"/>
      <c r="W159" s="8"/>
      <c r="X159" s="8"/>
      <c r="Y159" s="8" t="s">
        <v>2089</v>
      </c>
      <c r="Z159" s="8" t="s">
        <v>3645</v>
      </c>
      <c r="AA159" s="8"/>
      <c r="AB159" s="8"/>
      <c r="AC159" s="8"/>
      <c r="AD159" s="8" t="s">
        <v>2080</v>
      </c>
      <c r="AE159" s="8" t="s">
        <v>2080</v>
      </c>
      <c r="AF159" s="8"/>
      <c r="AG159" s="8"/>
      <c r="AH159" s="8" t="s">
        <v>3646</v>
      </c>
      <c r="AI159" s="8"/>
      <c r="AJ159" s="8" t="s">
        <v>3647</v>
      </c>
      <c r="AK159" s="8" t="s">
        <v>3648</v>
      </c>
      <c r="AL159" s="8"/>
      <c r="AM159" s="8" t="s">
        <v>2095</v>
      </c>
    </row>
    <row r="160" ht="14.25" customHeight="1">
      <c r="A160" s="8">
        <v>20.0</v>
      </c>
      <c r="B160" s="8" t="s">
        <v>2096</v>
      </c>
      <c r="C160" s="8"/>
      <c r="D160" s="8" t="s">
        <v>2097</v>
      </c>
      <c r="E160" s="8" t="s">
        <v>2098</v>
      </c>
      <c r="F160" s="8" t="s">
        <v>2099</v>
      </c>
      <c r="G160" s="8"/>
      <c r="H160" s="7">
        <v>45692.0</v>
      </c>
      <c r="I160" s="7">
        <v>45693.0</v>
      </c>
      <c r="J160" s="8" t="s">
        <v>2100</v>
      </c>
      <c r="K160" s="8" t="s">
        <v>2101</v>
      </c>
      <c r="L160" s="8">
        <v>2025.0</v>
      </c>
      <c r="M160" s="8">
        <v>13.0</v>
      </c>
      <c r="N160" s="8">
        <v>1.0</v>
      </c>
      <c r="O160" s="8"/>
      <c r="P160" s="8"/>
      <c r="Q160" s="9">
        <v>45658.0</v>
      </c>
      <c r="R160" s="8" t="s">
        <v>2075</v>
      </c>
      <c r="S160" s="8"/>
      <c r="T160" s="8"/>
      <c r="U160" s="8"/>
      <c r="V160" s="8"/>
      <c r="W160" s="8" t="s">
        <v>2102</v>
      </c>
      <c r="X160" s="8"/>
      <c r="Y160" s="8" t="s">
        <v>2103</v>
      </c>
      <c r="Z160" s="8" t="s">
        <v>2104</v>
      </c>
      <c r="AA160" s="8"/>
      <c r="AB160" s="8"/>
      <c r="AC160" s="8"/>
      <c r="AD160" s="8" t="s">
        <v>2080</v>
      </c>
      <c r="AE160" s="8" t="s">
        <v>2080</v>
      </c>
      <c r="AF160" s="8"/>
      <c r="AG160" s="8"/>
      <c r="AH160" s="8" t="s">
        <v>2105</v>
      </c>
      <c r="AI160" s="8" t="s">
        <v>2106</v>
      </c>
      <c r="AJ160" s="8" t="s">
        <v>2107</v>
      </c>
      <c r="AK160" s="8" t="s">
        <v>2108</v>
      </c>
      <c r="AL160" s="8" t="s">
        <v>2109</v>
      </c>
      <c r="AM160" s="8" t="s">
        <v>2086</v>
      </c>
    </row>
    <row r="161" ht="14.25" customHeight="1">
      <c r="A161" s="8">
        <v>21.0</v>
      </c>
      <c r="B161" s="8" t="s">
        <v>3649</v>
      </c>
      <c r="C161" s="8"/>
      <c r="D161" s="8" t="s">
        <v>3650</v>
      </c>
      <c r="E161" s="8" t="s">
        <v>3651</v>
      </c>
      <c r="F161" s="8" t="s">
        <v>3652</v>
      </c>
      <c r="G161" s="8"/>
      <c r="H161" s="8"/>
      <c r="I161" s="7">
        <v>45643.0</v>
      </c>
      <c r="J161" s="8" t="s">
        <v>3653</v>
      </c>
      <c r="K161" s="8" t="s">
        <v>2462</v>
      </c>
      <c r="L161" s="8">
        <v>2025.0</v>
      </c>
      <c r="M161" s="8">
        <v>60.0</v>
      </c>
      <c r="N161" s="8"/>
      <c r="O161" s="8"/>
      <c r="P161" s="8"/>
      <c r="Q161" s="9">
        <v>45658.0</v>
      </c>
      <c r="R161" s="8" t="s">
        <v>2075</v>
      </c>
      <c r="S161" s="8"/>
      <c r="T161" s="8"/>
      <c r="U161" s="8"/>
      <c r="V161" s="8"/>
      <c r="W161" s="8" t="s">
        <v>2463</v>
      </c>
      <c r="X161" s="8"/>
      <c r="Y161" s="8" t="s">
        <v>2255</v>
      </c>
      <c r="Z161" s="8" t="s">
        <v>3654</v>
      </c>
      <c r="AA161" s="8"/>
      <c r="AB161" s="8"/>
      <c r="AC161" s="8"/>
      <c r="AD161" s="8" t="s">
        <v>2080</v>
      </c>
      <c r="AE161" s="8" t="s">
        <v>2080</v>
      </c>
      <c r="AF161" s="8"/>
      <c r="AG161" s="8"/>
      <c r="AH161" s="8" t="s">
        <v>3655</v>
      </c>
      <c r="AI161" s="8" t="s">
        <v>3656</v>
      </c>
      <c r="AJ161" s="8" t="s">
        <v>3657</v>
      </c>
      <c r="AK161" s="8" t="s">
        <v>3658</v>
      </c>
      <c r="AL161" s="8" t="s">
        <v>3659</v>
      </c>
      <c r="AM161" s="8" t="s">
        <v>3660</v>
      </c>
    </row>
    <row r="162" ht="14.25" customHeight="1">
      <c r="A162" s="8">
        <v>22.0</v>
      </c>
      <c r="B162" s="8" t="s">
        <v>2110</v>
      </c>
      <c r="C162" s="8"/>
      <c r="D162" s="8" t="s">
        <v>2111</v>
      </c>
      <c r="E162" s="8" t="s">
        <v>2112</v>
      </c>
      <c r="F162" s="8" t="s">
        <v>2113</v>
      </c>
      <c r="G162" s="8"/>
      <c r="H162" s="7">
        <v>45996.0</v>
      </c>
      <c r="I162" s="8"/>
      <c r="J162" s="8" t="s">
        <v>2114</v>
      </c>
      <c r="K162" s="8" t="s">
        <v>2115</v>
      </c>
      <c r="L162" s="8">
        <v>2025.0</v>
      </c>
      <c r="M162" s="8"/>
      <c r="N162" s="8"/>
      <c r="O162" s="8"/>
      <c r="P162" s="8"/>
      <c r="Q162" s="8">
        <v>2025.0</v>
      </c>
      <c r="R162" s="8" t="s">
        <v>2116</v>
      </c>
      <c r="S162" s="8"/>
      <c r="T162" s="8"/>
      <c r="U162" s="8"/>
      <c r="V162" s="8"/>
      <c r="W162" s="8" t="s">
        <v>2117</v>
      </c>
      <c r="X162" s="8"/>
      <c r="Y162" s="8" t="s">
        <v>2118</v>
      </c>
      <c r="Z162" s="8" t="s">
        <v>2119</v>
      </c>
      <c r="AA162" s="8"/>
      <c r="AB162" s="8"/>
      <c r="AC162" s="8"/>
      <c r="AD162" s="8" t="s">
        <v>2080</v>
      </c>
      <c r="AE162" s="8" t="s">
        <v>2080</v>
      </c>
      <c r="AF162" s="8"/>
      <c r="AG162" s="8"/>
      <c r="AH162" s="8" t="s">
        <v>2120</v>
      </c>
      <c r="AI162" s="8" t="s">
        <v>2121</v>
      </c>
      <c r="AJ162" s="8" t="s">
        <v>2122</v>
      </c>
      <c r="AK162" s="8" t="s">
        <v>2123</v>
      </c>
      <c r="AL162" s="8" t="s">
        <v>2124</v>
      </c>
      <c r="AM162" s="8" t="s">
        <v>2086</v>
      </c>
    </row>
    <row r="163" ht="14.25" customHeight="1">
      <c r="A163" s="8">
        <v>23.0</v>
      </c>
      <c r="B163" s="8" t="s">
        <v>3661</v>
      </c>
      <c r="C163" s="8"/>
      <c r="D163" s="8"/>
      <c r="E163" s="8"/>
      <c r="F163" s="8"/>
      <c r="G163" s="8"/>
      <c r="H163" s="7">
        <v>45805.0</v>
      </c>
      <c r="I163" s="7">
        <v>45805.0</v>
      </c>
      <c r="J163" s="8" t="s">
        <v>3662</v>
      </c>
      <c r="K163" s="8" t="s">
        <v>2089</v>
      </c>
      <c r="L163" s="8">
        <v>2025.0</v>
      </c>
      <c r="M163" s="8"/>
      <c r="N163" s="8"/>
      <c r="O163" s="8"/>
      <c r="P163" s="8"/>
      <c r="Q163" s="9">
        <v>45658.0</v>
      </c>
      <c r="R163" s="8" t="s">
        <v>2090</v>
      </c>
      <c r="S163" s="8"/>
      <c r="T163" s="8"/>
      <c r="U163" s="8"/>
      <c r="V163" s="8"/>
      <c r="W163" s="8"/>
      <c r="X163" s="8"/>
      <c r="Y163" s="8" t="s">
        <v>2089</v>
      </c>
      <c r="Z163" s="8" t="s">
        <v>3663</v>
      </c>
      <c r="AA163" s="8"/>
      <c r="AB163" s="8"/>
      <c r="AC163" s="8"/>
      <c r="AD163" s="8" t="s">
        <v>2080</v>
      </c>
      <c r="AE163" s="8" t="s">
        <v>2080</v>
      </c>
      <c r="AF163" s="8"/>
      <c r="AG163" s="8"/>
      <c r="AH163" s="8" t="s">
        <v>3664</v>
      </c>
      <c r="AI163" s="8"/>
      <c r="AJ163" s="8" t="s">
        <v>3665</v>
      </c>
      <c r="AK163" s="8" t="s">
        <v>3666</v>
      </c>
      <c r="AL163" s="8"/>
      <c r="AM163" s="8" t="s">
        <v>2095</v>
      </c>
    </row>
    <row r="164" ht="14.25" customHeight="1">
      <c r="A164" s="8">
        <v>24.0</v>
      </c>
      <c r="B164" s="8" t="s">
        <v>3667</v>
      </c>
      <c r="C164" s="8"/>
      <c r="D164" s="8"/>
      <c r="E164" s="8"/>
      <c r="F164" s="8"/>
      <c r="G164" s="8"/>
      <c r="H164" s="7">
        <v>45817.0</v>
      </c>
      <c r="I164" s="7">
        <v>45817.0</v>
      </c>
      <c r="J164" s="8" t="s">
        <v>3668</v>
      </c>
      <c r="K164" s="8" t="s">
        <v>2089</v>
      </c>
      <c r="L164" s="8">
        <v>2024.0</v>
      </c>
      <c r="M164" s="8"/>
      <c r="N164" s="8"/>
      <c r="O164" s="8"/>
      <c r="P164" s="8"/>
      <c r="Q164" s="9">
        <v>45644.0</v>
      </c>
      <c r="R164" s="8" t="s">
        <v>2090</v>
      </c>
      <c r="S164" s="8"/>
      <c r="T164" s="8"/>
      <c r="U164" s="8"/>
      <c r="V164" s="8"/>
      <c r="W164" s="8"/>
      <c r="X164" s="8"/>
      <c r="Y164" s="8" t="s">
        <v>2089</v>
      </c>
      <c r="Z164" s="8" t="s">
        <v>3669</v>
      </c>
      <c r="AA164" s="8"/>
      <c r="AB164" s="8"/>
      <c r="AC164" s="8"/>
      <c r="AD164" s="8" t="s">
        <v>2080</v>
      </c>
      <c r="AE164" s="8" t="s">
        <v>2080</v>
      </c>
      <c r="AF164" s="8"/>
      <c r="AG164" s="8"/>
      <c r="AH164" s="8" t="s">
        <v>3670</v>
      </c>
      <c r="AI164" s="8"/>
      <c r="AJ164" s="8" t="s">
        <v>3671</v>
      </c>
      <c r="AK164" s="8" t="s">
        <v>3672</v>
      </c>
      <c r="AL164" s="8"/>
      <c r="AM164" s="8" t="s">
        <v>2095</v>
      </c>
    </row>
    <row r="165" ht="14.25" customHeight="1">
      <c r="A165" s="8">
        <v>25.0</v>
      </c>
      <c r="B165" s="8" t="s">
        <v>3673</v>
      </c>
      <c r="C165" s="8"/>
      <c r="D165" s="8"/>
      <c r="E165" s="8"/>
      <c r="F165" s="8"/>
      <c r="G165" s="8"/>
      <c r="H165" s="7">
        <v>45817.0</v>
      </c>
      <c r="I165" s="7">
        <v>45817.0</v>
      </c>
      <c r="J165" s="8" t="s">
        <v>3674</v>
      </c>
      <c r="K165" s="8" t="s">
        <v>2089</v>
      </c>
      <c r="L165" s="8">
        <v>2024.0</v>
      </c>
      <c r="M165" s="8"/>
      <c r="N165" s="8"/>
      <c r="O165" s="8"/>
      <c r="P165" s="8"/>
      <c r="Q165" s="9">
        <v>45626.0</v>
      </c>
      <c r="R165" s="8" t="s">
        <v>2090</v>
      </c>
      <c r="S165" s="8"/>
      <c r="T165" s="8"/>
      <c r="U165" s="8"/>
      <c r="V165" s="8"/>
      <c r="W165" s="8"/>
      <c r="X165" s="8"/>
      <c r="Y165" s="8" t="s">
        <v>2089</v>
      </c>
      <c r="Z165" s="8" t="s">
        <v>3675</v>
      </c>
      <c r="AA165" s="8"/>
      <c r="AB165" s="8"/>
      <c r="AC165" s="8"/>
      <c r="AD165" s="8" t="s">
        <v>2080</v>
      </c>
      <c r="AE165" s="8" t="s">
        <v>2080</v>
      </c>
      <c r="AF165" s="8"/>
      <c r="AG165" s="8"/>
      <c r="AH165" s="8" t="s">
        <v>3676</v>
      </c>
      <c r="AI165" s="8"/>
      <c r="AJ165" s="8" t="s">
        <v>3677</v>
      </c>
      <c r="AK165" s="8" t="s">
        <v>3678</v>
      </c>
      <c r="AL165" s="8"/>
      <c r="AM165" s="8" t="s">
        <v>2095</v>
      </c>
    </row>
    <row r="166" ht="14.25" customHeight="1">
      <c r="A166" s="8">
        <v>26.0</v>
      </c>
      <c r="B166" s="8" t="s">
        <v>163</v>
      </c>
      <c r="C166" s="8"/>
      <c r="D166" s="8" t="s">
        <v>2125</v>
      </c>
      <c r="E166" s="8" t="s">
        <v>2126</v>
      </c>
      <c r="F166" s="8"/>
      <c r="G166" s="8"/>
      <c r="H166" s="7">
        <v>45545.0</v>
      </c>
      <c r="I166" s="7">
        <v>45558.0</v>
      </c>
      <c r="J166" s="8" t="s">
        <v>2127</v>
      </c>
      <c r="K166" s="8" t="s">
        <v>2128</v>
      </c>
      <c r="L166" s="8">
        <v>2024.0</v>
      </c>
      <c r="M166" s="8">
        <v>52.0</v>
      </c>
      <c r="N166" s="8">
        <v>11.0</v>
      </c>
      <c r="O166" s="8">
        <v>2750.0</v>
      </c>
      <c r="P166" s="8">
        <v>2757.0</v>
      </c>
      <c r="Q166" s="9">
        <v>45536.0</v>
      </c>
      <c r="R166" s="8" t="s">
        <v>2075</v>
      </c>
      <c r="S166" s="8"/>
      <c r="T166" s="8"/>
      <c r="U166" s="8"/>
      <c r="V166" s="8"/>
      <c r="W166" s="8" t="s">
        <v>2129</v>
      </c>
      <c r="X166" s="8"/>
      <c r="Y166" s="8"/>
      <c r="Z166" s="8" t="s">
        <v>2130</v>
      </c>
      <c r="AA166" s="8"/>
      <c r="AB166" s="8"/>
      <c r="AC166" s="8" t="s">
        <v>2131</v>
      </c>
      <c r="AD166" s="8" t="s">
        <v>2080</v>
      </c>
      <c r="AE166" s="8" t="s">
        <v>2080</v>
      </c>
      <c r="AF166" s="8"/>
      <c r="AG166" s="8">
        <v>3.9221503E7</v>
      </c>
      <c r="AH166" s="8" t="s">
        <v>2132</v>
      </c>
      <c r="AI166" s="8" t="s">
        <v>168</v>
      </c>
      <c r="AJ166" s="8" t="s">
        <v>2133</v>
      </c>
      <c r="AK166" s="8" t="s">
        <v>2134</v>
      </c>
      <c r="AL166" s="8" t="s">
        <v>2135</v>
      </c>
      <c r="AM166" s="8" t="s">
        <v>2136</v>
      </c>
    </row>
    <row r="167" ht="14.25" customHeight="1">
      <c r="A167" s="8">
        <v>27.0</v>
      </c>
      <c r="B167" s="8" t="s">
        <v>996</v>
      </c>
      <c r="C167" s="8"/>
      <c r="D167" s="8" t="s">
        <v>3679</v>
      </c>
      <c r="E167" s="8" t="s">
        <v>3680</v>
      </c>
      <c r="F167" s="8"/>
      <c r="G167" s="8"/>
      <c r="H167" s="7">
        <v>45456.0</v>
      </c>
      <c r="I167" s="7">
        <v>45482.0</v>
      </c>
      <c r="J167" s="8" t="s">
        <v>3681</v>
      </c>
      <c r="K167" s="8" t="s">
        <v>2128</v>
      </c>
      <c r="L167" s="8">
        <v>2024.0</v>
      </c>
      <c r="M167" s="8">
        <v>52.0</v>
      </c>
      <c r="N167" s="8">
        <v>8.0</v>
      </c>
      <c r="O167" s="8">
        <v>1927.0</v>
      </c>
      <c r="P167" s="8">
        <v>1936.0</v>
      </c>
      <c r="Q167" s="9">
        <v>45474.0</v>
      </c>
      <c r="R167" s="8" t="s">
        <v>2075</v>
      </c>
      <c r="S167" s="8"/>
      <c r="T167" s="8"/>
      <c r="U167" s="8"/>
      <c r="V167" s="8"/>
      <c r="W167" s="8" t="s">
        <v>2129</v>
      </c>
      <c r="X167" s="8"/>
      <c r="Y167" s="8"/>
      <c r="Z167" s="8" t="s">
        <v>3682</v>
      </c>
      <c r="AA167" s="8"/>
      <c r="AB167" s="8"/>
      <c r="AC167" s="8"/>
      <c r="AD167" s="8" t="s">
        <v>2080</v>
      </c>
      <c r="AE167" s="8" t="s">
        <v>2080</v>
      </c>
      <c r="AF167" s="8"/>
      <c r="AG167" s="8">
        <v>3.8845474E7</v>
      </c>
      <c r="AH167" s="8" t="s">
        <v>3683</v>
      </c>
      <c r="AI167" s="8" t="s">
        <v>999</v>
      </c>
      <c r="AJ167" s="8" t="s">
        <v>3684</v>
      </c>
      <c r="AK167" s="8" t="s">
        <v>3685</v>
      </c>
      <c r="AL167" s="8" t="s">
        <v>3686</v>
      </c>
      <c r="AM167" s="8" t="s">
        <v>2136</v>
      </c>
    </row>
    <row r="168" ht="14.25" customHeight="1">
      <c r="A168" s="8">
        <v>28.0</v>
      </c>
      <c r="B168" s="8" t="s">
        <v>2137</v>
      </c>
      <c r="C168" s="8"/>
      <c r="D168" s="8"/>
      <c r="E168" s="8"/>
      <c r="F168" s="8"/>
      <c r="G168" s="8"/>
      <c r="H168" s="7">
        <v>45796.0</v>
      </c>
      <c r="I168" s="7">
        <v>45796.0</v>
      </c>
      <c r="J168" s="8" t="s">
        <v>2138</v>
      </c>
      <c r="K168" s="8" t="s">
        <v>2089</v>
      </c>
      <c r="L168" s="8">
        <v>2024.0</v>
      </c>
      <c r="M168" s="8"/>
      <c r="N168" s="8"/>
      <c r="O168" s="8"/>
      <c r="P168" s="8"/>
      <c r="Q168" s="9">
        <v>45446.0</v>
      </c>
      <c r="R168" s="8" t="s">
        <v>2090</v>
      </c>
      <c r="S168" s="8"/>
      <c r="T168" s="8"/>
      <c r="U168" s="8"/>
      <c r="V168" s="8"/>
      <c r="W168" s="8"/>
      <c r="X168" s="8"/>
      <c r="Y168" s="8" t="s">
        <v>2089</v>
      </c>
      <c r="Z168" s="8" t="s">
        <v>2139</v>
      </c>
      <c r="AA168" s="8"/>
      <c r="AB168" s="8"/>
      <c r="AC168" s="8"/>
      <c r="AD168" s="8" t="s">
        <v>2080</v>
      </c>
      <c r="AE168" s="8" t="s">
        <v>2080</v>
      </c>
      <c r="AF168" s="8"/>
      <c r="AG168" s="8"/>
      <c r="AH168" s="8" t="s">
        <v>2140</v>
      </c>
      <c r="AI168" s="8"/>
      <c r="AJ168" s="8" t="s">
        <v>2141</v>
      </c>
      <c r="AK168" s="8" t="s">
        <v>2142</v>
      </c>
      <c r="AL168" s="8"/>
      <c r="AM168" s="8" t="s">
        <v>2095</v>
      </c>
    </row>
    <row r="169" ht="14.25" customHeight="1">
      <c r="A169" s="8">
        <v>29.0</v>
      </c>
      <c r="B169" s="8" t="s">
        <v>3687</v>
      </c>
      <c r="C169" s="8"/>
      <c r="D169" s="8" t="s">
        <v>3688</v>
      </c>
      <c r="E169" s="8" t="s">
        <v>3689</v>
      </c>
      <c r="F169" s="8"/>
      <c r="G169" s="8"/>
      <c r="H169" s="8"/>
      <c r="I169" s="7">
        <v>45434.0</v>
      </c>
      <c r="J169" s="8" t="s">
        <v>3690</v>
      </c>
      <c r="K169" s="8" t="s">
        <v>3691</v>
      </c>
      <c r="L169" s="8">
        <v>2024.0</v>
      </c>
      <c r="M169" s="8">
        <v>38.0</v>
      </c>
      <c r="N169" s="8">
        <v>5.0</v>
      </c>
      <c r="O169" s="8">
        <v>562.0</v>
      </c>
      <c r="P169" s="8">
        <v>569.0</v>
      </c>
      <c r="Q169" s="9">
        <v>45427.0</v>
      </c>
      <c r="R169" s="8" t="s">
        <v>2075</v>
      </c>
      <c r="S169" s="8"/>
      <c r="T169" s="8"/>
      <c r="U169" s="8"/>
      <c r="V169" s="8"/>
      <c r="W169" s="8" t="s">
        <v>3692</v>
      </c>
      <c r="X169" s="8"/>
      <c r="Y169" s="8"/>
      <c r="Z169" s="8" t="s">
        <v>3693</v>
      </c>
      <c r="AA169" s="8" t="s">
        <v>3694</v>
      </c>
      <c r="AB169" s="8"/>
      <c r="AC169" s="8"/>
      <c r="AD169" s="8" t="s">
        <v>3695</v>
      </c>
      <c r="AE169" s="8" t="s">
        <v>2080</v>
      </c>
      <c r="AF169" s="8"/>
      <c r="AG169" s="8">
        <v>3.8752242E7</v>
      </c>
      <c r="AH169" s="8" t="s">
        <v>3696</v>
      </c>
      <c r="AI169" s="8" t="s">
        <v>1012</v>
      </c>
      <c r="AJ169" s="8" t="s">
        <v>3697</v>
      </c>
      <c r="AK169" s="8" t="s">
        <v>3698</v>
      </c>
      <c r="AL169" s="8" t="s">
        <v>3699</v>
      </c>
      <c r="AM169" s="8" t="s">
        <v>2136</v>
      </c>
    </row>
    <row r="170" ht="14.25" customHeight="1">
      <c r="A170" s="8">
        <v>30.0</v>
      </c>
      <c r="B170" s="8" t="s">
        <v>1013</v>
      </c>
      <c r="C170" s="8"/>
      <c r="D170" s="8" t="s">
        <v>3700</v>
      </c>
      <c r="E170" s="8" t="s">
        <v>3701</v>
      </c>
      <c r="F170" s="8"/>
      <c r="G170" s="8"/>
      <c r="H170" s="7">
        <v>45329.0</v>
      </c>
      <c r="I170" s="7">
        <v>45362.0</v>
      </c>
      <c r="J170" s="8" t="s">
        <v>3702</v>
      </c>
      <c r="K170" s="8" t="s">
        <v>2128</v>
      </c>
      <c r="L170" s="8">
        <v>2024.0</v>
      </c>
      <c r="M170" s="8">
        <v>52.0</v>
      </c>
      <c r="N170" s="8">
        <v>3.0</v>
      </c>
      <c r="O170" s="8">
        <v>660.0</v>
      </c>
      <c r="P170" s="8">
        <v>669.0</v>
      </c>
      <c r="Q170" s="9">
        <v>45352.0</v>
      </c>
      <c r="R170" s="8" t="s">
        <v>2075</v>
      </c>
      <c r="S170" s="8"/>
      <c r="T170" s="8"/>
      <c r="U170" s="8"/>
      <c r="V170" s="8"/>
      <c r="W170" s="8" t="s">
        <v>2129</v>
      </c>
      <c r="X170" s="8"/>
      <c r="Y170" s="8"/>
      <c r="Z170" s="8" t="s">
        <v>3703</v>
      </c>
      <c r="AA170" s="8"/>
      <c r="AB170" s="8"/>
      <c r="AC170" s="8"/>
      <c r="AD170" s="8" t="s">
        <v>2080</v>
      </c>
      <c r="AE170" s="8" t="s">
        <v>2080</v>
      </c>
      <c r="AF170" s="8"/>
      <c r="AG170" s="8">
        <v>3.8284303E7</v>
      </c>
      <c r="AH170" s="8" t="s">
        <v>3704</v>
      </c>
      <c r="AI170" s="8" t="s">
        <v>1018</v>
      </c>
      <c r="AJ170" s="8" t="s">
        <v>3705</v>
      </c>
      <c r="AK170" s="8" t="s">
        <v>3706</v>
      </c>
      <c r="AL170" s="8" t="s">
        <v>3707</v>
      </c>
      <c r="AM170" s="8" t="s">
        <v>2136</v>
      </c>
    </row>
    <row r="171" ht="14.25" customHeight="1">
      <c r="A171" s="8">
        <v>31.0</v>
      </c>
      <c r="B171" s="8" t="s">
        <v>3708</v>
      </c>
      <c r="C171" s="8"/>
      <c r="D171" s="8"/>
      <c r="E171" s="8"/>
      <c r="F171" s="8"/>
      <c r="G171" s="8"/>
      <c r="H171" s="7">
        <v>45813.0</v>
      </c>
      <c r="I171" s="7">
        <v>45813.0</v>
      </c>
      <c r="J171" s="8" t="s">
        <v>3709</v>
      </c>
      <c r="K171" s="8" t="s">
        <v>2089</v>
      </c>
      <c r="L171" s="8">
        <v>2024.0</v>
      </c>
      <c r="M171" s="8"/>
      <c r="N171" s="8"/>
      <c r="O171" s="8"/>
      <c r="P171" s="8"/>
      <c r="Q171" s="9">
        <v>45342.0</v>
      </c>
      <c r="R171" s="8" t="s">
        <v>2090</v>
      </c>
      <c r="S171" s="8"/>
      <c r="T171" s="8"/>
      <c r="U171" s="8"/>
      <c r="V171" s="8"/>
      <c r="W171" s="8"/>
      <c r="X171" s="8"/>
      <c r="Y171" s="8" t="s">
        <v>2089</v>
      </c>
      <c r="Z171" s="8" t="s">
        <v>3710</v>
      </c>
      <c r="AA171" s="8"/>
      <c r="AB171" s="8"/>
      <c r="AC171" s="8"/>
      <c r="AD171" s="8" t="s">
        <v>2080</v>
      </c>
      <c r="AE171" s="8" t="s">
        <v>2080</v>
      </c>
      <c r="AF171" s="8"/>
      <c r="AG171" s="8"/>
      <c r="AH171" s="8" t="s">
        <v>3711</v>
      </c>
      <c r="AI171" s="8"/>
      <c r="AJ171" s="8" t="s">
        <v>3712</v>
      </c>
      <c r="AK171" s="8" t="s">
        <v>3713</v>
      </c>
      <c r="AL171" s="8"/>
      <c r="AM171" s="8" t="s">
        <v>2095</v>
      </c>
    </row>
    <row r="172" ht="14.25" customHeight="1">
      <c r="A172" s="8">
        <v>32.0</v>
      </c>
      <c r="B172" s="8" t="s">
        <v>1049</v>
      </c>
      <c r="C172" s="8"/>
      <c r="D172" s="8" t="s">
        <v>3714</v>
      </c>
      <c r="E172" s="8" t="s">
        <v>3715</v>
      </c>
      <c r="F172" s="8" t="s">
        <v>3716</v>
      </c>
      <c r="G172" s="8"/>
      <c r="H172" s="7">
        <v>45203.0</v>
      </c>
      <c r="I172" s="7">
        <v>45380.0</v>
      </c>
      <c r="J172" s="8" t="s">
        <v>3717</v>
      </c>
      <c r="K172" s="8" t="s">
        <v>2241</v>
      </c>
      <c r="L172" s="8">
        <v>2024.0</v>
      </c>
      <c r="M172" s="8">
        <v>40.0</v>
      </c>
      <c r="N172" s="8">
        <v>2.0</v>
      </c>
      <c r="O172" s="8">
        <v>384.0</v>
      </c>
      <c r="P172" s="12">
        <v>3960.0</v>
      </c>
      <c r="Q172" s="9">
        <v>45323.0</v>
      </c>
      <c r="R172" s="8" t="s">
        <v>2075</v>
      </c>
      <c r="S172" s="8"/>
      <c r="T172" s="8"/>
      <c r="U172" s="8"/>
      <c r="V172" s="8"/>
      <c r="W172" s="8" t="s">
        <v>2242</v>
      </c>
      <c r="X172" s="8"/>
      <c r="Y172" s="8" t="s">
        <v>2243</v>
      </c>
      <c r="Z172" s="8" t="s">
        <v>3718</v>
      </c>
      <c r="AA172" s="8"/>
      <c r="AB172" s="8"/>
      <c r="AC172" s="8" t="s">
        <v>3719</v>
      </c>
      <c r="AD172" s="8" t="s">
        <v>2080</v>
      </c>
      <c r="AE172" s="8" t="s">
        <v>2080</v>
      </c>
      <c r="AF172" s="8"/>
      <c r="AG172" s="8">
        <v>3.7270112E7</v>
      </c>
      <c r="AH172" s="8" t="s">
        <v>3720</v>
      </c>
      <c r="AI172" s="8" t="s">
        <v>1053</v>
      </c>
      <c r="AJ172" s="8" t="s">
        <v>3721</v>
      </c>
      <c r="AK172" s="8" t="s">
        <v>3722</v>
      </c>
      <c r="AL172" s="8" t="s">
        <v>3723</v>
      </c>
      <c r="AM172" s="8" t="s">
        <v>3660</v>
      </c>
    </row>
    <row r="173" ht="14.25" customHeight="1">
      <c r="A173" s="8">
        <v>33.0</v>
      </c>
      <c r="B173" s="8" t="s">
        <v>1044</v>
      </c>
      <c r="C173" s="8"/>
      <c r="D173" s="8" t="s">
        <v>3724</v>
      </c>
      <c r="E173" s="8" t="s">
        <v>3725</v>
      </c>
      <c r="F173" s="8" t="s">
        <v>3726</v>
      </c>
      <c r="G173" s="8"/>
      <c r="H173" s="7">
        <v>45132.0</v>
      </c>
      <c r="I173" s="7">
        <v>45307.0</v>
      </c>
      <c r="J173" s="8" t="s">
        <v>3727</v>
      </c>
      <c r="K173" s="8" t="s">
        <v>3728</v>
      </c>
      <c r="L173" s="8">
        <v>2024.0</v>
      </c>
      <c r="M173" s="8">
        <v>34.0</v>
      </c>
      <c r="N173" s="8">
        <v>1.0</v>
      </c>
      <c r="O173" s="8">
        <v>293.0</v>
      </c>
      <c r="P173" s="8">
        <v>301.0</v>
      </c>
      <c r="Q173" s="9">
        <v>45292.0</v>
      </c>
      <c r="R173" s="8" t="s">
        <v>2075</v>
      </c>
      <c r="S173" s="8"/>
      <c r="T173" s="8"/>
      <c r="U173" s="8"/>
      <c r="V173" s="8"/>
      <c r="W173" s="8" t="s">
        <v>3729</v>
      </c>
      <c r="X173" s="8"/>
      <c r="Y173" s="8" t="s">
        <v>3595</v>
      </c>
      <c r="Z173" s="8" t="s">
        <v>3730</v>
      </c>
      <c r="AA173" s="8"/>
      <c r="AB173" s="8"/>
      <c r="AC173" s="8"/>
      <c r="AD173" s="8" t="s">
        <v>2080</v>
      </c>
      <c r="AE173" s="8" t="s">
        <v>2080</v>
      </c>
      <c r="AF173" s="8"/>
      <c r="AG173" s="8">
        <v>3.7468645E7</v>
      </c>
      <c r="AH173" s="8" t="s">
        <v>3731</v>
      </c>
      <c r="AI173" s="8" t="s">
        <v>1048</v>
      </c>
      <c r="AJ173" s="8" t="s">
        <v>3732</v>
      </c>
      <c r="AK173" s="8" t="s">
        <v>3733</v>
      </c>
      <c r="AL173" s="8" t="s">
        <v>3734</v>
      </c>
      <c r="AM173" s="8" t="s">
        <v>3660</v>
      </c>
    </row>
    <row r="174" ht="14.25" customHeight="1">
      <c r="A174" s="8">
        <v>34.0</v>
      </c>
      <c r="B174" s="8" t="s">
        <v>3735</v>
      </c>
      <c r="C174" s="8"/>
      <c r="D174" s="8" t="s">
        <v>3736</v>
      </c>
      <c r="E174" s="8" t="s">
        <v>3737</v>
      </c>
      <c r="F174" s="8" t="s">
        <v>3738</v>
      </c>
      <c r="G174" s="8"/>
      <c r="H174" s="8"/>
      <c r="I174" s="7">
        <v>45685.0</v>
      </c>
      <c r="J174" s="8" t="s">
        <v>3739</v>
      </c>
      <c r="K174" s="8" t="s">
        <v>3740</v>
      </c>
      <c r="L174" s="8">
        <v>2024.0</v>
      </c>
      <c r="M174" s="8">
        <v>18.0</v>
      </c>
      <c r="N174" s="8">
        <v>3.0</v>
      </c>
      <c r="O174" s="8">
        <v>254.0</v>
      </c>
      <c r="P174" s="8">
        <v>259.0</v>
      </c>
      <c r="Q174" s="8">
        <v>2024.0</v>
      </c>
      <c r="R174" s="8" t="s">
        <v>2075</v>
      </c>
      <c r="S174" s="8"/>
      <c r="T174" s="8"/>
      <c r="U174" s="8"/>
      <c r="V174" s="8"/>
      <c r="W174" s="8" t="s">
        <v>3741</v>
      </c>
      <c r="X174" s="8"/>
      <c r="Y174" s="8" t="s">
        <v>3742</v>
      </c>
      <c r="Z174" s="8" t="s">
        <v>3743</v>
      </c>
      <c r="AA174" s="8"/>
      <c r="AB174" s="8"/>
      <c r="AC174" s="8"/>
      <c r="AD174" s="8" t="s">
        <v>2080</v>
      </c>
      <c r="AE174" s="8" t="s">
        <v>2080</v>
      </c>
      <c r="AF174" s="8"/>
      <c r="AG174" s="8"/>
      <c r="AH174" s="8" t="s">
        <v>3744</v>
      </c>
      <c r="AI174" s="8" t="s">
        <v>3745</v>
      </c>
      <c r="AJ174" s="8" t="s">
        <v>3746</v>
      </c>
      <c r="AK174" s="8" t="s">
        <v>3747</v>
      </c>
      <c r="AL174" s="8" t="s">
        <v>3748</v>
      </c>
      <c r="AM174" s="8" t="s">
        <v>2086</v>
      </c>
    </row>
    <row r="175" ht="14.25" customHeight="1">
      <c r="A175" s="8">
        <v>35.0</v>
      </c>
      <c r="B175" s="8" t="s">
        <v>1059</v>
      </c>
      <c r="C175" s="8"/>
      <c r="D175" s="8" t="s">
        <v>3749</v>
      </c>
      <c r="E175" s="8" t="s">
        <v>3750</v>
      </c>
      <c r="F175" s="8"/>
      <c r="G175" s="8"/>
      <c r="H175" s="7">
        <v>45014.0</v>
      </c>
      <c r="I175" s="7">
        <v>45294.0</v>
      </c>
      <c r="J175" s="8" t="s">
        <v>3751</v>
      </c>
      <c r="K175" s="8" t="s">
        <v>3752</v>
      </c>
      <c r="L175" s="8">
        <v>2024.0</v>
      </c>
      <c r="M175" s="8">
        <v>16.0</v>
      </c>
      <c r="N175" s="8">
        <v>1.0</v>
      </c>
      <c r="O175" s="8">
        <v>149.0</v>
      </c>
      <c r="P175" s="8">
        <v>154.0</v>
      </c>
      <c r="Q175" s="9">
        <v>45292.0</v>
      </c>
      <c r="R175" s="8" t="s">
        <v>2075</v>
      </c>
      <c r="S175" s="8"/>
      <c r="T175" s="8"/>
      <c r="U175" s="8"/>
      <c r="V175" s="8"/>
      <c r="W175" s="8" t="s">
        <v>3753</v>
      </c>
      <c r="X175" s="8"/>
      <c r="Y175" s="8"/>
      <c r="Z175" s="8" t="s">
        <v>3754</v>
      </c>
      <c r="AA175" s="8"/>
      <c r="AB175" s="8"/>
      <c r="AC175" s="8"/>
      <c r="AD175" s="8" t="s">
        <v>2080</v>
      </c>
      <c r="AE175" s="8" t="s">
        <v>2080</v>
      </c>
      <c r="AF175" s="8"/>
      <c r="AG175" s="8">
        <v>3.6935576E7</v>
      </c>
      <c r="AH175" s="8" t="s">
        <v>3755</v>
      </c>
      <c r="AI175" s="8" t="s">
        <v>1065</v>
      </c>
      <c r="AJ175" s="8" t="s">
        <v>3756</v>
      </c>
      <c r="AK175" s="8" t="s">
        <v>3757</v>
      </c>
      <c r="AL175" s="8" t="s">
        <v>3758</v>
      </c>
      <c r="AM175" s="8" t="s">
        <v>2136</v>
      </c>
    </row>
    <row r="176" ht="14.25" customHeight="1">
      <c r="A176" s="8">
        <v>36.0</v>
      </c>
      <c r="B176" s="8" t="s">
        <v>1019</v>
      </c>
      <c r="C176" s="8"/>
      <c r="D176" s="8" t="s">
        <v>3759</v>
      </c>
      <c r="E176" s="8" t="s">
        <v>3760</v>
      </c>
      <c r="F176" s="8"/>
      <c r="G176" s="8"/>
      <c r="H176" s="8"/>
      <c r="I176" s="7">
        <v>45280.0</v>
      </c>
      <c r="J176" s="8" t="s">
        <v>3761</v>
      </c>
      <c r="K176" s="8" t="s">
        <v>3762</v>
      </c>
      <c r="L176" s="8">
        <v>2023.0</v>
      </c>
      <c r="M176" s="8">
        <v>23.0</v>
      </c>
      <c r="N176" s="8">
        <v>1.0</v>
      </c>
      <c r="O176" s="8">
        <v>371.0</v>
      </c>
      <c r="P176" s="8"/>
      <c r="Q176" s="9">
        <v>45268.0</v>
      </c>
      <c r="R176" s="8" t="s">
        <v>2075</v>
      </c>
      <c r="S176" s="8"/>
      <c r="T176" s="8"/>
      <c r="U176" s="8"/>
      <c r="V176" s="8"/>
      <c r="W176" s="8" t="s">
        <v>3763</v>
      </c>
      <c r="X176" s="8"/>
      <c r="Y176" s="8"/>
      <c r="Z176" s="8" t="s">
        <v>3764</v>
      </c>
      <c r="AA176" s="8"/>
      <c r="AB176" s="8"/>
      <c r="AC176" s="8"/>
      <c r="AD176" s="8" t="s">
        <v>2080</v>
      </c>
      <c r="AE176" s="8" t="s">
        <v>2080</v>
      </c>
      <c r="AF176" s="8"/>
      <c r="AG176" s="8">
        <v>3.8066516E7</v>
      </c>
      <c r="AH176" s="8" t="s">
        <v>3765</v>
      </c>
      <c r="AI176" s="8" t="s">
        <v>1025</v>
      </c>
      <c r="AJ176" s="8" t="s">
        <v>3766</v>
      </c>
      <c r="AK176" s="8" t="s">
        <v>3767</v>
      </c>
      <c r="AL176" s="8" t="s">
        <v>3768</v>
      </c>
      <c r="AM176" s="8" t="s">
        <v>2136</v>
      </c>
    </row>
    <row r="177" ht="14.25" customHeight="1">
      <c r="A177" s="8">
        <v>37.0</v>
      </c>
      <c r="B177" s="8" t="s">
        <v>3769</v>
      </c>
      <c r="C177" s="8"/>
      <c r="D177" s="8" t="s">
        <v>3770</v>
      </c>
      <c r="E177" s="8" t="s">
        <v>3771</v>
      </c>
      <c r="F177" s="8" t="s">
        <v>3772</v>
      </c>
      <c r="G177" s="8"/>
      <c r="H177" s="7">
        <v>45285.0</v>
      </c>
      <c r="I177" s="7">
        <v>45295.0</v>
      </c>
      <c r="J177" s="8" t="s">
        <v>3773</v>
      </c>
      <c r="K177" s="8" t="s">
        <v>3774</v>
      </c>
      <c r="L177" s="8">
        <v>2023.0</v>
      </c>
      <c r="M177" s="8">
        <v>8.0</v>
      </c>
      <c r="N177" s="8">
        <v>4.0</v>
      </c>
      <c r="O177" s="8"/>
      <c r="P177" s="8"/>
      <c r="Q177" s="9">
        <v>45266.0</v>
      </c>
      <c r="R177" s="8" t="s">
        <v>2075</v>
      </c>
      <c r="S177" s="8"/>
      <c r="T177" s="8"/>
      <c r="U177" s="8"/>
      <c r="V177" s="8"/>
      <c r="W177" s="8" t="s">
        <v>3775</v>
      </c>
      <c r="X177" s="8"/>
      <c r="Y177" s="8" t="s">
        <v>3776</v>
      </c>
      <c r="Z177" s="8" t="s">
        <v>3777</v>
      </c>
      <c r="AA177" s="8"/>
      <c r="AB177" s="8"/>
      <c r="AC177" s="8"/>
      <c r="AD177" s="8" t="s">
        <v>2080</v>
      </c>
      <c r="AE177" s="8" t="s">
        <v>2080</v>
      </c>
      <c r="AF177" s="8"/>
      <c r="AG177" s="8"/>
      <c r="AH177" s="8" t="s">
        <v>3778</v>
      </c>
      <c r="AI177" s="8" t="s">
        <v>3779</v>
      </c>
      <c r="AJ177" s="8" t="s">
        <v>3780</v>
      </c>
      <c r="AK177" s="8" t="s">
        <v>3781</v>
      </c>
      <c r="AL177" s="8" t="s">
        <v>3782</v>
      </c>
      <c r="AM177" s="8" t="s">
        <v>3660</v>
      </c>
    </row>
    <row r="178" ht="14.25" customHeight="1">
      <c r="A178" s="8">
        <v>38.0</v>
      </c>
      <c r="B178" s="8" t="s">
        <v>3783</v>
      </c>
      <c r="C178" s="8"/>
      <c r="D178" s="8"/>
      <c r="E178" s="8"/>
      <c r="F178" s="8"/>
      <c r="G178" s="8"/>
      <c r="H178" s="7">
        <v>45789.0</v>
      </c>
      <c r="I178" s="7">
        <v>45789.0</v>
      </c>
      <c r="J178" s="8" t="s">
        <v>3784</v>
      </c>
      <c r="K178" s="8" t="s">
        <v>2089</v>
      </c>
      <c r="L178" s="8">
        <v>2023.0</v>
      </c>
      <c r="M178" s="8"/>
      <c r="N178" s="8"/>
      <c r="O178" s="8"/>
      <c r="P178" s="8"/>
      <c r="Q178" s="9">
        <v>45247.0</v>
      </c>
      <c r="R178" s="8" t="s">
        <v>2090</v>
      </c>
      <c r="S178" s="8"/>
      <c r="T178" s="8"/>
      <c r="U178" s="8"/>
      <c r="V178" s="8"/>
      <c r="W178" s="8"/>
      <c r="X178" s="8"/>
      <c r="Y178" s="8" t="s">
        <v>2089</v>
      </c>
      <c r="Z178" s="8" t="s">
        <v>3785</v>
      </c>
      <c r="AA178" s="8"/>
      <c r="AB178" s="8"/>
      <c r="AC178" s="8"/>
      <c r="AD178" s="8" t="s">
        <v>2080</v>
      </c>
      <c r="AE178" s="8" t="s">
        <v>2080</v>
      </c>
      <c r="AF178" s="8"/>
      <c r="AG178" s="8"/>
      <c r="AH178" s="8" t="s">
        <v>3786</v>
      </c>
      <c r="AI178" s="8"/>
      <c r="AJ178" s="8" t="s">
        <v>3787</v>
      </c>
      <c r="AK178" s="8" t="s">
        <v>3788</v>
      </c>
      <c r="AL178" s="8"/>
      <c r="AM178" s="8" t="s">
        <v>2095</v>
      </c>
    </row>
    <row r="179" ht="14.25" customHeight="1">
      <c r="A179" s="8">
        <v>39.0</v>
      </c>
      <c r="B179" s="8" t="s">
        <v>1026</v>
      </c>
      <c r="C179" s="8"/>
      <c r="D179" s="8" t="s">
        <v>3789</v>
      </c>
      <c r="E179" s="8" t="s">
        <v>3790</v>
      </c>
      <c r="F179" s="8"/>
      <c r="G179" s="8"/>
      <c r="H179" s="8"/>
      <c r="I179" s="7">
        <v>45246.0</v>
      </c>
      <c r="J179" s="8" t="s">
        <v>3791</v>
      </c>
      <c r="K179" s="8" t="s">
        <v>3792</v>
      </c>
      <c r="L179" s="8">
        <v>2023.0</v>
      </c>
      <c r="M179" s="8">
        <v>13.0</v>
      </c>
      <c r="N179" s="8">
        <v>1.0</v>
      </c>
      <c r="O179" s="8">
        <v>19039.0</v>
      </c>
      <c r="P179" s="8"/>
      <c r="Q179" s="9">
        <v>45233.0</v>
      </c>
      <c r="R179" s="8" t="s">
        <v>2075</v>
      </c>
      <c r="S179" s="8"/>
      <c r="T179" s="8"/>
      <c r="U179" s="8"/>
      <c r="V179" s="8"/>
      <c r="W179" s="8" t="s">
        <v>3793</v>
      </c>
      <c r="X179" s="8"/>
      <c r="Y179" s="8"/>
      <c r="Z179" s="8" t="s">
        <v>3794</v>
      </c>
      <c r="AA179" s="8"/>
      <c r="AB179" s="8"/>
      <c r="AC179" s="8"/>
      <c r="AD179" s="8" t="s">
        <v>2080</v>
      </c>
      <c r="AE179" s="8" t="s">
        <v>2080</v>
      </c>
      <c r="AF179" s="8"/>
      <c r="AG179" s="8">
        <v>3.7923738E7</v>
      </c>
      <c r="AH179" s="8" t="s">
        <v>3795</v>
      </c>
      <c r="AI179" s="8" t="s">
        <v>1032</v>
      </c>
      <c r="AJ179" s="8" t="s">
        <v>3796</v>
      </c>
      <c r="AK179" s="8" t="s">
        <v>3797</v>
      </c>
      <c r="AL179" s="8" t="s">
        <v>3798</v>
      </c>
      <c r="AM179" s="8" t="s">
        <v>2136</v>
      </c>
    </row>
    <row r="180" ht="14.25" customHeight="1">
      <c r="A180" s="8">
        <v>40.0</v>
      </c>
      <c r="B180" s="8" t="s">
        <v>2149</v>
      </c>
      <c r="C180" s="8"/>
      <c r="D180" s="8" t="s">
        <v>2150</v>
      </c>
      <c r="E180" s="8" t="s">
        <v>2151</v>
      </c>
      <c r="F180" s="8" t="s">
        <v>2152</v>
      </c>
      <c r="G180" s="8"/>
      <c r="H180" s="7">
        <v>45253.0</v>
      </c>
      <c r="I180" s="7">
        <v>45257.0</v>
      </c>
      <c r="J180" s="8" t="s">
        <v>2153</v>
      </c>
      <c r="K180" s="8" t="s">
        <v>2101</v>
      </c>
      <c r="L180" s="8">
        <v>2023.0</v>
      </c>
      <c r="M180" s="8">
        <v>11.0</v>
      </c>
      <c r="N180" s="8">
        <v>11.0</v>
      </c>
      <c r="O180" s="8"/>
      <c r="P180" s="8"/>
      <c r="Q180" s="9">
        <v>45231.0</v>
      </c>
      <c r="R180" s="8" t="s">
        <v>2075</v>
      </c>
      <c r="S180" s="8"/>
      <c r="T180" s="8"/>
      <c r="U180" s="8"/>
      <c r="V180" s="8"/>
      <c r="W180" s="8" t="s">
        <v>2102</v>
      </c>
      <c r="X180" s="8"/>
      <c r="Y180" s="8" t="s">
        <v>2103</v>
      </c>
      <c r="Z180" s="8" t="s">
        <v>2154</v>
      </c>
      <c r="AA180" s="8" t="s">
        <v>2155</v>
      </c>
      <c r="AB180" s="8"/>
      <c r="AC180" s="8" t="s">
        <v>2156</v>
      </c>
      <c r="AD180" s="8" t="s">
        <v>2080</v>
      </c>
      <c r="AE180" s="8" t="s">
        <v>2080</v>
      </c>
      <c r="AF180" s="8"/>
      <c r="AG180" s="8"/>
      <c r="AH180" s="8" t="s">
        <v>2157</v>
      </c>
      <c r="AI180" s="8" t="s">
        <v>2158</v>
      </c>
      <c r="AJ180" s="8" t="s">
        <v>2159</v>
      </c>
      <c r="AK180" s="8" t="s">
        <v>2160</v>
      </c>
      <c r="AL180" s="8" t="s">
        <v>2161</v>
      </c>
      <c r="AM180" s="8" t="s">
        <v>2162</v>
      </c>
    </row>
    <row r="181" ht="14.25" customHeight="1">
      <c r="A181" s="8">
        <v>41.0</v>
      </c>
      <c r="B181" s="8" t="s">
        <v>1054</v>
      </c>
      <c r="C181" s="8"/>
      <c r="D181" s="8" t="s">
        <v>3799</v>
      </c>
      <c r="E181" s="8" t="s">
        <v>3800</v>
      </c>
      <c r="F181" s="8" t="s">
        <v>3801</v>
      </c>
      <c r="G181" s="8"/>
      <c r="H181" s="7">
        <v>45021.0</v>
      </c>
      <c r="I181" s="7">
        <v>45194.0</v>
      </c>
      <c r="J181" s="8" t="s">
        <v>3802</v>
      </c>
      <c r="K181" s="8" t="s">
        <v>3728</v>
      </c>
      <c r="L181" s="8">
        <v>2023.0</v>
      </c>
      <c r="M181" s="8">
        <v>33.0</v>
      </c>
      <c r="N181" s="8">
        <v>7.0</v>
      </c>
      <c r="O181" s="8">
        <v>3033.0</v>
      </c>
      <c r="P181" s="8">
        <v>3036.0</v>
      </c>
      <c r="Q181" s="9">
        <v>45200.0</v>
      </c>
      <c r="R181" s="8" t="s">
        <v>2075</v>
      </c>
      <c r="S181" s="8"/>
      <c r="T181" s="8"/>
      <c r="U181" s="8"/>
      <c r="V181" s="8"/>
      <c r="W181" s="8" t="s">
        <v>3729</v>
      </c>
      <c r="X181" s="8"/>
      <c r="Y181" s="8" t="s">
        <v>3595</v>
      </c>
      <c r="Z181" s="8" t="s">
        <v>3803</v>
      </c>
      <c r="AA181" s="8" t="s">
        <v>3536</v>
      </c>
      <c r="AB181" s="8"/>
      <c r="AC181" s="8"/>
      <c r="AD181" s="8" t="s">
        <v>2080</v>
      </c>
      <c r="AE181" s="8" t="s">
        <v>2080</v>
      </c>
      <c r="AF181" s="8"/>
      <c r="AG181" s="8">
        <v>3.6988698E7</v>
      </c>
      <c r="AH181" s="8" t="s">
        <v>3804</v>
      </c>
      <c r="AI181" s="8" t="s">
        <v>1058</v>
      </c>
      <c r="AJ181" s="8" t="s">
        <v>3805</v>
      </c>
      <c r="AK181" s="8" t="s">
        <v>3806</v>
      </c>
      <c r="AL181" s="8" t="s">
        <v>3807</v>
      </c>
      <c r="AM181" s="8" t="s">
        <v>2162</v>
      </c>
    </row>
    <row r="182" ht="14.25" customHeight="1">
      <c r="A182" s="8">
        <v>42.0</v>
      </c>
      <c r="B182" s="8" t="s">
        <v>3808</v>
      </c>
      <c r="C182" s="8"/>
      <c r="D182" s="8" t="s">
        <v>3809</v>
      </c>
      <c r="E182" s="8" t="s">
        <v>3810</v>
      </c>
      <c r="F182" s="8" t="s">
        <v>3811</v>
      </c>
      <c r="G182" s="8"/>
      <c r="H182" s="7">
        <v>45853.0</v>
      </c>
      <c r="I182" s="8"/>
      <c r="J182" s="8" t="s">
        <v>3812</v>
      </c>
      <c r="K182" s="8" t="s">
        <v>2196</v>
      </c>
      <c r="L182" s="8">
        <v>2023.0</v>
      </c>
      <c r="M182" s="8">
        <v>12.0</v>
      </c>
      <c r="N182" s="8">
        <v>4.0</v>
      </c>
      <c r="O182" s="8">
        <v>2052.0</v>
      </c>
      <c r="P182" s="8">
        <v>2054.0</v>
      </c>
      <c r="Q182" s="9">
        <v>45200.0</v>
      </c>
      <c r="R182" s="8" t="s">
        <v>2075</v>
      </c>
      <c r="S182" s="8"/>
      <c r="T182" s="8"/>
      <c r="U182" s="8"/>
      <c r="V182" s="8"/>
      <c r="W182" s="8" t="s">
        <v>2197</v>
      </c>
      <c r="X182" s="8"/>
      <c r="Y182" s="8" t="s">
        <v>2196</v>
      </c>
      <c r="Z182" s="8" t="s">
        <v>3813</v>
      </c>
      <c r="AA182" s="8"/>
      <c r="AB182" s="8"/>
      <c r="AC182" s="8"/>
      <c r="AD182" s="8" t="s">
        <v>2080</v>
      </c>
      <c r="AE182" s="8" t="s">
        <v>2080</v>
      </c>
      <c r="AF182" s="8"/>
      <c r="AG182" s="8"/>
      <c r="AH182" s="8" t="s">
        <v>3814</v>
      </c>
      <c r="AI182" s="8"/>
      <c r="AJ182" s="8"/>
      <c r="AK182" s="8" t="s">
        <v>3815</v>
      </c>
      <c r="AL182" s="8" t="s">
        <v>3816</v>
      </c>
      <c r="AM182" s="8" t="s">
        <v>2086</v>
      </c>
    </row>
    <row r="183" ht="14.25" customHeight="1">
      <c r="A183" s="8">
        <v>43.0</v>
      </c>
      <c r="B183" s="8" t="s">
        <v>1039</v>
      </c>
      <c r="C183" s="8"/>
      <c r="D183" s="8" t="s">
        <v>3817</v>
      </c>
      <c r="E183" s="8" t="s">
        <v>3818</v>
      </c>
      <c r="F183" s="8"/>
      <c r="G183" s="8"/>
      <c r="H183" s="7">
        <v>45140.0</v>
      </c>
      <c r="I183" s="7">
        <v>45231.0</v>
      </c>
      <c r="J183" s="8" t="s">
        <v>3819</v>
      </c>
      <c r="K183" s="8" t="s">
        <v>3820</v>
      </c>
      <c r="L183" s="8">
        <v>2023.0</v>
      </c>
      <c r="M183" s="8">
        <v>29.0</v>
      </c>
      <c r="N183" s="8">
        <v>7.0</v>
      </c>
      <c r="O183" s="8">
        <v>360.0</v>
      </c>
      <c r="P183" s="8">
        <v>364.0</v>
      </c>
      <c r="Q183" s="9">
        <v>45200.0</v>
      </c>
      <c r="R183" s="8" t="s">
        <v>2075</v>
      </c>
      <c r="S183" s="8"/>
      <c r="T183" s="8"/>
      <c r="U183" s="8"/>
      <c r="V183" s="8"/>
      <c r="W183" s="8" t="s">
        <v>3821</v>
      </c>
      <c r="X183" s="8"/>
      <c r="Y183" s="8"/>
      <c r="Z183" s="8" t="s">
        <v>3822</v>
      </c>
      <c r="AA183" s="8"/>
      <c r="AB183" s="8"/>
      <c r="AC183" s="8"/>
      <c r="AD183" s="8" t="s">
        <v>2080</v>
      </c>
      <c r="AE183" s="8" t="s">
        <v>2080</v>
      </c>
      <c r="AF183" s="8"/>
      <c r="AG183" s="8">
        <v>3.7499157E7</v>
      </c>
      <c r="AH183" s="8" t="s">
        <v>3823</v>
      </c>
      <c r="AI183" s="8"/>
      <c r="AJ183" s="8"/>
      <c r="AK183" s="8" t="s">
        <v>3824</v>
      </c>
      <c r="AL183" s="8" t="s">
        <v>3825</v>
      </c>
      <c r="AM183" s="8" t="s">
        <v>2136</v>
      </c>
    </row>
    <row r="184" ht="14.25" customHeight="1">
      <c r="A184" s="8">
        <v>44.0</v>
      </c>
      <c r="B184" s="8" t="s">
        <v>2173</v>
      </c>
      <c r="C184" s="8"/>
      <c r="D184" s="8"/>
      <c r="E184" s="8"/>
      <c r="F184" s="8"/>
      <c r="G184" s="8"/>
      <c r="H184" s="7">
        <v>45812.0</v>
      </c>
      <c r="I184" s="7">
        <v>45812.0</v>
      </c>
      <c r="J184" s="8" t="s">
        <v>2174</v>
      </c>
      <c r="K184" s="8" t="s">
        <v>2089</v>
      </c>
      <c r="L184" s="8">
        <v>2023.0</v>
      </c>
      <c r="M184" s="8"/>
      <c r="N184" s="8"/>
      <c r="O184" s="8"/>
      <c r="P184" s="8"/>
      <c r="Q184" s="9">
        <v>45185.0</v>
      </c>
      <c r="R184" s="8" t="s">
        <v>2090</v>
      </c>
      <c r="S184" s="8"/>
      <c r="T184" s="8"/>
      <c r="U184" s="8"/>
      <c r="V184" s="8"/>
      <c r="W184" s="8"/>
      <c r="X184" s="8"/>
      <c r="Y184" s="8" t="s">
        <v>2089</v>
      </c>
      <c r="Z184" s="8" t="s">
        <v>2175</v>
      </c>
      <c r="AA184" s="8"/>
      <c r="AB184" s="8"/>
      <c r="AC184" s="8"/>
      <c r="AD184" s="8" t="s">
        <v>2080</v>
      </c>
      <c r="AE184" s="8" t="s">
        <v>2080</v>
      </c>
      <c r="AF184" s="8"/>
      <c r="AG184" s="8"/>
      <c r="AH184" s="8" t="s">
        <v>2176</v>
      </c>
      <c r="AI184" s="8"/>
      <c r="AJ184" s="8" t="s">
        <v>2177</v>
      </c>
      <c r="AK184" s="8" t="s">
        <v>2178</v>
      </c>
      <c r="AL184" s="8"/>
      <c r="AM184" s="8" t="s">
        <v>2095</v>
      </c>
    </row>
    <row r="185" ht="14.25" customHeight="1">
      <c r="A185" s="8">
        <v>45.0</v>
      </c>
      <c r="B185" s="8" t="s">
        <v>3826</v>
      </c>
      <c r="C185" s="8"/>
      <c r="D185" s="8" t="s">
        <v>3827</v>
      </c>
      <c r="E185" s="8" t="s">
        <v>3828</v>
      </c>
      <c r="F185" s="8" t="s">
        <v>3829</v>
      </c>
      <c r="G185" s="8"/>
      <c r="H185" s="7">
        <v>45063.0</v>
      </c>
      <c r="I185" s="7">
        <v>45288.0</v>
      </c>
      <c r="J185" s="8" t="s">
        <v>3830</v>
      </c>
      <c r="K185" s="8" t="s">
        <v>3831</v>
      </c>
      <c r="L185" s="8">
        <v>2023.0</v>
      </c>
      <c r="M185" s="8">
        <v>8.0</v>
      </c>
      <c r="N185" s="8">
        <v>4.0</v>
      </c>
      <c r="O185" s="8">
        <v>246.0</v>
      </c>
      <c r="P185" s="8">
        <v>254.0</v>
      </c>
      <c r="Q185" s="9">
        <v>45139.0</v>
      </c>
      <c r="R185" s="8" t="s">
        <v>2075</v>
      </c>
      <c r="S185" s="8"/>
      <c r="T185" s="8"/>
      <c r="U185" s="8"/>
      <c r="V185" s="8"/>
      <c r="W185" s="8" t="s">
        <v>3832</v>
      </c>
      <c r="X185" s="8"/>
      <c r="Y185" s="8" t="s">
        <v>3833</v>
      </c>
      <c r="Z185" s="8" t="s">
        <v>3834</v>
      </c>
      <c r="AA185" s="8"/>
      <c r="AB185" s="8"/>
      <c r="AC185" s="8"/>
      <c r="AD185" s="8" t="s">
        <v>2080</v>
      </c>
      <c r="AE185" s="8" t="s">
        <v>2080</v>
      </c>
      <c r="AF185" s="8"/>
      <c r="AG185" s="8">
        <v>3.6646169E7</v>
      </c>
      <c r="AH185" s="8" t="s">
        <v>3835</v>
      </c>
      <c r="AI185" s="8" t="s">
        <v>1085</v>
      </c>
      <c r="AJ185" s="8" t="s">
        <v>3836</v>
      </c>
      <c r="AK185" s="8" t="s">
        <v>3837</v>
      </c>
      <c r="AL185" s="8" t="s">
        <v>3838</v>
      </c>
      <c r="AM185" s="8" t="s">
        <v>2162</v>
      </c>
    </row>
    <row r="186" ht="14.25" customHeight="1">
      <c r="A186" s="8">
        <v>46.0</v>
      </c>
      <c r="B186" s="8" t="s">
        <v>3839</v>
      </c>
      <c r="C186" s="8"/>
      <c r="D186" s="8" t="s">
        <v>3840</v>
      </c>
      <c r="E186" s="8" t="s">
        <v>3841</v>
      </c>
      <c r="F186" s="8" t="s">
        <v>3842</v>
      </c>
      <c r="G186" s="8"/>
      <c r="H186" s="7">
        <v>45580.0</v>
      </c>
      <c r="I186" s="7">
        <v>45581.0</v>
      </c>
      <c r="J186" s="8" t="s">
        <v>3843</v>
      </c>
      <c r="K186" s="8" t="s">
        <v>3844</v>
      </c>
      <c r="L186" s="8">
        <v>2023.0</v>
      </c>
      <c r="M186" s="8">
        <v>17.0</v>
      </c>
      <c r="N186" s="8">
        <v>8.0</v>
      </c>
      <c r="O186" s="8" t="s">
        <v>3845</v>
      </c>
      <c r="P186" s="8" t="s">
        <v>3846</v>
      </c>
      <c r="Q186" s="9">
        <v>45139.0</v>
      </c>
      <c r="R186" s="8" t="s">
        <v>2075</v>
      </c>
      <c r="S186" s="8"/>
      <c r="T186" s="8"/>
      <c r="U186" s="8"/>
      <c r="V186" s="8"/>
      <c r="W186" s="8" t="s">
        <v>3847</v>
      </c>
      <c r="X186" s="8"/>
      <c r="Y186" s="8" t="s">
        <v>3848</v>
      </c>
      <c r="Z186" s="8" t="s">
        <v>3849</v>
      </c>
      <c r="AA186" s="8"/>
      <c r="AB186" s="8"/>
      <c r="AC186" s="8"/>
      <c r="AD186" s="8" t="s">
        <v>2080</v>
      </c>
      <c r="AE186" s="8" t="s">
        <v>2080</v>
      </c>
      <c r="AF186" s="8"/>
      <c r="AG186" s="8"/>
      <c r="AH186" s="8" t="s">
        <v>3850</v>
      </c>
      <c r="AI186" s="8" t="s">
        <v>3851</v>
      </c>
      <c r="AJ186" s="8" t="s">
        <v>3852</v>
      </c>
      <c r="AK186" s="8" t="s">
        <v>3853</v>
      </c>
      <c r="AL186" s="8" t="s">
        <v>3854</v>
      </c>
      <c r="AM186" s="8" t="s">
        <v>3660</v>
      </c>
    </row>
    <row r="187" ht="14.25" customHeight="1">
      <c r="A187" s="8">
        <v>47.0</v>
      </c>
      <c r="B187" s="8" t="s">
        <v>3855</v>
      </c>
      <c r="C187" s="8"/>
      <c r="D187" s="8"/>
      <c r="E187" s="8"/>
      <c r="F187" s="8"/>
      <c r="G187" s="8"/>
      <c r="H187" s="7">
        <v>45812.0</v>
      </c>
      <c r="I187" s="7">
        <v>45812.0</v>
      </c>
      <c r="J187" s="8" t="s">
        <v>3856</v>
      </c>
      <c r="K187" s="8" t="s">
        <v>2089</v>
      </c>
      <c r="L187" s="8">
        <v>2023.0</v>
      </c>
      <c r="M187" s="8"/>
      <c r="N187" s="8"/>
      <c r="O187" s="8"/>
      <c r="P187" s="8"/>
      <c r="Q187" s="9">
        <v>45138.0</v>
      </c>
      <c r="R187" s="8" t="s">
        <v>2090</v>
      </c>
      <c r="S187" s="8"/>
      <c r="T187" s="8"/>
      <c r="U187" s="8"/>
      <c r="V187" s="8"/>
      <c r="W187" s="8"/>
      <c r="X187" s="8"/>
      <c r="Y187" s="8" t="s">
        <v>2089</v>
      </c>
      <c r="Z187" s="8" t="s">
        <v>3857</v>
      </c>
      <c r="AA187" s="8"/>
      <c r="AB187" s="8"/>
      <c r="AC187" s="8"/>
      <c r="AD187" s="8" t="s">
        <v>2080</v>
      </c>
      <c r="AE187" s="8" t="s">
        <v>2080</v>
      </c>
      <c r="AF187" s="8"/>
      <c r="AG187" s="8"/>
      <c r="AH187" s="8" t="s">
        <v>3858</v>
      </c>
      <c r="AI187" s="8"/>
      <c r="AJ187" s="8" t="s">
        <v>3859</v>
      </c>
      <c r="AK187" s="8" t="s">
        <v>3860</v>
      </c>
      <c r="AL187" s="8"/>
      <c r="AM187" s="8" t="s">
        <v>2095</v>
      </c>
    </row>
    <row r="188" ht="14.25" customHeight="1">
      <c r="A188" s="8">
        <v>48.0</v>
      </c>
      <c r="B188" s="8" t="s">
        <v>2179</v>
      </c>
      <c r="C188" s="8"/>
      <c r="D188" s="8"/>
      <c r="E188" s="8"/>
      <c r="F188" s="8"/>
      <c r="G188" s="8"/>
      <c r="H188" s="7">
        <v>45809.0</v>
      </c>
      <c r="I188" s="7">
        <v>45809.0</v>
      </c>
      <c r="J188" s="8" t="s">
        <v>2180</v>
      </c>
      <c r="K188" s="8" t="s">
        <v>2089</v>
      </c>
      <c r="L188" s="8">
        <v>2023.0</v>
      </c>
      <c r="M188" s="8"/>
      <c r="N188" s="8"/>
      <c r="O188" s="8"/>
      <c r="P188" s="8"/>
      <c r="Q188" s="9">
        <v>45134.0</v>
      </c>
      <c r="R188" s="8" t="s">
        <v>2090</v>
      </c>
      <c r="S188" s="8"/>
      <c r="T188" s="8"/>
      <c r="U188" s="8"/>
      <c r="V188" s="8"/>
      <c r="W188" s="8"/>
      <c r="X188" s="8"/>
      <c r="Y188" s="8" t="s">
        <v>2089</v>
      </c>
      <c r="Z188" s="8" t="s">
        <v>2181</v>
      </c>
      <c r="AA188" s="8"/>
      <c r="AB188" s="8"/>
      <c r="AC188" s="8"/>
      <c r="AD188" s="8" t="s">
        <v>2080</v>
      </c>
      <c r="AE188" s="8" t="s">
        <v>2080</v>
      </c>
      <c r="AF188" s="8"/>
      <c r="AG188" s="8"/>
      <c r="AH188" s="8" t="s">
        <v>2182</v>
      </c>
      <c r="AI188" s="8"/>
      <c r="AJ188" s="8" t="s">
        <v>2183</v>
      </c>
      <c r="AK188" s="8" t="s">
        <v>2184</v>
      </c>
      <c r="AL188" s="8"/>
      <c r="AM188" s="8" t="s">
        <v>2095</v>
      </c>
    </row>
    <row r="189" ht="14.25" customHeight="1">
      <c r="A189" s="8">
        <v>49.0</v>
      </c>
      <c r="B189" s="8" t="s">
        <v>3861</v>
      </c>
      <c r="C189" s="8"/>
      <c r="D189" s="8" t="s">
        <v>3862</v>
      </c>
      <c r="E189" s="8" t="s">
        <v>3863</v>
      </c>
      <c r="F189" s="8" t="s">
        <v>3864</v>
      </c>
      <c r="G189" s="8"/>
      <c r="H189" s="7">
        <v>44851.0</v>
      </c>
      <c r="I189" s="7">
        <v>45167.0</v>
      </c>
      <c r="J189" s="8" t="s">
        <v>3865</v>
      </c>
      <c r="K189" s="8" t="s">
        <v>3728</v>
      </c>
      <c r="L189" s="8">
        <v>2023.0</v>
      </c>
      <c r="M189" s="8">
        <v>33.0</v>
      </c>
      <c r="N189" s="8">
        <v>5.0</v>
      </c>
      <c r="O189" s="8">
        <v>2091.0</v>
      </c>
      <c r="P189" s="8">
        <v>2099.0</v>
      </c>
      <c r="Q189" s="9">
        <v>45108.0</v>
      </c>
      <c r="R189" s="8" t="s">
        <v>2075</v>
      </c>
      <c r="S189" s="8"/>
      <c r="T189" s="8"/>
      <c r="U189" s="8"/>
      <c r="V189" s="8"/>
      <c r="W189" s="8" t="s">
        <v>3729</v>
      </c>
      <c r="X189" s="8"/>
      <c r="Y189" s="8" t="s">
        <v>3595</v>
      </c>
      <c r="Z189" s="8" t="s">
        <v>3866</v>
      </c>
      <c r="AA189" s="8"/>
      <c r="AB189" s="8"/>
      <c r="AC189" s="8"/>
      <c r="AD189" s="8" t="s">
        <v>2080</v>
      </c>
      <c r="AE189" s="8" t="s">
        <v>2080</v>
      </c>
      <c r="AF189" s="8"/>
      <c r="AG189" s="8">
        <v>3.620103E7</v>
      </c>
      <c r="AH189" s="8" t="s">
        <v>3867</v>
      </c>
      <c r="AI189" s="8" t="s">
        <v>3868</v>
      </c>
      <c r="AJ189" s="8" t="s">
        <v>3869</v>
      </c>
      <c r="AK189" s="8" t="s">
        <v>3870</v>
      </c>
      <c r="AL189" s="8" t="s">
        <v>3871</v>
      </c>
      <c r="AM189" s="8" t="s">
        <v>2162</v>
      </c>
    </row>
    <row r="190" ht="14.25" customHeight="1">
      <c r="A190" s="8">
        <v>50.0</v>
      </c>
      <c r="B190" s="8" t="s">
        <v>3872</v>
      </c>
      <c r="C190" s="8"/>
      <c r="D190" s="8" t="s">
        <v>3873</v>
      </c>
      <c r="E190" s="8" t="s">
        <v>3874</v>
      </c>
      <c r="F190" s="8" t="s">
        <v>3875</v>
      </c>
      <c r="G190" s="8"/>
      <c r="H190" s="7">
        <v>45090.0</v>
      </c>
      <c r="I190" s="7">
        <v>45093.0</v>
      </c>
      <c r="J190" s="8" t="s">
        <v>3876</v>
      </c>
      <c r="K190" s="8" t="s">
        <v>2101</v>
      </c>
      <c r="L190" s="8">
        <v>2023.0</v>
      </c>
      <c r="M190" s="8">
        <v>11.0</v>
      </c>
      <c r="N190" s="8">
        <v>6.0</v>
      </c>
      <c r="O190" s="8"/>
      <c r="P190" s="8"/>
      <c r="Q190" s="9">
        <v>45078.0</v>
      </c>
      <c r="R190" s="8" t="s">
        <v>2075</v>
      </c>
      <c r="S190" s="8"/>
      <c r="T190" s="8"/>
      <c r="U190" s="8"/>
      <c r="V190" s="8"/>
      <c r="W190" s="8" t="s">
        <v>2102</v>
      </c>
      <c r="X190" s="8"/>
      <c r="Y190" s="8" t="s">
        <v>2103</v>
      </c>
      <c r="Z190" s="8" t="s">
        <v>3877</v>
      </c>
      <c r="AA190" s="8"/>
      <c r="AB190" s="8"/>
      <c r="AC190" s="8" t="s">
        <v>3878</v>
      </c>
      <c r="AD190" s="8" t="s">
        <v>2080</v>
      </c>
      <c r="AE190" s="8" t="s">
        <v>2080</v>
      </c>
      <c r="AF190" s="8"/>
      <c r="AG190" s="8"/>
      <c r="AH190" s="8" t="s">
        <v>3879</v>
      </c>
      <c r="AI190" s="8" t="s">
        <v>3880</v>
      </c>
      <c r="AJ190" s="8" t="s">
        <v>3881</v>
      </c>
      <c r="AK190" s="8" t="s">
        <v>3882</v>
      </c>
      <c r="AL190" s="8" t="s">
        <v>3883</v>
      </c>
      <c r="AM190" s="8" t="s">
        <v>2162</v>
      </c>
    </row>
    <row r="191" ht="14.25" customHeight="1">
      <c r="A191" s="8">
        <v>51.0</v>
      </c>
      <c r="B191" s="8" t="s">
        <v>3884</v>
      </c>
      <c r="C191" s="8"/>
      <c r="D191" s="8"/>
      <c r="E191" s="8"/>
      <c r="F191" s="8"/>
      <c r="G191" s="8"/>
      <c r="H191" s="7">
        <v>45782.0</v>
      </c>
      <c r="I191" s="7">
        <v>45782.0</v>
      </c>
      <c r="J191" s="8" t="s">
        <v>3885</v>
      </c>
      <c r="K191" s="8" t="s">
        <v>2089</v>
      </c>
      <c r="L191" s="8">
        <v>2023.0</v>
      </c>
      <c r="M191" s="8"/>
      <c r="N191" s="8"/>
      <c r="O191" s="8"/>
      <c r="P191" s="8"/>
      <c r="Q191" s="9">
        <v>45073.0</v>
      </c>
      <c r="R191" s="8" t="s">
        <v>2090</v>
      </c>
      <c r="S191" s="8"/>
      <c r="T191" s="8"/>
      <c r="U191" s="8"/>
      <c r="V191" s="8"/>
      <c r="W191" s="8"/>
      <c r="X191" s="8"/>
      <c r="Y191" s="8" t="s">
        <v>2089</v>
      </c>
      <c r="Z191" s="8" t="s">
        <v>3886</v>
      </c>
      <c r="AA191" s="8"/>
      <c r="AB191" s="8"/>
      <c r="AC191" s="8"/>
      <c r="AD191" s="8" t="s">
        <v>2080</v>
      </c>
      <c r="AE191" s="8" t="s">
        <v>2080</v>
      </c>
      <c r="AF191" s="8"/>
      <c r="AG191" s="8"/>
      <c r="AH191" s="8" t="s">
        <v>3887</v>
      </c>
      <c r="AI191" s="8"/>
      <c r="AJ191" s="8" t="s">
        <v>3888</v>
      </c>
      <c r="AK191" s="8" t="s">
        <v>3889</v>
      </c>
      <c r="AL191" s="8"/>
      <c r="AM191" s="8" t="s">
        <v>2095</v>
      </c>
    </row>
    <row r="192" ht="14.25" customHeight="1">
      <c r="A192" s="8">
        <v>52.0</v>
      </c>
      <c r="B192" s="8" t="s">
        <v>3890</v>
      </c>
      <c r="C192" s="8"/>
      <c r="D192" s="8" t="s">
        <v>3891</v>
      </c>
      <c r="E192" s="8" t="s">
        <v>3892</v>
      </c>
      <c r="F192" s="8" t="s">
        <v>3893</v>
      </c>
      <c r="G192" s="8"/>
      <c r="H192" s="7">
        <v>45082.0</v>
      </c>
      <c r="I192" s="7">
        <v>45177.0</v>
      </c>
      <c r="J192" s="8" t="s">
        <v>3894</v>
      </c>
      <c r="K192" s="8" t="s">
        <v>3895</v>
      </c>
      <c r="L192" s="8">
        <v>2023.0</v>
      </c>
      <c r="M192" s="8">
        <v>12.0</v>
      </c>
      <c r="N192" s="8">
        <v>10.0</v>
      </c>
      <c r="O192" s="8"/>
      <c r="P192" s="8"/>
      <c r="Q192" s="9">
        <v>45047.0</v>
      </c>
      <c r="R192" s="8" t="s">
        <v>2075</v>
      </c>
      <c r="S192" s="8"/>
      <c r="T192" s="8"/>
      <c r="U192" s="8"/>
      <c r="V192" s="8"/>
      <c r="W192" s="8" t="s">
        <v>3896</v>
      </c>
      <c r="X192" s="8"/>
      <c r="Y192" s="8" t="s">
        <v>3897</v>
      </c>
      <c r="Z192" s="8" t="s">
        <v>3898</v>
      </c>
      <c r="AA192" s="8" t="s">
        <v>3536</v>
      </c>
      <c r="AB192" s="8"/>
      <c r="AC192" s="8"/>
      <c r="AD192" s="8" t="s">
        <v>2080</v>
      </c>
      <c r="AE192" s="8" t="s">
        <v>2080</v>
      </c>
      <c r="AF192" s="8"/>
      <c r="AG192" s="8"/>
      <c r="AH192" s="8" t="s">
        <v>3899</v>
      </c>
      <c r="AI192" s="8" t="s">
        <v>3900</v>
      </c>
      <c r="AJ192" s="8" t="s">
        <v>3901</v>
      </c>
      <c r="AK192" s="8" t="s">
        <v>3902</v>
      </c>
      <c r="AL192" s="8" t="s">
        <v>3903</v>
      </c>
      <c r="AM192" s="8" t="s">
        <v>2162</v>
      </c>
    </row>
    <row r="193" ht="14.25" customHeight="1">
      <c r="A193" s="8">
        <v>53.0</v>
      </c>
      <c r="B193" s="8" t="s">
        <v>2185</v>
      </c>
      <c r="C193" s="8"/>
      <c r="D193" s="8"/>
      <c r="E193" s="8"/>
      <c r="F193" s="8"/>
      <c r="G193" s="8"/>
      <c r="H193" s="7">
        <v>45799.0</v>
      </c>
      <c r="I193" s="7">
        <v>45799.0</v>
      </c>
      <c r="J193" s="8" t="s">
        <v>2186</v>
      </c>
      <c r="K193" s="8" t="s">
        <v>2089</v>
      </c>
      <c r="L193" s="8">
        <v>2023.0</v>
      </c>
      <c r="M193" s="8"/>
      <c r="N193" s="8"/>
      <c r="O193" s="8"/>
      <c r="P193" s="8"/>
      <c r="Q193" s="9">
        <v>45033.0</v>
      </c>
      <c r="R193" s="8" t="s">
        <v>2090</v>
      </c>
      <c r="S193" s="8"/>
      <c r="T193" s="8"/>
      <c r="U193" s="8"/>
      <c r="V193" s="8"/>
      <c r="W193" s="8"/>
      <c r="X193" s="8"/>
      <c r="Y193" s="8" t="s">
        <v>2089</v>
      </c>
      <c r="Z193" s="8" t="s">
        <v>2187</v>
      </c>
      <c r="AA193" s="8"/>
      <c r="AB193" s="8"/>
      <c r="AC193" s="8"/>
      <c r="AD193" s="8" t="s">
        <v>2080</v>
      </c>
      <c r="AE193" s="8" t="s">
        <v>2080</v>
      </c>
      <c r="AF193" s="8"/>
      <c r="AG193" s="8"/>
      <c r="AH193" s="8" t="s">
        <v>2188</v>
      </c>
      <c r="AI193" s="8"/>
      <c r="AJ193" s="8" t="s">
        <v>2189</v>
      </c>
      <c r="AK193" s="8" t="s">
        <v>2190</v>
      </c>
      <c r="AL193" s="8"/>
      <c r="AM193" s="8" t="s">
        <v>2095</v>
      </c>
    </row>
    <row r="194" ht="14.25" customHeight="1">
      <c r="A194" s="8">
        <v>54.0</v>
      </c>
      <c r="B194" s="8" t="s">
        <v>2191</v>
      </c>
      <c r="C194" s="8"/>
      <c r="D194" s="8" t="s">
        <v>2192</v>
      </c>
      <c r="E194" s="8" t="s">
        <v>2193</v>
      </c>
      <c r="F194" s="8" t="s">
        <v>2194</v>
      </c>
      <c r="G194" s="8"/>
      <c r="H194" s="7">
        <v>45852.0</v>
      </c>
      <c r="I194" s="8"/>
      <c r="J194" s="8" t="s">
        <v>2195</v>
      </c>
      <c r="K194" s="8" t="s">
        <v>2196</v>
      </c>
      <c r="L194" s="8">
        <v>2023.0</v>
      </c>
      <c r="M194" s="8">
        <v>12.0</v>
      </c>
      <c r="N194" s="8">
        <v>2.0</v>
      </c>
      <c r="O194" s="8">
        <v>2277.0</v>
      </c>
      <c r="P194" s="8">
        <v>2281.0</v>
      </c>
      <c r="Q194" s="9">
        <v>45017.0</v>
      </c>
      <c r="R194" s="8" t="s">
        <v>2075</v>
      </c>
      <c r="S194" s="8"/>
      <c r="T194" s="8"/>
      <c r="U194" s="8"/>
      <c r="V194" s="8"/>
      <c r="W194" s="8" t="s">
        <v>2197</v>
      </c>
      <c r="X194" s="8"/>
      <c r="Y194" s="8" t="s">
        <v>2196</v>
      </c>
      <c r="Z194" s="8" t="s">
        <v>2198</v>
      </c>
      <c r="AA194" s="8"/>
      <c r="AB194" s="8"/>
      <c r="AC194" s="8"/>
      <c r="AD194" s="8" t="s">
        <v>2080</v>
      </c>
      <c r="AE194" s="8" t="s">
        <v>2080</v>
      </c>
      <c r="AF194" s="8"/>
      <c r="AG194" s="8"/>
      <c r="AH194" s="8" t="s">
        <v>2199</v>
      </c>
      <c r="AI194" s="8"/>
      <c r="AJ194" s="8"/>
      <c r="AK194" s="8" t="s">
        <v>2200</v>
      </c>
      <c r="AL194" s="8" t="s">
        <v>2201</v>
      </c>
      <c r="AM194" s="8" t="s">
        <v>2086</v>
      </c>
    </row>
    <row r="195" ht="14.25" customHeight="1">
      <c r="A195" s="8">
        <v>55.0</v>
      </c>
      <c r="B195" s="8" t="s">
        <v>3904</v>
      </c>
      <c r="C195" s="8"/>
      <c r="D195" s="8"/>
      <c r="E195" s="8"/>
      <c r="F195" s="8"/>
      <c r="G195" s="8"/>
      <c r="H195" s="7">
        <v>45811.0</v>
      </c>
      <c r="I195" s="7">
        <v>45811.0</v>
      </c>
      <c r="J195" s="8" t="s">
        <v>3905</v>
      </c>
      <c r="K195" s="8" t="s">
        <v>2089</v>
      </c>
      <c r="L195" s="8">
        <v>2023.0</v>
      </c>
      <c r="M195" s="8"/>
      <c r="N195" s="8"/>
      <c r="O195" s="8"/>
      <c r="P195" s="8"/>
      <c r="Q195" s="9">
        <v>45015.0</v>
      </c>
      <c r="R195" s="8" t="s">
        <v>2090</v>
      </c>
      <c r="S195" s="8"/>
      <c r="T195" s="8"/>
      <c r="U195" s="8"/>
      <c r="V195" s="8"/>
      <c r="W195" s="8"/>
      <c r="X195" s="8"/>
      <c r="Y195" s="8" t="s">
        <v>2089</v>
      </c>
      <c r="Z195" s="8" t="s">
        <v>3906</v>
      </c>
      <c r="AA195" s="8"/>
      <c r="AB195" s="8"/>
      <c r="AC195" s="8"/>
      <c r="AD195" s="8" t="s">
        <v>2080</v>
      </c>
      <c r="AE195" s="8" t="s">
        <v>2080</v>
      </c>
      <c r="AF195" s="8"/>
      <c r="AG195" s="8"/>
      <c r="AH195" s="8" t="s">
        <v>3907</v>
      </c>
      <c r="AI195" s="8"/>
      <c r="AJ195" s="8" t="s">
        <v>3908</v>
      </c>
      <c r="AK195" s="8" t="s">
        <v>3909</v>
      </c>
      <c r="AL195" s="8"/>
      <c r="AM195" s="8" t="s">
        <v>2095</v>
      </c>
    </row>
    <row r="196" ht="14.25" customHeight="1">
      <c r="A196" s="8">
        <v>56.0</v>
      </c>
      <c r="B196" s="8" t="s">
        <v>3910</v>
      </c>
      <c r="C196" s="8"/>
      <c r="D196" s="8" t="s">
        <v>3911</v>
      </c>
      <c r="E196" s="8" t="s">
        <v>3912</v>
      </c>
      <c r="F196" s="8" t="s">
        <v>3913</v>
      </c>
      <c r="G196" s="8"/>
      <c r="H196" s="7">
        <v>45006.0</v>
      </c>
      <c r="I196" s="7">
        <v>45125.0</v>
      </c>
      <c r="J196" s="8" t="s">
        <v>3914</v>
      </c>
      <c r="K196" s="8" t="s">
        <v>3895</v>
      </c>
      <c r="L196" s="8">
        <v>2023.0</v>
      </c>
      <c r="M196" s="8">
        <v>12.0</v>
      </c>
      <c r="N196" s="8">
        <v>5.0</v>
      </c>
      <c r="O196" s="8"/>
      <c r="P196" s="8"/>
      <c r="Q196" s="9">
        <v>44986.0</v>
      </c>
      <c r="R196" s="8" t="s">
        <v>2075</v>
      </c>
      <c r="S196" s="8"/>
      <c r="T196" s="8"/>
      <c r="U196" s="8"/>
      <c r="V196" s="8"/>
      <c r="W196" s="8" t="s">
        <v>3896</v>
      </c>
      <c r="X196" s="8"/>
      <c r="Y196" s="8" t="s">
        <v>3897</v>
      </c>
      <c r="Z196" s="8" t="s">
        <v>3915</v>
      </c>
      <c r="AA196" s="8"/>
      <c r="AB196" s="8"/>
      <c r="AC196" s="8"/>
      <c r="AD196" s="8" t="s">
        <v>2080</v>
      </c>
      <c r="AE196" s="8" t="s">
        <v>2080</v>
      </c>
      <c r="AF196" s="8"/>
      <c r="AG196" s="8"/>
      <c r="AH196" s="8" t="s">
        <v>3916</v>
      </c>
      <c r="AI196" s="8" t="s">
        <v>3917</v>
      </c>
      <c r="AJ196" s="8" t="s">
        <v>3918</v>
      </c>
      <c r="AK196" s="8" t="s">
        <v>3919</v>
      </c>
      <c r="AL196" s="8" t="s">
        <v>3920</v>
      </c>
      <c r="AM196" s="8" t="s">
        <v>2162</v>
      </c>
    </row>
    <row r="197" ht="14.25" customHeight="1">
      <c r="A197" s="8">
        <v>57.0</v>
      </c>
      <c r="B197" s="8" t="s">
        <v>1076</v>
      </c>
      <c r="C197" s="8"/>
      <c r="D197" s="8" t="s">
        <v>3921</v>
      </c>
      <c r="E197" s="8" t="s">
        <v>3922</v>
      </c>
      <c r="F197" s="8" t="s">
        <v>3923</v>
      </c>
      <c r="G197" s="8"/>
      <c r="H197" s="7">
        <v>44986.0</v>
      </c>
      <c r="I197" s="7">
        <v>44998.0</v>
      </c>
      <c r="J197" s="8" t="s">
        <v>3924</v>
      </c>
      <c r="K197" s="8" t="s">
        <v>322</v>
      </c>
      <c r="L197" s="8">
        <v>2023.0</v>
      </c>
      <c r="M197" s="8">
        <v>54.0</v>
      </c>
      <c r="N197" s="8">
        <v>3.0</v>
      </c>
      <c r="O197" s="8">
        <v>976.0</v>
      </c>
      <c r="P197" s="8">
        <v>982.0</v>
      </c>
      <c r="Q197" s="9">
        <v>44986.0</v>
      </c>
      <c r="R197" s="8" t="s">
        <v>2075</v>
      </c>
      <c r="S197" s="8"/>
      <c r="T197" s="8"/>
      <c r="U197" s="8"/>
      <c r="V197" s="8"/>
      <c r="W197" s="8" t="s">
        <v>2744</v>
      </c>
      <c r="X197" s="8"/>
      <c r="Y197" s="8" t="s">
        <v>2077</v>
      </c>
      <c r="Z197" s="8" t="s">
        <v>3925</v>
      </c>
      <c r="AA197" s="8"/>
      <c r="AB197" s="8"/>
      <c r="AC197" s="8"/>
      <c r="AD197" s="8" t="s">
        <v>2080</v>
      </c>
      <c r="AE197" s="8" t="s">
        <v>2080</v>
      </c>
      <c r="AF197" s="8"/>
      <c r="AG197" s="8">
        <v>3.6720663E7</v>
      </c>
      <c r="AH197" s="8" t="s">
        <v>3926</v>
      </c>
      <c r="AI197" s="8" t="s">
        <v>1080</v>
      </c>
      <c r="AJ197" s="8" t="s">
        <v>3927</v>
      </c>
      <c r="AK197" s="8" t="s">
        <v>3928</v>
      </c>
      <c r="AL197" s="8" t="s">
        <v>3929</v>
      </c>
      <c r="AM197" s="8" t="s">
        <v>2162</v>
      </c>
    </row>
    <row r="198" ht="14.25" customHeight="1">
      <c r="A198" s="8">
        <v>58.0</v>
      </c>
      <c r="B198" s="8" t="s">
        <v>1066</v>
      </c>
      <c r="C198" s="8"/>
      <c r="D198" s="8" t="s">
        <v>3930</v>
      </c>
      <c r="E198" s="8" t="s">
        <v>3931</v>
      </c>
      <c r="F198" s="8"/>
      <c r="G198" s="8"/>
      <c r="H198" s="7">
        <v>44992.0</v>
      </c>
      <c r="I198" s="7">
        <v>44995.0</v>
      </c>
      <c r="J198" s="8" t="s">
        <v>3932</v>
      </c>
      <c r="K198" s="8" t="s">
        <v>2128</v>
      </c>
      <c r="L198" s="8">
        <v>2023.0</v>
      </c>
      <c r="M198" s="8">
        <v>51.0</v>
      </c>
      <c r="N198" s="8">
        <v>3.0</v>
      </c>
      <c r="O198" s="8">
        <v>615.0</v>
      </c>
      <c r="P198" s="8">
        <v>626.0</v>
      </c>
      <c r="Q198" s="9">
        <v>44986.0</v>
      </c>
      <c r="R198" s="8" t="s">
        <v>2075</v>
      </c>
      <c r="S198" s="8"/>
      <c r="T198" s="8"/>
      <c r="U198" s="8"/>
      <c r="V198" s="8"/>
      <c r="W198" s="8" t="s">
        <v>2129</v>
      </c>
      <c r="X198" s="8"/>
      <c r="Y198" s="8" t="s">
        <v>2325</v>
      </c>
      <c r="Z198" s="8" t="s">
        <v>3933</v>
      </c>
      <c r="AA198" s="8"/>
      <c r="AB198" s="8"/>
      <c r="AC198" s="8" t="s">
        <v>3934</v>
      </c>
      <c r="AD198" s="8" t="s">
        <v>2080</v>
      </c>
      <c r="AE198" s="8" t="s">
        <v>2080</v>
      </c>
      <c r="AF198" s="8"/>
      <c r="AG198" s="8">
        <v>3.685628E7</v>
      </c>
      <c r="AH198" s="8" t="s">
        <v>3935</v>
      </c>
      <c r="AI198" s="8" t="s">
        <v>1070</v>
      </c>
      <c r="AJ198" s="8" t="s">
        <v>3936</v>
      </c>
      <c r="AK198" s="8" t="s">
        <v>3937</v>
      </c>
      <c r="AL198" s="8" t="s">
        <v>3938</v>
      </c>
      <c r="AM198" s="8" t="s">
        <v>2136</v>
      </c>
    </row>
    <row r="199" ht="14.25" customHeight="1">
      <c r="A199" s="8">
        <v>59.0</v>
      </c>
      <c r="B199" s="8" t="s">
        <v>2202</v>
      </c>
      <c r="C199" s="8"/>
      <c r="D199" s="8" t="s">
        <v>2203</v>
      </c>
      <c r="E199" s="8" t="s">
        <v>2204</v>
      </c>
      <c r="F199" s="8" t="s">
        <v>2205</v>
      </c>
      <c r="G199" s="8"/>
      <c r="H199" s="7">
        <v>44967.0</v>
      </c>
      <c r="I199" s="7">
        <v>45047.0</v>
      </c>
      <c r="J199" s="8" t="s">
        <v>2206</v>
      </c>
      <c r="K199" s="8" t="s">
        <v>2101</v>
      </c>
      <c r="L199" s="8">
        <v>2023.0</v>
      </c>
      <c r="M199" s="8">
        <v>11.0</v>
      </c>
      <c r="N199" s="8">
        <v>2.0</v>
      </c>
      <c r="O199" s="8"/>
      <c r="P199" s="8"/>
      <c r="Q199" s="9">
        <v>44958.0</v>
      </c>
      <c r="R199" s="8" t="s">
        <v>2075</v>
      </c>
      <c r="S199" s="8"/>
      <c r="T199" s="8"/>
      <c r="U199" s="8"/>
      <c r="V199" s="8"/>
      <c r="W199" s="8" t="s">
        <v>2102</v>
      </c>
      <c r="X199" s="8"/>
      <c r="Y199" s="8" t="s">
        <v>2103</v>
      </c>
      <c r="Z199" s="8" t="s">
        <v>2207</v>
      </c>
      <c r="AA199" s="8"/>
      <c r="AB199" s="8"/>
      <c r="AC199" s="8"/>
      <c r="AD199" s="8" t="s">
        <v>2080</v>
      </c>
      <c r="AE199" s="8" t="s">
        <v>2080</v>
      </c>
      <c r="AF199" s="8"/>
      <c r="AG199" s="8"/>
      <c r="AH199" s="8" t="s">
        <v>2208</v>
      </c>
      <c r="AI199" s="8" t="s">
        <v>2209</v>
      </c>
      <c r="AJ199" s="8" t="s">
        <v>2210</v>
      </c>
      <c r="AK199" s="8" t="s">
        <v>2211</v>
      </c>
      <c r="AL199" s="8" t="s">
        <v>2212</v>
      </c>
      <c r="AM199" s="8" t="s">
        <v>2162</v>
      </c>
    </row>
    <row r="200" ht="14.25" customHeight="1">
      <c r="A200" s="8">
        <v>60.0</v>
      </c>
      <c r="B200" s="8" t="s">
        <v>2213</v>
      </c>
      <c r="C200" s="8"/>
      <c r="D200" s="8"/>
      <c r="E200" s="8"/>
      <c r="F200" s="8"/>
      <c r="G200" s="8"/>
      <c r="H200" s="7">
        <v>45783.0</v>
      </c>
      <c r="I200" s="7">
        <v>45783.0</v>
      </c>
      <c r="J200" s="8" t="s">
        <v>2214</v>
      </c>
      <c r="K200" s="8" t="s">
        <v>2089</v>
      </c>
      <c r="L200" s="8">
        <v>2023.0</v>
      </c>
      <c r="M200" s="8"/>
      <c r="N200" s="8"/>
      <c r="O200" s="8"/>
      <c r="P200" s="8"/>
      <c r="Q200" s="9">
        <v>44930.0</v>
      </c>
      <c r="R200" s="8" t="s">
        <v>2090</v>
      </c>
      <c r="S200" s="8"/>
      <c r="T200" s="8"/>
      <c r="U200" s="8"/>
      <c r="V200" s="8"/>
      <c r="W200" s="8"/>
      <c r="X200" s="8"/>
      <c r="Y200" s="8" t="s">
        <v>2089</v>
      </c>
      <c r="Z200" s="8" t="s">
        <v>2215</v>
      </c>
      <c r="AA200" s="8"/>
      <c r="AB200" s="8"/>
      <c r="AC200" s="8"/>
      <c r="AD200" s="8" t="s">
        <v>2080</v>
      </c>
      <c r="AE200" s="8" t="s">
        <v>2080</v>
      </c>
      <c r="AF200" s="8"/>
      <c r="AG200" s="8"/>
      <c r="AH200" s="8" t="s">
        <v>2216</v>
      </c>
      <c r="AI200" s="8"/>
      <c r="AJ200" s="8" t="s">
        <v>2217</v>
      </c>
      <c r="AK200" s="8" t="s">
        <v>2218</v>
      </c>
      <c r="AL200" s="8"/>
      <c r="AM200" s="8" t="s">
        <v>2095</v>
      </c>
    </row>
    <row r="201" ht="14.25" customHeight="1">
      <c r="A201" s="8">
        <v>61.0</v>
      </c>
      <c r="B201" s="8" t="s">
        <v>3939</v>
      </c>
      <c r="C201" s="8"/>
      <c r="D201" s="8" t="s">
        <v>3940</v>
      </c>
      <c r="E201" s="8" t="s">
        <v>3941</v>
      </c>
      <c r="F201" s="8" t="s">
        <v>3942</v>
      </c>
      <c r="G201" s="8"/>
      <c r="H201" s="7">
        <v>45069.0</v>
      </c>
      <c r="I201" s="7">
        <v>45135.0</v>
      </c>
      <c r="J201" s="8" t="s">
        <v>3943</v>
      </c>
      <c r="K201" s="8" t="s">
        <v>3944</v>
      </c>
      <c r="L201" s="8">
        <v>2023.0</v>
      </c>
      <c r="M201" s="8">
        <v>15.0</v>
      </c>
      <c r="N201" s="8">
        <v>4.0</v>
      </c>
      <c r="O201" s="8">
        <v>1619.0</v>
      </c>
      <c r="P201" s="8">
        <v>1629.0</v>
      </c>
      <c r="Q201" s="8">
        <v>2023.0</v>
      </c>
      <c r="R201" s="8" t="s">
        <v>2075</v>
      </c>
      <c r="S201" s="8"/>
      <c r="T201" s="8"/>
      <c r="U201" s="8"/>
      <c r="V201" s="8"/>
      <c r="W201" s="8" t="s">
        <v>3945</v>
      </c>
      <c r="X201" s="8"/>
      <c r="Y201" s="8" t="s">
        <v>3946</v>
      </c>
      <c r="Z201" s="8" t="s">
        <v>3947</v>
      </c>
      <c r="AA201" s="8"/>
      <c r="AB201" s="8"/>
      <c r="AC201" s="8"/>
      <c r="AD201" s="8" t="s">
        <v>2080</v>
      </c>
      <c r="AE201" s="8" t="s">
        <v>2080</v>
      </c>
      <c r="AF201" s="8"/>
      <c r="AG201" s="8"/>
      <c r="AH201" s="8" t="s">
        <v>3948</v>
      </c>
      <c r="AI201" s="8"/>
      <c r="AJ201" s="8"/>
      <c r="AK201" s="8" t="s">
        <v>3949</v>
      </c>
      <c r="AL201" s="8" t="s">
        <v>3950</v>
      </c>
      <c r="AM201" s="8" t="s">
        <v>2162</v>
      </c>
    </row>
    <row r="202" ht="14.25" customHeight="1">
      <c r="A202" s="8">
        <v>62.0</v>
      </c>
      <c r="B202" s="8" t="s">
        <v>3951</v>
      </c>
      <c r="C202" s="8"/>
      <c r="D202" s="8"/>
      <c r="E202" s="8"/>
      <c r="F202" s="8"/>
      <c r="G202" s="8"/>
      <c r="H202" s="7">
        <v>45808.0</v>
      </c>
      <c r="I202" s="7">
        <v>45808.0</v>
      </c>
      <c r="J202" s="8" t="s">
        <v>3952</v>
      </c>
      <c r="K202" s="8" t="s">
        <v>2089</v>
      </c>
      <c r="L202" s="8">
        <v>2022.0</v>
      </c>
      <c r="M202" s="8"/>
      <c r="N202" s="8"/>
      <c r="O202" s="8"/>
      <c r="P202" s="8"/>
      <c r="Q202" s="9">
        <v>44867.0</v>
      </c>
      <c r="R202" s="8" t="s">
        <v>2090</v>
      </c>
      <c r="S202" s="8"/>
      <c r="T202" s="8"/>
      <c r="U202" s="8"/>
      <c r="V202" s="8"/>
      <c r="W202" s="8"/>
      <c r="X202" s="8"/>
      <c r="Y202" s="8" t="s">
        <v>2089</v>
      </c>
      <c r="Z202" s="8" t="s">
        <v>3953</v>
      </c>
      <c r="AA202" s="8"/>
      <c r="AB202" s="8"/>
      <c r="AC202" s="8"/>
      <c r="AD202" s="8" t="s">
        <v>2080</v>
      </c>
      <c r="AE202" s="8" t="s">
        <v>2080</v>
      </c>
      <c r="AF202" s="8"/>
      <c r="AG202" s="8"/>
      <c r="AH202" s="8" t="s">
        <v>3954</v>
      </c>
      <c r="AI202" s="8"/>
      <c r="AJ202" s="8" t="s">
        <v>3955</v>
      </c>
      <c r="AK202" s="8" t="s">
        <v>3956</v>
      </c>
      <c r="AL202" s="8"/>
      <c r="AM202" s="8" t="s">
        <v>2095</v>
      </c>
    </row>
    <row r="203" ht="14.25" customHeight="1">
      <c r="A203" s="8">
        <v>63.0</v>
      </c>
      <c r="B203" s="8" t="s">
        <v>1122</v>
      </c>
      <c r="C203" s="8"/>
      <c r="D203" s="8" t="s">
        <v>3957</v>
      </c>
      <c r="E203" s="8" t="s">
        <v>3958</v>
      </c>
      <c r="F203" s="8"/>
      <c r="G203" s="8"/>
      <c r="H203" s="7">
        <v>44692.0</v>
      </c>
      <c r="I203" s="7">
        <v>44861.0</v>
      </c>
      <c r="J203" s="8" t="s">
        <v>3959</v>
      </c>
      <c r="K203" s="8" t="s">
        <v>2550</v>
      </c>
      <c r="L203" s="8">
        <v>2022.0</v>
      </c>
      <c r="M203" s="8">
        <v>30.0</v>
      </c>
      <c r="N203" s="8">
        <v>11.0</v>
      </c>
      <c r="O203" s="8">
        <v>3718.0</v>
      </c>
      <c r="P203" s="8">
        <v>3725.0</v>
      </c>
      <c r="Q203" s="9">
        <v>44866.0</v>
      </c>
      <c r="R203" s="8" t="s">
        <v>2075</v>
      </c>
      <c r="S203" s="8"/>
      <c r="T203" s="8"/>
      <c r="U203" s="8"/>
      <c r="V203" s="8"/>
      <c r="W203" s="8" t="s">
        <v>2551</v>
      </c>
      <c r="X203" s="8"/>
      <c r="Y203" s="8" t="s">
        <v>2325</v>
      </c>
      <c r="Z203" s="8" t="s">
        <v>3960</v>
      </c>
      <c r="AA203" s="8"/>
      <c r="AB203" s="8"/>
      <c r="AC203" s="8"/>
      <c r="AD203" s="8" t="s">
        <v>2080</v>
      </c>
      <c r="AE203" s="8" t="s">
        <v>2080</v>
      </c>
      <c r="AF203" s="8"/>
      <c r="AG203" s="8">
        <v>3.5507037E7</v>
      </c>
      <c r="AH203" s="8" t="s">
        <v>3961</v>
      </c>
      <c r="AI203" s="8" t="s">
        <v>1126</v>
      </c>
      <c r="AJ203" s="8" t="s">
        <v>3962</v>
      </c>
      <c r="AK203" s="8" t="s">
        <v>3963</v>
      </c>
      <c r="AL203" s="8" t="s">
        <v>3964</v>
      </c>
      <c r="AM203" s="8" t="s">
        <v>2136</v>
      </c>
    </row>
    <row r="204" ht="14.25" customHeight="1">
      <c r="A204" s="8">
        <v>64.0</v>
      </c>
      <c r="B204" s="8" t="s">
        <v>1092</v>
      </c>
      <c r="C204" s="8"/>
      <c r="D204" s="8" t="s">
        <v>3965</v>
      </c>
      <c r="E204" s="8" t="s">
        <v>3966</v>
      </c>
      <c r="F204" s="8"/>
      <c r="G204" s="8"/>
      <c r="H204" s="7">
        <v>44844.0</v>
      </c>
      <c r="I204" s="7">
        <v>44873.0</v>
      </c>
      <c r="J204" s="8" t="s">
        <v>3967</v>
      </c>
      <c r="K204" s="8" t="s">
        <v>3968</v>
      </c>
      <c r="L204" s="8">
        <v>2022.0</v>
      </c>
      <c r="M204" s="8">
        <v>54.0</v>
      </c>
      <c r="N204" s="8"/>
      <c r="O204" s="8" t="s">
        <v>3969</v>
      </c>
      <c r="P204" s="8"/>
      <c r="Q204" s="9">
        <v>44866.0</v>
      </c>
      <c r="R204" s="8" t="s">
        <v>2075</v>
      </c>
      <c r="S204" s="8"/>
      <c r="T204" s="8"/>
      <c r="U204" s="8"/>
      <c r="V204" s="8"/>
      <c r="W204" s="8" t="s">
        <v>3970</v>
      </c>
      <c r="X204" s="8"/>
      <c r="Y204" s="8" t="s">
        <v>2325</v>
      </c>
      <c r="Z204" s="8" t="s">
        <v>3971</v>
      </c>
      <c r="AA204" s="8"/>
      <c r="AB204" s="8"/>
      <c r="AC204" s="8"/>
      <c r="AD204" s="8" t="s">
        <v>2080</v>
      </c>
      <c r="AE204" s="8" t="s">
        <v>2080</v>
      </c>
      <c r="AF204" s="8"/>
      <c r="AG204" s="8">
        <v>3.6190389E7</v>
      </c>
      <c r="AH204" s="8" t="s">
        <v>3972</v>
      </c>
      <c r="AI204" s="8" t="s">
        <v>1098</v>
      </c>
      <c r="AJ204" s="8" t="s">
        <v>3973</v>
      </c>
      <c r="AK204" s="8" t="s">
        <v>3974</v>
      </c>
      <c r="AL204" s="8" t="s">
        <v>3975</v>
      </c>
      <c r="AM204" s="8" t="s">
        <v>2136</v>
      </c>
    </row>
    <row r="205" ht="14.25" customHeight="1">
      <c r="A205" s="8">
        <v>65.0</v>
      </c>
      <c r="B205" s="8" t="s">
        <v>3976</v>
      </c>
      <c r="C205" s="8"/>
      <c r="D205" s="8"/>
      <c r="E205" s="8"/>
      <c r="F205" s="8"/>
      <c r="G205" s="8"/>
      <c r="H205" s="7">
        <v>45811.0</v>
      </c>
      <c r="I205" s="7">
        <v>45811.0</v>
      </c>
      <c r="J205" s="8" t="s">
        <v>2220</v>
      </c>
      <c r="K205" s="8" t="s">
        <v>2089</v>
      </c>
      <c r="L205" s="8">
        <v>2022.0</v>
      </c>
      <c r="M205" s="8"/>
      <c r="N205" s="8"/>
      <c r="O205" s="8"/>
      <c r="P205" s="8"/>
      <c r="Q205" s="9">
        <v>44840.0</v>
      </c>
      <c r="R205" s="8" t="s">
        <v>2090</v>
      </c>
      <c r="S205" s="8"/>
      <c r="T205" s="8"/>
      <c r="U205" s="8"/>
      <c r="V205" s="8"/>
      <c r="W205" s="8"/>
      <c r="X205" s="8"/>
      <c r="Y205" s="8" t="s">
        <v>2089</v>
      </c>
      <c r="Z205" s="8" t="s">
        <v>3977</v>
      </c>
      <c r="AA205" s="8"/>
      <c r="AB205" s="8"/>
      <c r="AC205" s="8"/>
      <c r="AD205" s="8" t="s">
        <v>2080</v>
      </c>
      <c r="AE205" s="8" t="s">
        <v>2080</v>
      </c>
      <c r="AF205" s="8"/>
      <c r="AG205" s="8"/>
      <c r="AH205" s="8" t="s">
        <v>3978</v>
      </c>
      <c r="AI205" s="8"/>
      <c r="AJ205" s="8" t="s">
        <v>3979</v>
      </c>
      <c r="AK205" s="8" t="s">
        <v>3980</v>
      </c>
      <c r="AL205" s="8"/>
      <c r="AM205" s="8" t="s">
        <v>2095</v>
      </c>
    </row>
    <row r="206" ht="14.25" customHeight="1">
      <c r="A206" s="8">
        <v>66.0</v>
      </c>
      <c r="B206" s="8" t="s">
        <v>1033</v>
      </c>
      <c r="C206" s="8"/>
      <c r="D206" s="8" t="s">
        <v>3981</v>
      </c>
      <c r="E206" s="8" t="s">
        <v>3982</v>
      </c>
      <c r="F206" s="8" t="s">
        <v>3983</v>
      </c>
      <c r="G206" s="8"/>
      <c r="H206" s="7">
        <v>44721.0</v>
      </c>
      <c r="I206" s="7">
        <v>44889.0</v>
      </c>
      <c r="J206" s="8" t="s">
        <v>3984</v>
      </c>
      <c r="K206" s="8" t="s">
        <v>3831</v>
      </c>
      <c r="L206" s="8">
        <v>2022.0</v>
      </c>
      <c r="M206" s="8">
        <v>7.0</v>
      </c>
      <c r="N206" s="8">
        <v>5.0</v>
      </c>
      <c r="O206" s="8">
        <v>100.0</v>
      </c>
      <c r="P206" s="8">
        <v>104.0</v>
      </c>
      <c r="Q206" s="9">
        <v>44835.0</v>
      </c>
      <c r="R206" s="8" t="s">
        <v>2075</v>
      </c>
      <c r="S206" s="8"/>
      <c r="T206" s="8"/>
      <c r="U206" s="8"/>
      <c r="V206" s="8"/>
      <c r="W206" s="8" t="s">
        <v>3832</v>
      </c>
      <c r="X206" s="8"/>
      <c r="Y206" s="8" t="s">
        <v>3833</v>
      </c>
      <c r="Z206" s="8" t="s">
        <v>3985</v>
      </c>
      <c r="AA206" s="8"/>
      <c r="AB206" s="8"/>
      <c r="AC206" s="8"/>
      <c r="AD206" s="8" t="s">
        <v>2080</v>
      </c>
      <c r="AE206" s="8" t="s">
        <v>2080</v>
      </c>
      <c r="AF206" s="8"/>
      <c r="AG206" s="8">
        <v>3.7873691E7</v>
      </c>
      <c r="AH206" s="8" t="s">
        <v>3986</v>
      </c>
      <c r="AI206" s="8" t="s">
        <v>1038</v>
      </c>
      <c r="AJ206" s="8" t="s">
        <v>3987</v>
      </c>
      <c r="AK206" s="8" t="s">
        <v>3988</v>
      </c>
      <c r="AL206" s="8" t="s">
        <v>3989</v>
      </c>
      <c r="AM206" s="8" t="s">
        <v>2162</v>
      </c>
    </row>
    <row r="207" ht="14.25" customHeight="1">
      <c r="A207" s="8">
        <v>67.0</v>
      </c>
      <c r="B207" s="8" t="s">
        <v>1109</v>
      </c>
      <c r="C207" s="8"/>
      <c r="D207" s="8" t="s">
        <v>3990</v>
      </c>
      <c r="E207" s="8" t="s">
        <v>3991</v>
      </c>
      <c r="F207" s="8"/>
      <c r="G207" s="8"/>
      <c r="H207" s="7">
        <v>44804.0</v>
      </c>
      <c r="I207" s="7">
        <v>44844.0</v>
      </c>
      <c r="J207" s="8" t="s">
        <v>3992</v>
      </c>
      <c r="K207" s="8" t="s">
        <v>2128</v>
      </c>
      <c r="L207" s="8">
        <v>2022.0</v>
      </c>
      <c r="M207" s="8">
        <v>50.0</v>
      </c>
      <c r="N207" s="8">
        <v>12.0</v>
      </c>
      <c r="O207" s="8">
        <v>3256.0</v>
      </c>
      <c r="P207" s="8">
        <v>3264.0</v>
      </c>
      <c r="Q207" s="9">
        <v>44835.0</v>
      </c>
      <c r="R207" s="8" t="s">
        <v>2075</v>
      </c>
      <c r="S207" s="8"/>
      <c r="T207" s="8"/>
      <c r="U207" s="8"/>
      <c r="V207" s="8"/>
      <c r="W207" s="8" t="s">
        <v>2129</v>
      </c>
      <c r="X207" s="8"/>
      <c r="Y207" s="8" t="s">
        <v>2325</v>
      </c>
      <c r="Z207" s="8" t="s">
        <v>3993</v>
      </c>
      <c r="AA207" s="8"/>
      <c r="AB207" s="8"/>
      <c r="AC207" s="8"/>
      <c r="AD207" s="8" t="s">
        <v>2080</v>
      </c>
      <c r="AE207" s="8" t="s">
        <v>2080</v>
      </c>
      <c r="AF207" s="8"/>
      <c r="AG207" s="8">
        <v>3.6005281E7</v>
      </c>
      <c r="AH207" s="8" t="s">
        <v>3994</v>
      </c>
      <c r="AI207" s="8" t="s">
        <v>1114</v>
      </c>
      <c r="AJ207" s="8" t="s">
        <v>3995</v>
      </c>
      <c r="AK207" s="8" t="s">
        <v>3996</v>
      </c>
      <c r="AL207" s="8" t="s">
        <v>3997</v>
      </c>
      <c r="AM207" s="8" t="s">
        <v>2136</v>
      </c>
    </row>
    <row r="208" ht="14.25" customHeight="1">
      <c r="A208" s="8">
        <v>68.0</v>
      </c>
      <c r="B208" s="8" t="s">
        <v>2225</v>
      </c>
      <c r="C208" s="8"/>
      <c r="D208" s="8"/>
      <c r="E208" s="8"/>
      <c r="F208" s="8"/>
      <c r="G208" s="8"/>
      <c r="H208" s="7">
        <v>45811.0</v>
      </c>
      <c r="I208" s="7">
        <v>45811.0</v>
      </c>
      <c r="J208" s="8" t="s">
        <v>2226</v>
      </c>
      <c r="K208" s="8" t="s">
        <v>2089</v>
      </c>
      <c r="L208" s="8">
        <v>2022.0</v>
      </c>
      <c r="M208" s="8"/>
      <c r="N208" s="8"/>
      <c r="O208" s="8"/>
      <c r="P208" s="8"/>
      <c r="Q208" s="9">
        <v>44831.0</v>
      </c>
      <c r="R208" s="8" t="s">
        <v>2090</v>
      </c>
      <c r="S208" s="8"/>
      <c r="T208" s="8"/>
      <c r="U208" s="8"/>
      <c r="V208" s="8"/>
      <c r="W208" s="8"/>
      <c r="X208" s="8"/>
      <c r="Y208" s="8" t="s">
        <v>2089</v>
      </c>
      <c r="Z208" s="8" t="s">
        <v>2227</v>
      </c>
      <c r="AA208" s="8"/>
      <c r="AB208" s="8"/>
      <c r="AC208" s="8"/>
      <c r="AD208" s="8" t="s">
        <v>2080</v>
      </c>
      <c r="AE208" s="8" t="s">
        <v>2080</v>
      </c>
      <c r="AF208" s="8"/>
      <c r="AG208" s="8"/>
      <c r="AH208" s="8" t="s">
        <v>2228</v>
      </c>
      <c r="AI208" s="8"/>
      <c r="AJ208" s="8" t="s">
        <v>2229</v>
      </c>
      <c r="AK208" s="8" t="s">
        <v>2230</v>
      </c>
      <c r="AL208" s="8"/>
      <c r="AM208" s="8" t="s">
        <v>2095</v>
      </c>
    </row>
    <row r="209" ht="14.25" customHeight="1">
      <c r="A209" s="8">
        <v>69.0</v>
      </c>
      <c r="B209" s="8" t="s">
        <v>3998</v>
      </c>
      <c r="C209" s="8"/>
      <c r="D209" s="8"/>
      <c r="E209" s="8"/>
      <c r="F209" s="8"/>
      <c r="G209" s="8"/>
      <c r="H209" s="7">
        <v>45811.0</v>
      </c>
      <c r="I209" s="7">
        <v>45811.0</v>
      </c>
      <c r="J209" s="8" t="s">
        <v>3999</v>
      </c>
      <c r="K209" s="8" t="s">
        <v>2089</v>
      </c>
      <c r="L209" s="8">
        <v>2022.0</v>
      </c>
      <c r="M209" s="8"/>
      <c r="N209" s="8"/>
      <c r="O209" s="8"/>
      <c r="P209" s="8"/>
      <c r="Q209" s="9">
        <v>44808.0</v>
      </c>
      <c r="R209" s="8" t="s">
        <v>2090</v>
      </c>
      <c r="S209" s="8"/>
      <c r="T209" s="8"/>
      <c r="U209" s="8"/>
      <c r="V209" s="8"/>
      <c r="W209" s="8"/>
      <c r="X209" s="8"/>
      <c r="Y209" s="8" t="s">
        <v>2089</v>
      </c>
      <c r="Z209" s="8" t="s">
        <v>4000</v>
      </c>
      <c r="AA209" s="8"/>
      <c r="AB209" s="8"/>
      <c r="AC209" s="8"/>
      <c r="AD209" s="8" t="s">
        <v>2080</v>
      </c>
      <c r="AE209" s="8" t="s">
        <v>2080</v>
      </c>
      <c r="AF209" s="8"/>
      <c r="AG209" s="8"/>
      <c r="AH209" s="8" t="s">
        <v>4001</v>
      </c>
      <c r="AI209" s="8"/>
      <c r="AJ209" s="8" t="s">
        <v>4002</v>
      </c>
      <c r="AK209" s="8" t="s">
        <v>4003</v>
      </c>
      <c r="AL209" s="8"/>
      <c r="AM209" s="8" t="s">
        <v>2095</v>
      </c>
    </row>
    <row r="210" ht="14.25" customHeight="1">
      <c r="A210" s="8">
        <v>70.0</v>
      </c>
      <c r="B210" s="8" t="s">
        <v>4004</v>
      </c>
      <c r="C210" s="8"/>
      <c r="D210" s="8" t="s">
        <v>4005</v>
      </c>
      <c r="E210" s="8" t="s">
        <v>4006</v>
      </c>
      <c r="F210" s="8" t="s">
        <v>4007</v>
      </c>
      <c r="G210" s="8"/>
      <c r="H210" s="7">
        <v>44845.0</v>
      </c>
      <c r="I210" s="7">
        <v>44858.0</v>
      </c>
      <c r="J210" s="8" t="s">
        <v>4008</v>
      </c>
      <c r="K210" s="8" t="s">
        <v>2101</v>
      </c>
      <c r="L210" s="8">
        <v>2022.0</v>
      </c>
      <c r="M210" s="8">
        <v>10.0</v>
      </c>
      <c r="N210" s="8">
        <v>9.0</v>
      </c>
      <c r="O210" s="8"/>
      <c r="P210" s="8"/>
      <c r="Q210" s="9">
        <v>44805.0</v>
      </c>
      <c r="R210" s="8" t="s">
        <v>2075</v>
      </c>
      <c r="S210" s="8"/>
      <c r="T210" s="8"/>
      <c r="U210" s="8"/>
      <c r="V210" s="8"/>
      <c r="W210" s="8" t="s">
        <v>2102</v>
      </c>
      <c r="X210" s="8"/>
      <c r="Y210" s="8" t="s">
        <v>2103</v>
      </c>
      <c r="Z210" s="8" t="s">
        <v>4009</v>
      </c>
      <c r="AA210" s="8"/>
      <c r="AB210" s="8"/>
      <c r="AC210" s="8"/>
      <c r="AD210" s="8" t="s">
        <v>2080</v>
      </c>
      <c r="AE210" s="8" t="s">
        <v>2080</v>
      </c>
      <c r="AF210" s="8"/>
      <c r="AG210" s="8"/>
      <c r="AH210" s="8" t="s">
        <v>4010</v>
      </c>
      <c r="AI210" s="8" t="s">
        <v>4011</v>
      </c>
      <c r="AJ210" s="8" t="s">
        <v>4012</v>
      </c>
      <c r="AK210" s="8" t="s">
        <v>4013</v>
      </c>
      <c r="AL210" s="8" t="s">
        <v>4014</v>
      </c>
      <c r="AM210" s="8" t="s">
        <v>2249</v>
      </c>
    </row>
    <row r="211" ht="14.25" customHeight="1">
      <c r="A211" s="8">
        <v>71.0</v>
      </c>
      <c r="B211" s="8" t="s">
        <v>4015</v>
      </c>
      <c r="C211" s="8"/>
      <c r="D211" s="8" t="s">
        <v>4016</v>
      </c>
      <c r="E211" s="8" t="s">
        <v>4017</v>
      </c>
      <c r="F211" s="8" t="s">
        <v>4018</v>
      </c>
      <c r="G211" s="8"/>
      <c r="H211" s="7">
        <v>44797.0</v>
      </c>
      <c r="I211" s="7">
        <v>44813.0</v>
      </c>
      <c r="J211" s="8" t="s">
        <v>4019</v>
      </c>
      <c r="K211" s="8" t="s">
        <v>4020</v>
      </c>
      <c r="L211" s="8">
        <v>2022.0</v>
      </c>
      <c r="M211" s="8">
        <v>10.0</v>
      </c>
      <c r="N211" s="8">
        <v>24.0</v>
      </c>
      <c r="O211" s="8">
        <v>8463.0</v>
      </c>
      <c r="P211" s="8">
        <v>8473.0</v>
      </c>
      <c r="Q211" s="9">
        <v>44799.0</v>
      </c>
      <c r="R211" s="8" t="s">
        <v>2075</v>
      </c>
      <c r="S211" s="8"/>
      <c r="T211" s="8"/>
      <c r="U211" s="8"/>
      <c r="V211" s="8"/>
      <c r="W211" s="8" t="s">
        <v>4021</v>
      </c>
      <c r="X211" s="8"/>
      <c r="Y211" s="8" t="s">
        <v>4022</v>
      </c>
      <c r="Z211" s="8" t="s">
        <v>4023</v>
      </c>
      <c r="AA211" s="8"/>
      <c r="AB211" s="8"/>
      <c r="AC211" s="8"/>
      <c r="AD211" s="8" t="s">
        <v>2080</v>
      </c>
      <c r="AE211" s="8" t="s">
        <v>2080</v>
      </c>
      <c r="AF211" s="8"/>
      <c r="AG211" s="8"/>
      <c r="AH211" s="8" t="s">
        <v>4024</v>
      </c>
      <c r="AI211" s="8" t="s">
        <v>4025</v>
      </c>
      <c r="AJ211" s="8" t="s">
        <v>4026</v>
      </c>
      <c r="AK211" s="8" t="s">
        <v>4027</v>
      </c>
      <c r="AL211" s="8" t="s">
        <v>4028</v>
      </c>
      <c r="AM211" s="8" t="s">
        <v>2249</v>
      </c>
    </row>
    <row r="212" ht="14.25" customHeight="1">
      <c r="A212" s="8">
        <v>72.0</v>
      </c>
      <c r="B212" s="8" t="s">
        <v>4029</v>
      </c>
      <c r="C212" s="8"/>
      <c r="D212" s="8" t="s">
        <v>4030</v>
      </c>
      <c r="E212" s="8" t="s">
        <v>4031</v>
      </c>
      <c r="F212" s="8" t="s">
        <v>4032</v>
      </c>
      <c r="G212" s="8"/>
      <c r="H212" s="7">
        <v>44817.0</v>
      </c>
      <c r="I212" s="7">
        <v>44820.0</v>
      </c>
      <c r="J212" s="8" t="s">
        <v>4033</v>
      </c>
      <c r="K212" s="8" t="s">
        <v>4034</v>
      </c>
      <c r="L212" s="8">
        <v>2022.0</v>
      </c>
      <c r="M212" s="8">
        <v>12.0</v>
      </c>
      <c r="N212" s="8">
        <v>8.0</v>
      </c>
      <c r="O212" s="8"/>
      <c r="P212" s="8"/>
      <c r="Q212" s="9">
        <v>44792.0</v>
      </c>
      <c r="R212" s="8" t="s">
        <v>2075</v>
      </c>
      <c r="S212" s="8"/>
      <c r="T212" s="8"/>
      <c r="U212" s="8"/>
      <c r="V212" s="8"/>
      <c r="W212" s="8" t="s">
        <v>4035</v>
      </c>
      <c r="X212" s="8"/>
      <c r="Y212" s="8" t="s">
        <v>4036</v>
      </c>
      <c r="Z212" s="8" t="s">
        <v>4037</v>
      </c>
      <c r="AA212" s="8"/>
      <c r="AB212" s="8"/>
      <c r="AC212" s="8"/>
      <c r="AD212" s="8" t="s">
        <v>2080</v>
      </c>
      <c r="AE212" s="8" t="s">
        <v>2080</v>
      </c>
      <c r="AF212" s="8"/>
      <c r="AG212" s="8">
        <v>3.5985784E7</v>
      </c>
      <c r="AH212" s="8" t="s">
        <v>4038</v>
      </c>
      <c r="AI212" s="8" t="s">
        <v>4039</v>
      </c>
      <c r="AJ212" s="8" t="s">
        <v>4040</v>
      </c>
      <c r="AK212" s="8" t="s">
        <v>4041</v>
      </c>
      <c r="AL212" s="8" t="s">
        <v>4042</v>
      </c>
      <c r="AM212" s="8" t="s">
        <v>2249</v>
      </c>
    </row>
    <row r="213" ht="14.25" customHeight="1">
      <c r="A213" s="8">
        <v>73.0</v>
      </c>
      <c r="B213" s="8" t="s">
        <v>4043</v>
      </c>
      <c r="C213" s="8"/>
      <c r="D213" s="8"/>
      <c r="E213" s="8"/>
      <c r="F213" s="8"/>
      <c r="G213" s="8"/>
      <c r="H213" s="7">
        <v>45797.0</v>
      </c>
      <c r="I213" s="7">
        <v>45797.0</v>
      </c>
      <c r="J213" s="8" t="s">
        <v>4044</v>
      </c>
      <c r="K213" s="8" t="s">
        <v>2089</v>
      </c>
      <c r="L213" s="8">
        <v>2022.0</v>
      </c>
      <c r="M213" s="8"/>
      <c r="N213" s="8"/>
      <c r="O213" s="8"/>
      <c r="P213" s="8"/>
      <c r="Q213" s="9">
        <v>44776.0</v>
      </c>
      <c r="R213" s="8" t="s">
        <v>2090</v>
      </c>
      <c r="S213" s="8"/>
      <c r="T213" s="8"/>
      <c r="U213" s="8"/>
      <c r="V213" s="8"/>
      <c r="W213" s="8"/>
      <c r="X213" s="8"/>
      <c r="Y213" s="8" t="s">
        <v>2089</v>
      </c>
      <c r="Z213" s="8" t="s">
        <v>4045</v>
      </c>
      <c r="AA213" s="8"/>
      <c r="AB213" s="8"/>
      <c r="AC213" s="8"/>
      <c r="AD213" s="8" t="s">
        <v>2080</v>
      </c>
      <c r="AE213" s="8" t="s">
        <v>2080</v>
      </c>
      <c r="AF213" s="8"/>
      <c r="AG213" s="8"/>
      <c r="AH213" s="8" t="s">
        <v>4046</v>
      </c>
      <c r="AI213" s="8"/>
      <c r="AJ213" s="8" t="s">
        <v>4047</v>
      </c>
      <c r="AK213" s="8" t="s">
        <v>4048</v>
      </c>
      <c r="AL213" s="8"/>
      <c r="AM213" s="8" t="s">
        <v>2095</v>
      </c>
    </row>
    <row r="214" ht="14.25" customHeight="1">
      <c r="A214" s="8">
        <v>74.0</v>
      </c>
      <c r="B214" s="8" t="s">
        <v>4049</v>
      </c>
      <c r="C214" s="8"/>
      <c r="D214" s="8" t="s">
        <v>4050</v>
      </c>
      <c r="E214" s="8" t="s">
        <v>4051</v>
      </c>
      <c r="F214" s="8" t="s">
        <v>4052</v>
      </c>
      <c r="G214" s="8"/>
      <c r="H214" s="7">
        <v>44672.0</v>
      </c>
      <c r="I214" s="7">
        <v>44999.0</v>
      </c>
      <c r="J214" s="8" t="s">
        <v>4053</v>
      </c>
      <c r="K214" s="8" t="s">
        <v>4054</v>
      </c>
      <c r="L214" s="8">
        <v>2022.0</v>
      </c>
      <c r="M214" s="8">
        <v>29.0</v>
      </c>
      <c r="N214" s="8">
        <v>1.0</v>
      </c>
      <c r="O214" s="8"/>
      <c r="P214" s="8"/>
      <c r="Q214" s="9">
        <v>44713.0</v>
      </c>
      <c r="R214" s="8" t="s">
        <v>2075</v>
      </c>
      <c r="S214" s="8"/>
      <c r="T214" s="8"/>
      <c r="U214" s="8"/>
      <c r="V214" s="8"/>
      <c r="W214" s="8" t="s">
        <v>4055</v>
      </c>
      <c r="X214" s="8"/>
      <c r="Y214" s="8" t="s">
        <v>4056</v>
      </c>
      <c r="Z214" s="8" t="s">
        <v>4057</v>
      </c>
      <c r="AA214" s="8"/>
      <c r="AB214" s="8"/>
      <c r="AC214" s="8"/>
      <c r="AD214" s="8" t="s">
        <v>2080</v>
      </c>
      <c r="AE214" s="8" t="s">
        <v>2080</v>
      </c>
      <c r="AF214" s="8"/>
      <c r="AG214" s="8"/>
      <c r="AH214" s="8" t="s">
        <v>4058</v>
      </c>
      <c r="AI214" s="8" t="s">
        <v>4059</v>
      </c>
      <c r="AJ214" s="8" t="s">
        <v>4060</v>
      </c>
      <c r="AK214" s="8" t="s">
        <v>4061</v>
      </c>
      <c r="AL214" s="8" t="s">
        <v>4062</v>
      </c>
      <c r="AM214" s="8" t="s">
        <v>2162</v>
      </c>
    </row>
    <row r="215" ht="14.25" customHeight="1">
      <c r="A215" s="8">
        <v>75.0</v>
      </c>
      <c r="B215" s="8" t="s">
        <v>2272</v>
      </c>
      <c r="C215" s="8"/>
      <c r="D215" s="8"/>
      <c r="E215" s="8"/>
      <c r="F215" s="8"/>
      <c r="G215" s="8"/>
      <c r="H215" s="7">
        <v>45810.0</v>
      </c>
      <c r="I215" s="7">
        <v>45810.0</v>
      </c>
      <c r="J215" s="8" t="s">
        <v>2273</v>
      </c>
      <c r="K215" s="8" t="s">
        <v>2089</v>
      </c>
      <c r="L215" s="8">
        <v>2022.0</v>
      </c>
      <c r="M215" s="8"/>
      <c r="N215" s="8"/>
      <c r="O215" s="8"/>
      <c r="P215" s="8"/>
      <c r="Q215" s="9">
        <v>44655.0</v>
      </c>
      <c r="R215" s="8" t="s">
        <v>2090</v>
      </c>
      <c r="S215" s="8"/>
      <c r="T215" s="8"/>
      <c r="U215" s="8"/>
      <c r="V215" s="8"/>
      <c r="W215" s="8"/>
      <c r="X215" s="8"/>
      <c r="Y215" s="8" t="s">
        <v>2089</v>
      </c>
      <c r="Z215" s="8" t="s">
        <v>2274</v>
      </c>
      <c r="AA215" s="8"/>
      <c r="AB215" s="8"/>
      <c r="AC215" s="8"/>
      <c r="AD215" s="8" t="s">
        <v>2080</v>
      </c>
      <c r="AE215" s="8" t="s">
        <v>2080</v>
      </c>
      <c r="AF215" s="8"/>
      <c r="AG215" s="8"/>
      <c r="AH215" s="8" t="s">
        <v>2275</v>
      </c>
      <c r="AI215" s="8"/>
      <c r="AJ215" s="8" t="s">
        <v>2276</v>
      </c>
      <c r="AK215" s="8" t="s">
        <v>2277</v>
      </c>
      <c r="AL215" s="8"/>
      <c r="AM215" s="8" t="s">
        <v>2095</v>
      </c>
    </row>
    <row r="216" ht="14.25" customHeight="1">
      <c r="A216" s="8">
        <v>76.0</v>
      </c>
      <c r="B216" s="8" t="s">
        <v>2278</v>
      </c>
      <c r="C216" s="8"/>
      <c r="D216" s="8"/>
      <c r="E216" s="8"/>
      <c r="F216" s="8"/>
      <c r="G216" s="8"/>
      <c r="H216" s="7">
        <v>45809.0</v>
      </c>
      <c r="I216" s="7">
        <v>45809.0</v>
      </c>
      <c r="J216" s="8" t="s">
        <v>2279</v>
      </c>
      <c r="K216" s="8" t="s">
        <v>2089</v>
      </c>
      <c r="L216" s="8">
        <v>2022.0</v>
      </c>
      <c r="M216" s="8"/>
      <c r="N216" s="8"/>
      <c r="O216" s="8"/>
      <c r="P216" s="8"/>
      <c r="Q216" s="9">
        <v>44606.0</v>
      </c>
      <c r="R216" s="8" t="s">
        <v>2090</v>
      </c>
      <c r="S216" s="8"/>
      <c r="T216" s="8"/>
      <c r="U216" s="8"/>
      <c r="V216" s="8"/>
      <c r="W216" s="8"/>
      <c r="X216" s="8"/>
      <c r="Y216" s="8" t="s">
        <v>2089</v>
      </c>
      <c r="Z216" s="8" t="s">
        <v>2280</v>
      </c>
      <c r="AA216" s="8"/>
      <c r="AB216" s="8"/>
      <c r="AC216" s="8"/>
      <c r="AD216" s="8" t="s">
        <v>2080</v>
      </c>
      <c r="AE216" s="8" t="s">
        <v>2080</v>
      </c>
      <c r="AF216" s="8"/>
      <c r="AG216" s="8"/>
      <c r="AH216" s="8" t="s">
        <v>2281</v>
      </c>
      <c r="AI216" s="8"/>
      <c r="AJ216" s="8" t="s">
        <v>2282</v>
      </c>
      <c r="AK216" s="8" t="s">
        <v>2283</v>
      </c>
      <c r="AL216" s="8"/>
      <c r="AM216" s="8" t="s">
        <v>2095</v>
      </c>
    </row>
    <row r="217" ht="14.25" customHeight="1">
      <c r="A217" s="8">
        <v>77.0</v>
      </c>
      <c r="B217" s="8" t="s">
        <v>1147</v>
      </c>
      <c r="C217" s="8"/>
      <c r="D217" s="8" t="s">
        <v>4063</v>
      </c>
      <c r="E217" s="8" t="s">
        <v>4064</v>
      </c>
      <c r="F217" s="8" t="s">
        <v>4065</v>
      </c>
      <c r="G217" s="8"/>
      <c r="H217" s="7">
        <v>44286.0</v>
      </c>
      <c r="I217" s="7">
        <v>44613.0</v>
      </c>
      <c r="J217" s="8" t="s">
        <v>4066</v>
      </c>
      <c r="K217" s="8" t="s">
        <v>2369</v>
      </c>
      <c r="L217" s="8">
        <v>2022.0</v>
      </c>
      <c r="M217" s="8">
        <v>142.0</v>
      </c>
      <c r="N217" s="8">
        <v>2.0</v>
      </c>
      <c r="O217" s="8">
        <v>281.0</v>
      </c>
      <c r="P217" s="8">
        <v>289.0</v>
      </c>
      <c r="Q217" s="9">
        <v>44593.0</v>
      </c>
      <c r="R217" s="8" t="s">
        <v>2075</v>
      </c>
      <c r="S217" s="8"/>
      <c r="T217" s="8"/>
      <c r="U217" s="8"/>
      <c r="V217" s="8"/>
      <c r="W217" s="8" t="s">
        <v>2370</v>
      </c>
      <c r="X217" s="8"/>
      <c r="Y217" s="8" t="s">
        <v>2357</v>
      </c>
      <c r="Z217" s="8" t="s">
        <v>4067</v>
      </c>
      <c r="AA217" s="8"/>
      <c r="AB217" s="8"/>
      <c r="AC217" s="8"/>
      <c r="AD217" s="8" t="s">
        <v>2080</v>
      </c>
      <c r="AE217" s="8" t="s">
        <v>2080</v>
      </c>
      <c r="AF217" s="8"/>
      <c r="AG217" s="8">
        <v>3.3742222E7</v>
      </c>
      <c r="AH217" s="8" t="s">
        <v>4068</v>
      </c>
      <c r="AI217" s="8" t="s">
        <v>1152</v>
      </c>
      <c r="AJ217" s="8" t="s">
        <v>4069</v>
      </c>
      <c r="AK217" s="8" t="s">
        <v>4070</v>
      </c>
      <c r="AL217" s="8" t="s">
        <v>4071</v>
      </c>
      <c r="AM217" s="8" t="s">
        <v>2249</v>
      </c>
    </row>
    <row r="218" ht="14.25" customHeight="1">
      <c r="A218" s="8">
        <v>78.0</v>
      </c>
      <c r="B218" s="8" t="s">
        <v>2284</v>
      </c>
      <c r="C218" s="8"/>
      <c r="D218" s="8" t="s">
        <v>2285</v>
      </c>
      <c r="E218" s="8" t="s">
        <v>2286</v>
      </c>
      <c r="F218" s="8" t="s">
        <v>2287</v>
      </c>
      <c r="G218" s="8"/>
      <c r="H218" s="7">
        <v>44761.0</v>
      </c>
      <c r="I218" s="7">
        <v>44764.0</v>
      </c>
      <c r="J218" s="8" t="s">
        <v>2288</v>
      </c>
      <c r="K218" s="8" t="s">
        <v>2101</v>
      </c>
      <c r="L218" s="8">
        <v>2022.0</v>
      </c>
      <c r="M218" s="8">
        <v>10.0</v>
      </c>
      <c r="N218" s="8">
        <v>2.0</v>
      </c>
      <c r="O218" s="8"/>
      <c r="P218" s="8"/>
      <c r="Q218" s="9">
        <v>44593.0</v>
      </c>
      <c r="R218" s="8" t="s">
        <v>2075</v>
      </c>
      <c r="S218" s="8"/>
      <c r="T218" s="8"/>
      <c r="U218" s="8"/>
      <c r="V218" s="8"/>
      <c r="W218" s="8" t="s">
        <v>2102</v>
      </c>
      <c r="X218" s="8"/>
      <c r="Y218" s="8" t="s">
        <v>2103</v>
      </c>
      <c r="Z218" s="8" t="s">
        <v>2289</v>
      </c>
      <c r="AA218" s="8"/>
      <c r="AB218" s="8"/>
      <c r="AC218" s="8" t="s">
        <v>2290</v>
      </c>
      <c r="AD218" s="8" t="s">
        <v>2080</v>
      </c>
      <c r="AE218" s="8" t="s">
        <v>2080</v>
      </c>
      <c r="AF218" s="8"/>
      <c r="AG218" s="8"/>
      <c r="AH218" s="8" t="s">
        <v>2291</v>
      </c>
      <c r="AI218" s="8" t="s">
        <v>2292</v>
      </c>
      <c r="AJ218" s="8" t="s">
        <v>2293</v>
      </c>
      <c r="AK218" s="8" t="s">
        <v>2294</v>
      </c>
      <c r="AL218" s="8" t="s">
        <v>2295</v>
      </c>
      <c r="AM218" s="8" t="s">
        <v>2249</v>
      </c>
    </row>
    <row r="219" ht="14.25" customHeight="1">
      <c r="A219" s="8">
        <v>79.0</v>
      </c>
      <c r="B219" s="8" t="s">
        <v>4072</v>
      </c>
      <c r="C219" s="8" t="s">
        <v>4073</v>
      </c>
      <c r="D219" s="8" t="s">
        <v>4074</v>
      </c>
      <c r="E219" s="8" t="s">
        <v>4075</v>
      </c>
      <c r="F219" s="8" t="s">
        <v>4076</v>
      </c>
      <c r="G219" s="8"/>
      <c r="H219" s="7">
        <v>44946.0</v>
      </c>
      <c r="I219" s="7">
        <v>44956.0</v>
      </c>
      <c r="J219" s="8" t="s">
        <v>4077</v>
      </c>
      <c r="K219" s="8" t="s">
        <v>4078</v>
      </c>
      <c r="L219" s="8">
        <v>2022.0</v>
      </c>
      <c r="M219" s="8">
        <v>89.0</v>
      </c>
      <c r="N219" s="8">
        <v>4.0</v>
      </c>
      <c r="O219" s="8">
        <v>279.0</v>
      </c>
      <c r="P219" s="8">
        <v>285.0</v>
      </c>
      <c r="Q219" s="8">
        <v>2022.0</v>
      </c>
      <c r="R219" s="8" t="s">
        <v>2075</v>
      </c>
      <c r="S219" s="8"/>
      <c r="T219" s="8"/>
      <c r="U219" s="8"/>
      <c r="V219" s="8"/>
      <c r="W219" s="8" t="s">
        <v>4079</v>
      </c>
      <c r="X219" s="8"/>
      <c r="Y219" s="8" t="s">
        <v>4080</v>
      </c>
      <c r="Z219" s="8" t="s">
        <v>4081</v>
      </c>
      <c r="AA219" s="8"/>
      <c r="AB219" s="8"/>
      <c r="AC219" s="8"/>
      <c r="AD219" s="8" t="s">
        <v>4082</v>
      </c>
      <c r="AE219" s="8" t="s">
        <v>2080</v>
      </c>
      <c r="AF219" s="8"/>
      <c r="AG219" s="8">
        <v>3.6055668E7</v>
      </c>
      <c r="AH219" s="8" t="s">
        <v>4083</v>
      </c>
      <c r="AI219" s="8"/>
      <c r="AJ219" s="8"/>
      <c r="AK219" s="8" t="s">
        <v>4084</v>
      </c>
      <c r="AL219" s="8" t="s">
        <v>4085</v>
      </c>
      <c r="AM219" s="8" t="s">
        <v>2162</v>
      </c>
    </row>
    <row r="220" ht="14.25" customHeight="1">
      <c r="A220" s="8">
        <v>80.0</v>
      </c>
      <c r="B220" s="8" t="s">
        <v>4086</v>
      </c>
      <c r="C220" s="8"/>
      <c r="D220" s="8" t="s">
        <v>4087</v>
      </c>
      <c r="E220" s="8" t="s">
        <v>4088</v>
      </c>
      <c r="F220" s="8"/>
      <c r="G220" s="8"/>
      <c r="H220" s="7">
        <v>44943.0</v>
      </c>
      <c r="I220" s="7">
        <v>44994.0</v>
      </c>
      <c r="J220" s="8" t="s">
        <v>4089</v>
      </c>
      <c r="K220" s="8" t="s">
        <v>2301</v>
      </c>
      <c r="L220" s="8">
        <v>2022.0</v>
      </c>
      <c r="M220" s="8">
        <v>13.0</v>
      </c>
      <c r="N220" s="8"/>
      <c r="O220" s="8">
        <v>8301.0</v>
      </c>
      <c r="P220" s="8">
        <v>8315.0</v>
      </c>
      <c r="Q220" s="8">
        <v>2022.0</v>
      </c>
      <c r="R220" s="8" t="s">
        <v>2075</v>
      </c>
      <c r="S220" s="8"/>
      <c r="T220" s="8"/>
      <c r="U220" s="8"/>
      <c r="V220" s="8"/>
      <c r="W220" s="8" t="s">
        <v>2302</v>
      </c>
      <c r="X220" s="8"/>
      <c r="Y220" s="8" t="s">
        <v>2303</v>
      </c>
      <c r="Z220" s="8" t="s">
        <v>4090</v>
      </c>
      <c r="AA220" s="8"/>
      <c r="AB220" s="8"/>
      <c r="AC220" s="8"/>
      <c r="AD220" s="8" t="s">
        <v>2080</v>
      </c>
      <c r="AE220" s="8" t="s">
        <v>2080</v>
      </c>
      <c r="AF220" s="8"/>
      <c r="AG220" s="8"/>
      <c r="AH220" s="8" t="s">
        <v>4091</v>
      </c>
      <c r="AI220" s="8" t="s">
        <v>4092</v>
      </c>
      <c r="AJ220" s="8" t="s">
        <v>4093</v>
      </c>
      <c r="AK220" s="8" t="s">
        <v>4094</v>
      </c>
      <c r="AL220" s="8" t="s">
        <v>4095</v>
      </c>
      <c r="AM220" s="8" t="s">
        <v>2162</v>
      </c>
    </row>
    <row r="221" ht="14.25" customHeight="1">
      <c r="A221" s="8">
        <v>81.0</v>
      </c>
      <c r="B221" s="8" t="s">
        <v>2296</v>
      </c>
      <c r="C221" s="8"/>
      <c r="D221" s="8" t="s">
        <v>2297</v>
      </c>
      <c r="E221" s="8" t="s">
        <v>2298</v>
      </c>
      <c r="F221" s="8" t="s">
        <v>2299</v>
      </c>
      <c r="G221" s="8"/>
      <c r="H221" s="7">
        <v>44943.0</v>
      </c>
      <c r="I221" s="7">
        <v>44957.0</v>
      </c>
      <c r="J221" s="8" t="s">
        <v>2300</v>
      </c>
      <c r="K221" s="8" t="s">
        <v>2301</v>
      </c>
      <c r="L221" s="8">
        <v>2022.0</v>
      </c>
      <c r="M221" s="8">
        <v>13.0</v>
      </c>
      <c r="N221" s="8"/>
      <c r="O221" s="8">
        <v>9034.0</v>
      </c>
      <c r="P221" s="8">
        <v>9040.0</v>
      </c>
      <c r="Q221" s="8">
        <v>2022.0</v>
      </c>
      <c r="R221" s="8" t="s">
        <v>2075</v>
      </c>
      <c r="S221" s="8"/>
      <c r="T221" s="8"/>
      <c r="U221" s="8"/>
      <c r="V221" s="8"/>
      <c r="W221" s="8" t="s">
        <v>2302</v>
      </c>
      <c r="X221" s="8"/>
      <c r="Y221" s="8" t="s">
        <v>2303</v>
      </c>
      <c r="Z221" s="8" t="s">
        <v>2304</v>
      </c>
      <c r="AA221" s="8"/>
      <c r="AB221" s="8"/>
      <c r="AC221" s="8"/>
      <c r="AD221" s="8" t="s">
        <v>2080</v>
      </c>
      <c r="AE221" s="8" t="s">
        <v>2080</v>
      </c>
      <c r="AF221" s="8"/>
      <c r="AG221" s="8"/>
      <c r="AH221" s="8" t="s">
        <v>2305</v>
      </c>
      <c r="AI221" s="8" t="s">
        <v>2306</v>
      </c>
      <c r="AJ221" s="8" t="s">
        <v>2307</v>
      </c>
      <c r="AK221" s="8" t="s">
        <v>2308</v>
      </c>
      <c r="AL221" s="8" t="s">
        <v>2309</v>
      </c>
      <c r="AM221" s="8" t="s">
        <v>2162</v>
      </c>
    </row>
    <row r="222" ht="14.25" customHeight="1">
      <c r="A222" s="8">
        <v>82.0</v>
      </c>
      <c r="B222" s="8" t="s">
        <v>4096</v>
      </c>
      <c r="C222" s="8"/>
      <c r="D222" s="8" t="s">
        <v>4097</v>
      </c>
      <c r="E222" s="8" t="s">
        <v>4098</v>
      </c>
      <c r="F222" s="8" t="s">
        <v>4099</v>
      </c>
      <c r="G222" s="8"/>
      <c r="H222" s="7">
        <v>44327.0</v>
      </c>
      <c r="I222" s="7">
        <v>44343.0</v>
      </c>
      <c r="J222" s="8" t="s">
        <v>4100</v>
      </c>
      <c r="K222" s="8" t="s">
        <v>3496</v>
      </c>
      <c r="L222" s="8">
        <v>2021.0</v>
      </c>
      <c r="M222" s="8">
        <v>22.0</v>
      </c>
      <c r="N222" s="8">
        <v>1.0</v>
      </c>
      <c r="O222" s="8"/>
      <c r="P222" s="8"/>
      <c r="Q222" s="9">
        <v>44531.0</v>
      </c>
      <c r="R222" s="8" t="s">
        <v>2075</v>
      </c>
      <c r="S222" s="8"/>
      <c r="T222" s="8"/>
      <c r="U222" s="8"/>
      <c r="V222" s="8"/>
      <c r="W222" s="8" t="s">
        <v>3497</v>
      </c>
      <c r="X222" s="8"/>
      <c r="Y222" s="8" t="s">
        <v>3498</v>
      </c>
      <c r="Z222" s="8" t="s">
        <v>4101</v>
      </c>
      <c r="AA222" s="8"/>
      <c r="AB222" s="8"/>
      <c r="AC222" s="8"/>
      <c r="AD222" s="8" t="s">
        <v>2080</v>
      </c>
      <c r="AE222" s="8" t="s">
        <v>2080</v>
      </c>
      <c r="AF222" s="8"/>
      <c r="AG222" s="8">
        <v>3.3931067E7</v>
      </c>
      <c r="AH222" s="8" t="s">
        <v>4102</v>
      </c>
      <c r="AI222" s="8" t="s">
        <v>4103</v>
      </c>
      <c r="AJ222" s="8" t="s">
        <v>4104</v>
      </c>
      <c r="AK222" s="8" t="s">
        <v>4105</v>
      </c>
      <c r="AL222" s="8" t="s">
        <v>4106</v>
      </c>
      <c r="AM222" s="8" t="s">
        <v>2349</v>
      </c>
    </row>
    <row r="223" ht="14.25" customHeight="1">
      <c r="A223" s="8">
        <v>83.0</v>
      </c>
      <c r="B223" s="8" t="s">
        <v>4107</v>
      </c>
      <c r="C223" s="8"/>
      <c r="D223" s="8" t="s">
        <v>4108</v>
      </c>
      <c r="E223" s="8" t="s">
        <v>4109</v>
      </c>
      <c r="F223" s="8" t="s">
        <v>4110</v>
      </c>
      <c r="G223" s="8"/>
      <c r="H223" s="7">
        <v>44333.0</v>
      </c>
      <c r="I223" s="7">
        <v>44420.0</v>
      </c>
      <c r="J223" s="8" t="s">
        <v>4111</v>
      </c>
      <c r="K223" s="8" t="s">
        <v>4112</v>
      </c>
      <c r="L223" s="8">
        <v>2021.0</v>
      </c>
      <c r="M223" s="8">
        <v>13.0</v>
      </c>
      <c r="N223" s="8">
        <v>1.0</v>
      </c>
      <c r="O223" s="8"/>
      <c r="P223" s="8"/>
      <c r="Q223" s="9">
        <v>44531.0</v>
      </c>
      <c r="R223" s="8" t="s">
        <v>2075</v>
      </c>
      <c r="S223" s="8"/>
      <c r="T223" s="8"/>
      <c r="U223" s="8"/>
      <c r="V223" s="8"/>
      <c r="W223" s="8" t="s">
        <v>4113</v>
      </c>
      <c r="X223" s="8"/>
      <c r="Y223" s="8" t="s">
        <v>3498</v>
      </c>
      <c r="Z223" s="8" t="s">
        <v>4114</v>
      </c>
      <c r="AA223" s="8"/>
      <c r="AB223" s="8"/>
      <c r="AC223" s="8"/>
      <c r="AD223" s="8" t="s">
        <v>2080</v>
      </c>
      <c r="AE223" s="8" t="s">
        <v>2080</v>
      </c>
      <c r="AF223" s="8"/>
      <c r="AG223" s="8"/>
      <c r="AH223" s="8" t="s">
        <v>4115</v>
      </c>
      <c r="AI223" s="8" t="s">
        <v>4116</v>
      </c>
      <c r="AJ223" s="8" t="s">
        <v>4117</v>
      </c>
      <c r="AK223" s="8" t="s">
        <v>4118</v>
      </c>
      <c r="AL223" s="8" t="s">
        <v>4119</v>
      </c>
      <c r="AM223" s="8" t="s">
        <v>2349</v>
      </c>
    </row>
    <row r="224" ht="14.25" customHeight="1">
      <c r="A224" s="8">
        <v>84.0</v>
      </c>
      <c r="B224" s="8" t="s">
        <v>1140</v>
      </c>
      <c r="C224" s="8"/>
      <c r="D224" s="8" t="s">
        <v>4120</v>
      </c>
      <c r="E224" s="8" t="s">
        <v>4121</v>
      </c>
      <c r="F224" s="8" t="s">
        <v>4122</v>
      </c>
      <c r="G224" s="8"/>
      <c r="H224" s="7">
        <v>44420.0</v>
      </c>
      <c r="I224" s="8"/>
      <c r="J224" s="8" t="s">
        <v>4123</v>
      </c>
      <c r="K224" s="8" t="s">
        <v>3496</v>
      </c>
      <c r="L224" s="8">
        <v>2021.0</v>
      </c>
      <c r="M224" s="8">
        <v>22.0</v>
      </c>
      <c r="N224" s="8">
        <v>1.0</v>
      </c>
      <c r="O224" s="8"/>
      <c r="P224" s="8"/>
      <c r="Q224" s="9">
        <v>44531.0</v>
      </c>
      <c r="R224" s="8" t="s">
        <v>2075</v>
      </c>
      <c r="S224" s="8"/>
      <c r="T224" s="8"/>
      <c r="U224" s="8"/>
      <c r="V224" s="8"/>
      <c r="W224" s="8" t="s">
        <v>3497</v>
      </c>
      <c r="X224" s="8"/>
      <c r="Y224" s="8" t="s">
        <v>3498</v>
      </c>
      <c r="Z224" s="8" t="s">
        <v>4124</v>
      </c>
      <c r="AA224" s="8"/>
      <c r="AB224" s="8"/>
      <c r="AC224" s="8"/>
      <c r="AD224" s="8" t="s">
        <v>2080</v>
      </c>
      <c r="AE224" s="8" t="s">
        <v>2080</v>
      </c>
      <c r="AF224" s="8"/>
      <c r="AG224" s="8">
        <v>3.4348704E7</v>
      </c>
      <c r="AH224" s="8" t="s">
        <v>4125</v>
      </c>
      <c r="AI224" s="8" t="s">
        <v>1146</v>
      </c>
      <c r="AJ224" s="8" t="s">
        <v>4126</v>
      </c>
      <c r="AK224" s="8" t="s">
        <v>4127</v>
      </c>
      <c r="AL224" s="8" t="s">
        <v>4128</v>
      </c>
      <c r="AM224" s="8" t="s">
        <v>2349</v>
      </c>
    </row>
    <row r="225" ht="14.25" customHeight="1">
      <c r="A225" s="8">
        <v>85.0</v>
      </c>
      <c r="B225" s="8" t="s">
        <v>1153</v>
      </c>
      <c r="C225" s="8"/>
      <c r="D225" s="8" t="s">
        <v>4129</v>
      </c>
      <c r="E225" s="8" t="s">
        <v>4130</v>
      </c>
      <c r="F225" s="8" t="s">
        <v>4131</v>
      </c>
      <c r="G225" s="8"/>
      <c r="H225" s="7">
        <v>44259.0</v>
      </c>
      <c r="I225" s="7">
        <v>44657.0</v>
      </c>
      <c r="J225" s="8" t="s">
        <v>4132</v>
      </c>
      <c r="K225" s="8" t="s">
        <v>3728</v>
      </c>
      <c r="L225" s="8">
        <v>2021.0</v>
      </c>
      <c r="M225" s="8">
        <v>31.0</v>
      </c>
      <c r="N225" s="8">
        <v>7.0</v>
      </c>
      <c r="O225" s="8">
        <v>1477.0</v>
      </c>
      <c r="P225" s="8">
        <v>1483.0</v>
      </c>
      <c r="Q225" s="9">
        <v>44470.0</v>
      </c>
      <c r="R225" s="8" t="s">
        <v>2075</v>
      </c>
      <c r="S225" s="8"/>
      <c r="T225" s="8"/>
      <c r="U225" s="8"/>
      <c r="V225" s="8"/>
      <c r="W225" s="8" t="s">
        <v>3729</v>
      </c>
      <c r="X225" s="8"/>
      <c r="Y225" s="8" t="s">
        <v>4133</v>
      </c>
      <c r="Z225" s="8" t="s">
        <v>4134</v>
      </c>
      <c r="AA225" s="8"/>
      <c r="AB225" s="8"/>
      <c r="AC225" s="8"/>
      <c r="AD225" s="8" t="s">
        <v>2080</v>
      </c>
      <c r="AE225" s="8" t="s">
        <v>2080</v>
      </c>
      <c r="AF225" s="8"/>
      <c r="AG225" s="8">
        <v>3.3634332E7</v>
      </c>
      <c r="AH225" s="8" t="s">
        <v>4135</v>
      </c>
      <c r="AI225" s="8" t="s">
        <v>1157</v>
      </c>
      <c r="AJ225" s="8" t="s">
        <v>4136</v>
      </c>
      <c r="AK225" s="8" t="s">
        <v>4137</v>
      </c>
      <c r="AL225" s="8" t="s">
        <v>4138</v>
      </c>
      <c r="AM225" s="8" t="s">
        <v>2249</v>
      </c>
    </row>
    <row r="226" ht="14.25" customHeight="1">
      <c r="A226" s="8">
        <v>86.0</v>
      </c>
      <c r="B226" s="8" t="s">
        <v>4139</v>
      </c>
      <c r="C226" s="8"/>
      <c r="D226" s="8" t="s">
        <v>4140</v>
      </c>
      <c r="E226" s="8" t="s">
        <v>4141</v>
      </c>
      <c r="F226" s="8" t="s">
        <v>4142</v>
      </c>
      <c r="G226" s="8"/>
      <c r="H226" s="7">
        <v>44377.0</v>
      </c>
      <c r="I226" s="7">
        <v>44427.0</v>
      </c>
      <c r="J226" s="8" t="s">
        <v>4143</v>
      </c>
      <c r="K226" s="8" t="s">
        <v>4144</v>
      </c>
      <c r="L226" s="8">
        <v>2021.0</v>
      </c>
      <c r="M226" s="8">
        <v>3.0</v>
      </c>
      <c r="N226" s="8">
        <v>4.0</v>
      </c>
      <c r="O226" s="8" t="s">
        <v>4145</v>
      </c>
      <c r="P226" s="8" t="s">
        <v>4146</v>
      </c>
      <c r="Q226" s="9">
        <v>44409.0</v>
      </c>
      <c r="R226" s="8" t="s">
        <v>2075</v>
      </c>
      <c r="S226" s="8"/>
      <c r="T226" s="8"/>
      <c r="U226" s="8"/>
      <c r="V226" s="8"/>
      <c r="W226" s="8" t="s">
        <v>4147</v>
      </c>
      <c r="X226" s="8"/>
      <c r="Y226" s="8" t="s">
        <v>4148</v>
      </c>
      <c r="Z226" s="8" t="s">
        <v>4149</v>
      </c>
      <c r="AA226" s="8"/>
      <c r="AB226" s="8"/>
      <c r="AC226" s="8"/>
      <c r="AD226" s="8" t="s">
        <v>2080</v>
      </c>
      <c r="AE226" s="8" t="s">
        <v>2080</v>
      </c>
      <c r="AF226" s="8"/>
      <c r="AG226" s="8"/>
      <c r="AH226" s="8" t="s">
        <v>4150</v>
      </c>
      <c r="AI226" s="8" t="s">
        <v>4151</v>
      </c>
      <c r="AJ226" s="8" t="s">
        <v>4152</v>
      </c>
      <c r="AK226" s="8" t="s">
        <v>4153</v>
      </c>
      <c r="AL226" s="8" t="s">
        <v>4154</v>
      </c>
      <c r="AM226" s="8" t="s">
        <v>2162</v>
      </c>
    </row>
    <row r="227" ht="14.25" customHeight="1">
      <c r="A227" s="8">
        <v>87.0</v>
      </c>
      <c r="B227" s="8" t="s">
        <v>4155</v>
      </c>
      <c r="C227" s="8"/>
      <c r="D227" s="8"/>
      <c r="E227" s="8"/>
      <c r="F227" s="8"/>
      <c r="G227" s="8"/>
      <c r="H227" s="7">
        <v>45782.0</v>
      </c>
      <c r="I227" s="7">
        <v>45782.0</v>
      </c>
      <c r="J227" s="8" t="s">
        <v>2317</v>
      </c>
      <c r="K227" s="8" t="s">
        <v>2089</v>
      </c>
      <c r="L227" s="8">
        <v>2021.0</v>
      </c>
      <c r="M227" s="8"/>
      <c r="N227" s="8"/>
      <c r="O227" s="8"/>
      <c r="P227" s="8"/>
      <c r="Q227" s="9">
        <v>44374.0</v>
      </c>
      <c r="R227" s="8" t="s">
        <v>2090</v>
      </c>
      <c r="S227" s="8"/>
      <c r="T227" s="8"/>
      <c r="U227" s="8"/>
      <c r="V227" s="8"/>
      <c r="W227" s="8"/>
      <c r="X227" s="8"/>
      <c r="Y227" s="8" t="s">
        <v>2089</v>
      </c>
      <c r="Z227" s="8" t="s">
        <v>4156</v>
      </c>
      <c r="AA227" s="8"/>
      <c r="AB227" s="8"/>
      <c r="AC227" s="8"/>
      <c r="AD227" s="8" t="s">
        <v>2080</v>
      </c>
      <c r="AE227" s="8" t="s">
        <v>2080</v>
      </c>
      <c r="AF227" s="8"/>
      <c r="AG227" s="8"/>
      <c r="AH227" s="8" t="s">
        <v>4157</v>
      </c>
      <c r="AI227" s="8"/>
      <c r="AJ227" s="8" t="s">
        <v>4158</v>
      </c>
      <c r="AK227" s="8" t="s">
        <v>4159</v>
      </c>
      <c r="AL227" s="8"/>
      <c r="AM227" s="8" t="s">
        <v>2095</v>
      </c>
    </row>
    <row r="228" ht="14.25" customHeight="1">
      <c r="A228" s="8">
        <v>88.0</v>
      </c>
      <c r="B228" s="8" t="s">
        <v>4160</v>
      </c>
      <c r="C228" s="8"/>
      <c r="D228" s="8"/>
      <c r="E228" s="8"/>
      <c r="F228" s="8"/>
      <c r="G228" s="8"/>
      <c r="H228" s="7">
        <v>45805.0</v>
      </c>
      <c r="I228" s="7">
        <v>45805.0</v>
      </c>
      <c r="J228" s="8" t="s">
        <v>4161</v>
      </c>
      <c r="K228" s="8" t="s">
        <v>2089</v>
      </c>
      <c r="L228" s="8">
        <v>2021.0</v>
      </c>
      <c r="M228" s="8"/>
      <c r="N228" s="8"/>
      <c r="O228" s="8"/>
      <c r="P228" s="8"/>
      <c r="Q228" s="9">
        <v>44358.0</v>
      </c>
      <c r="R228" s="8" t="s">
        <v>2090</v>
      </c>
      <c r="S228" s="8"/>
      <c r="T228" s="8"/>
      <c r="U228" s="8"/>
      <c r="V228" s="8"/>
      <c r="W228" s="8"/>
      <c r="X228" s="8"/>
      <c r="Y228" s="8" t="s">
        <v>2089</v>
      </c>
      <c r="Z228" s="8" t="s">
        <v>4162</v>
      </c>
      <c r="AA228" s="8"/>
      <c r="AB228" s="8"/>
      <c r="AC228" s="8"/>
      <c r="AD228" s="8" t="s">
        <v>2080</v>
      </c>
      <c r="AE228" s="8" t="s">
        <v>2080</v>
      </c>
      <c r="AF228" s="8"/>
      <c r="AG228" s="8"/>
      <c r="AH228" s="8" t="s">
        <v>4163</v>
      </c>
      <c r="AI228" s="8"/>
      <c r="AJ228" s="8" t="s">
        <v>4164</v>
      </c>
      <c r="AK228" s="8" t="s">
        <v>4165</v>
      </c>
      <c r="AL228" s="8"/>
      <c r="AM228" s="8" t="s">
        <v>2095</v>
      </c>
    </row>
    <row r="229" ht="14.25" customHeight="1">
      <c r="A229" s="8">
        <v>89.0</v>
      </c>
      <c r="B229" s="8" t="s">
        <v>194</v>
      </c>
      <c r="C229" s="8"/>
      <c r="D229" s="8" t="s">
        <v>2322</v>
      </c>
      <c r="E229" s="8" t="s">
        <v>2323</v>
      </c>
      <c r="F229" s="8"/>
      <c r="G229" s="8"/>
      <c r="H229" s="7">
        <v>44330.0</v>
      </c>
      <c r="I229" s="7">
        <v>44396.0</v>
      </c>
      <c r="J229" s="8" t="s">
        <v>2324</v>
      </c>
      <c r="K229" s="8" t="s">
        <v>2128</v>
      </c>
      <c r="L229" s="8">
        <v>2021.0</v>
      </c>
      <c r="M229" s="8">
        <v>49.0</v>
      </c>
      <c r="N229" s="8">
        <v>7.0</v>
      </c>
      <c r="O229" s="8">
        <v>1777.0</v>
      </c>
      <c r="P229" s="8">
        <v>1785.0</v>
      </c>
      <c r="Q229" s="9">
        <v>44348.0</v>
      </c>
      <c r="R229" s="8" t="s">
        <v>2075</v>
      </c>
      <c r="S229" s="8"/>
      <c r="T229" s="8"/>
      <c r="U229" s="8"/>
      <c r="V229" s="8"/>
      <c r="W229" s="8" t="s">
        <v>2129</v>
      </c>
      <c r="X229" s="8"/>
      <c r="Y229" s="8" t="s">
        <v>2325</v>
      </c>
      <c r="Z229" s="8" t="s">
        <v>2326</v>
      </c>
      <c r="AA229" s="8"/>
      <c r="AB229" s="8"/>
      <c r="AC229" s="8" t="s">
        <v>2327</v>
      </c>
      <c r="AD229" s="8" t="s">
        <v>2080</v>
      </c>
      <c r="AE229" s="8" t="s">
        <v>2080</v>
      </c>
      <c r="AF229" s="8"/>
      <c r="AG229" s="8">
        <v>3.3945339E7</v>
      </c>
      <c r="AH229" s="8" t="s">
        <v>2328</v>
      </c>
      <c r="AI229" s="8" t="s">
        <v>198</v>
      </c>
      <c r="AJ229" s="8" t="s">
        <v>2329</v>
      </c>
      <c r="AK229" s="8" t="s">
        <v>2330</v>
      </c>
      <c r="AL229" s="8" t="s">
        <v>2331</v>
      </c>
      <c r="AM229" s="8" t="s">
        <v>2136</v>
      </c>
    </row>
    <row r="230" ht="14.25" customHeight="1">
      <c r="A230" s="8">
        <v>90.0</v>
      </c>
      <c r="B230" s="8" t="s">
        <v>4166</v>
      </c>
      <c r="C230" s="8"/>
      <c r="D230" s="8"/>
      <c r="E230" s="8"/>
      <c r="F230" s="8"/>
      <c r="G230" s="8"/>
      <c r="H230" s="7">
        <v>45805.0</v>
      </c>
      <c r="I230" s="7">
        <v>45805.0</v>
      </c>
      <c r="J230" s="8" t="s">
        <v>4167</v>
      </c>
      <c r="K230" s="8" t="s">
        <v>2089</v>
      </c>
      <c r="L230" s="8">
        <v>2021.0</v>
      </c>
      <c r="M230" s="8"/>
      <c r="N230" s="8"/>
      <c r="O230" s="8"/>
      <c r="P230" s="8"/>
      <c r="Q230" s="9">
        <v>44341.0</v>
      </c>
      <c r="R230" s="8" t="s">
        <v>2090</v>
      </c>
      <c r="S230" s="8"/>
      <c r="T230" s="8"/>
      <c r="U230" s="8"/>
      <c r="V230" s="8"/>
      <c r="W230" s="8"/>
      <c r="X230" s="8"/>
      <c r="Y230" s="8" t="s">
        <v>2089</v>
      </c>
      <c r="Z230" s="8" t="s">
        <v>4168</v>
      </c>
      <c r="AA230" s="8"/>
      <c r="AB230" s="8"/>
      <c r="AC230" s="8"/>
      <c r="AD230" s="8" t="s">
        <v>2080</v>
      </c>
      <c r="AE230" s="8" t="s">
        <v>2080</v>
      </c>
      <c r="AF230" s="8"/>
      <c r="AG230" s="8"/>
      <c r="AH230" s="8" t="s">
        <v>4169</v>
      </c>
      <c r="AI230" s="8"/>
      <c r="AJ230" s="8" t="s">
        <v>4170</v>
      </c>
      <c r="AK230" s="8" t="s">
        <v>4171</v>
      </c>
      <c r="AL230" s="8"/>
      <c r="AM230" s="8" t="s">
        <v>2095</v>
      </c>
    </row>
    <row r="231" ht="14.25" customHeight="1">
      <c r="A231" s="8">
        <v>91.0</v>
      </c>
      <c r="B231" s="8" t="s">
        <v>2332</v>
      </c>
      <c r="C231" s="8"/>
      <c r="D231" s="8"/>
      <c r="E231" s="8"/>
      <c r="F231" s="8"/>
      <c r="G231" s="8"/>
      <c r="H231" s="7">
        <v>45807.0</v>
      </c>
      <c r="I231" s="7">
        <v>45807.0</v>
      </c>
      <c r="J231" s="8" t="s">
        <v>2333</v>
      </c>
      <c r="K231" s="8" t="s">
        <v>2089</v>
      </c>
      <c r="L231" s="8">
        <v>2021.0</v>
      </c>
      <c r="M231" s="8"/>
      <c r="N231" s="8"/>
      <c r="O231" s="8"/>
      <c r="P231" s="8"/>
      <c r="Q231" s="9">
        <v>44328.0</v>
      </c>
      <c r="R231" s="8" t="s">
        <v>2090</v>
      </c>
      <c r="S231" s="8"/>
      <c r="T231" s="8"/>
      <c r="U231" s="8"/>
      <c r="V231" s="8"/>
      <c r="W231" s="8"/>
      <c r="X231" s="8"/>
      <c r="Y231" s="8" t="s">
        <v>2089</v>
      </c>
      <c r="Z231" s="8" t="s">
        <v>2334</v>
      </c>
      <c r="AA231" s="8"/>
      <c r="AB231" s="8"/>
      <c r="AC231" s="8"/>
      <c r="AD231" s="8" t="s">
        <v>2080</v>
      </c>
      <c r="AE231" s="8" t="s">
        <v>2080</v>
      </c>
      <c r="AF231" s="8"/>
      <c r="AG231" s="8"/>
      <c r="AH231" s="8" t="s">
        <v>2335</v>
      </c>
      <c r="AI231" s="8"/>
      <c r="AJ231" s="8" t="s">
        <v>2336</v>
      </c>
      <c r="AK231" s="8" t="s">
        <v>2337</v>
      </c>
      <c r="AL231" s="8"/>
      <c r="AM231" s="8" t="s">
        <v>2095</v>
      </c>
    </row>
    <row r="232" ht="14.25" customHeight="1">
      <c r="A232" s="8">
        <v>92.0</v>
      </c>
      <c r="B232" s="8" t="s">
        <v>4172</v>
      </c>
      <c r="C232" s="8"/>
      <c r="D232" s="8" t="s">
        <v>4173</v>
      </c>
      <c r="E232" s="8" t="s">
        <v>4174</v>
      </c>
      <c r="F232" s="8" t="s">
        <v>4175</v>
      </c>
      <c r="G232" s="8"/>
      <c r="H232" s="7">
        <v>44036.0</v>
      </c>
      <c r="I232" s="7">
        <v>44329.0</v>
      </c>
      <c r="J232" s="8" t="s">
        <v>4176</v>
      </c>
      <c r="K232" s="8" t="s">
        <v>4177</v>
      </c>
      <c r="L232" s="8">
        <v>2021.0</v>
      </c>
      <c r="M232" s="8">
        <v>39.0</v>
      </c>
      <c r="N232" s="8">
        <v>5.0</v>
      </c>
      <c r="O232" s="8">
        <v>1041.0</v>
      </c>
      <c r="P232" s="8">
        <v>1051.0</v>
      </c>
      <c r="Q232" s="9">
        <v>44317.0</v>
      </c>
      <c r="R232" s="8" t="s">
        <v>2075</v>
      </c>
      <c r="S232" s="8"/>
      <c r="T232" s="8"/>
      <c r="U232" s="8"/>
      <c r="V232" s="8"/>
      <c r="W232" s="8" t="s">
        <v>4178</v>
      </c>
      <c r="X232" s="8"/>
      <c r="Y232" s="8" t="s">
        <v>3512</v>
      </c>
      <c r="Z232" s="8" t="s">
        <v>4179</v>
      </c>
      <c r="AA232" s="8"/>
      <c r="AB232" s="8"/>
      <c r="AC232" s="8"/>
      <c r="AD232" s="8" t="s">
        <v>2080</v>
      </c>
      <c r="AE232" s="8" t="s">
        <v>2080</v>
      </c>
      <c r="AF232" s="8"/>
      <c r="AG232" s="8">
        <v>3.263961E7</v>
      </c>
      <c r="AH232" s="8" t="s">
        <v>4180</v>
      </c>
      <c r="AI232" s="8" t="s">
        <v>4181</v>
      </c>
      <c r="AJ232" s="8" t="s">
        <v>4182</v>
      </c>
      <c r="AK232" s="8" t="s">
        <v>4183</v>
      </c>
      <c r="AL232" s="8" t="s">
        <v>4184</v>
      </c>
      <c r="AM232" s="8" t="s">
        <v>2349</v>
      </c>
    </row>
    <row r="233" ht="14.25" customHeight="1">
      <c r="A233" s="8">
        <v>93.0</v>
      </c>
      <c r="B233" s="8" t="s">
        <v>4185</v>
      </c>
      <c r="C233" s="8"/>
      <c r="D233" s="8" t="s">
        <v>4186</v>
      </c>
      <c r="E233" s="8" t="s">
        <v>4187</v>
      </c>
      <c r="F233" s="8" t="s">
        <v>4188</v>
      </c>
      <c r="G233" s="8"/>
      <c r="H233" s="7">
        <v>44203.0</v>
      </c>
      <c r="I233" s="7">
        <v>44344.0</v>
      </c>
      <c r="J233" s="8" t="s">
        <v>4189</v>
      </c>
      <c r="K233" s="8" t="s">
        <v>2241</v>
      </c>
      <c r="L233" s="8">
        <v>2021.0</v>
      </c>
      <c r="M233" s="8">
        <v>37.0</v>
      </c>
      <c r="N233" s="8">
        <v>2.0</v>
      </c>
      <c r="O233" s="8">
        <v>579.0</v>
      </c>
      <c r="P233" s="8">
        <v>585.0</v>
      </c>
      <c r="Q233" s="9">
        <v>44228.0</v>
      </c>
      <c r="R233" s="8" t="s">
        <v>2075</v>
      </c>
      <c r="S233" s="8"/>
      <c r="T233" s="8"/>
      <c r="U233" s="8"/>
      <c r="V233" s="8"/>
      <c r="W233" s="8" t="s">
        <v>2242</v>
      </c>
      <c r="X233" s="8"/>
      <c r="Y233" s="8" t="s">
        <v>2243</v>
      </c>
      <c r="Z233" s="8" t="s">
        <v>4190</v>
      </c>
      <c r="AA233" s="8"/>
      <c r="AB233" s="8"/>
      <c r="AC233" s="8"/>
      <c r="AD233" s="8" t="s">
        <v>2080</v>
      </c>
      <c r="AE233" s="8" t="s">
        <v>2080</v>
      </c>
      <c r="AF233" s="8"/>
      <c r="AG233" s="8">
        <v>3.2828934E7</v>
      </c>
      <c r="AH233" s="8" t="s">
        <v>4191</v>
      </c>
      <c r="AI233" s="8" t="s">
        <v>1174</v>
      </c>
      <c r="AJ233" s="8" t="s">
        <v>4192</v>
      </c>
      <c r="AK233" s="8" t="s">
        <v>4193</v>
      </c>
      <c r="AL233" s="8" t="s">
        <v>4194</v>
      </c>
      <c r="AM233" s="8" t="s">
        <v>2349</v>
      </c>
    </row>
    <row r="234" ht="14.25" customHeight="1">
      <c r="A234" s="8">
        <v>94.0</v>
      </c>
      <c r="B234" s="8" t="s">
        <v>4195</v>
      </c>
      <c r="C234" s="8"/>
      <c r="D234" s="8"/>
      <c r="E234" s="8"/>
      <c r="F234" s="8"/>
      <c r="G234" s="8"/>
      <c r="H234" s="7">
        <v>45782.0</v>
      </c>
      <c r="I234" s="7">
        <v>45782.0</v>
      </c>
      <c r="J234" s="8" t="s">
        <v>4196</v>
      </c>
      <c r="K234" s="8" t="s">
        <v>2089</v>
      </c>
      <c r="L234" s="8">
        <v>2021.0</v>
      </c>
      <c r="M234" s="8"/>
      <c r="N234" s="8"/>
      <c r="O234" s="8"/>
      <c r="P234" s="8"/>
      <c r="Q234" s="9">
        <v>44202.0</v>
      </c>
      <c r="R234" s="8" t="s">
        <v>2090</v>
      </c>
      <c r="S234" s="8"/>
      <c r="T234" s="8"/>
      <c r="U234" s="8"/>
      <c r="V234" s="8"/>
      <c r="W234" s="8"/>
      <c r="X234" s="8"/>
      <c r="Y234" s="8" t="s">
        <v>2089</v>
      </c>
      <c r="Z234" s="8" t="s">
        <v>4197</v>
      </c>
      <c r="AA234" s="8"/>
      <c r="AB234" s="8"/>
      <c r="AC234" s="8"/>
      <c r="AD234" s="8" t="s">
        <v>2080</v>
      </c>
      <c r="AE234" s="8" t="s">
        <v>2080</v>
      </c>
      <c r="AF234" s="8"/>
      <c r="AG234" s="8"/>
      <c r="AH234" s="8" t="s">
        <v>4198</v>
      </c>
      <c r="AI234" s="8"/>
      <c r="AJ234" s="8" t="s">
        <v>4199</v>
      </c>
      <c r="AK234" s="8" t="s">
        <v>4200</v>
      </c>
      <c r="AL234" s="8"/>
      <c r="AM234" s="8" t="s">
        <v>2095</v>
      </c>
    </row>
    <row r="235" ht="14.25" customHeight="1">
      <c r="A235" s="8">
        <v>95.0</v>
      </c>
      <c r="B235" s="8" t="s">
        <v>4201</v>
      </c>
      <c r="C235" s="8"/>
      <c r="D235" s="8" t="s">
        <v>4202</v>
      </c>
      <c r="E235" s="8" t="s">
        <v>4203</v>
      </c>
      <c r="F235" s="8" t="s">
        <v>4204</v>
      </c>
      <c r="G235" s="8"/>
      <c r="H235" s="7">
        <v>44168.0</v>
      </c>
      <c r="I235" s="7">
        <v>44168.0</v>
      </c>
      <c r="J235" s="8" t="s">
        <v>4205</v>
      </c>
      <c r="K235" s="8" t="s">
        <v>4206</v>
      </c>
      <c r="L235" s="8">
        <v>2021.0</v>
      </c>
      <c r="M235" s="8">
        <v>81.0</v>
      </c>
      <c r="N235" s="8"/>
      <c r="O235" s="8"/>
      <c r="P235" s="8"/>
      <c r="Q235" s="9">
        <v>44197.0</v>
      </c>
      <c r="R235" s="8" t="s">
        <v>2075</v>
      </c>
      <c r="S235" s="8"/>
      <c r="T235" s="8"/>
      <c r="U235" s="8"/>
      <c r="V235" s="8"/>
      <c r="W235" s="8" t="s">
        <v>4207</v>
      </c>
      <c r="X235" s="8"/>
      <c r="Y235" s="8" t="s">
        <v>2077</v>
      </c>
      <c r="Z235" s="8" t="s">
        <v>4208</v>
      </c>
      <c r="AA235" s="8"/>
      <c r="AB235" s="8"/>
      <c r="AC235" s="8" t="s">
        <v>2617</v>
      </c>
      <c r="AD235" s="8" t="s">
        <v>2080</v>
      </c>
      <c r="AE235" s="8" t="s">
        <v>2080</v>
      </c>
      <c r="AF235" s="8"/>
      <c r="AG235" s="8">
        <v>3.3246796E7</v>
      </c>
      <c r="AH235" s="8" t="s">
        <v>4209</v>
      </c>
      <c r="AI235" s="8" t="s">
        <v>4210</v>
      </c>
      <c r="AJ235" s="8" t="s">
        <v>4211</v>
      </c>
      <c r="AK235" s="8" t="s">
        <v>4212</v>
      </c>
      <c r="AL235" s="8" t="s">
        <v>4213</v>
      </c>
      <c r="AM235" s="8" t="s">
        <v>2349</v>
      </c>
    </row>
    <row r="236" ht="14.25" customHeight="1">
      <c r="A236" s="8">
        <v>96.0</v>
      </c>
      <c r="B236" s="8" t="s">
        <v>2338</v>
      </c>
      <c r="C236" s="8"/>
      <c r="D236" s="8" t="s">
        <v>2339</v>
      </c>
      <c r="E236" s="8" t="s">
        <v>2340</v>
      </c>
      <c r="F236" s="8" t="s">
        <v>2341</v>
      </c>
      <c r="G236" s="8"/>
      <c r="H236" s="7">
        <v>44468.0</v>
      </c>
      <c r="I236" s="7">
        <v>44489.0</v>
      </c>
      <c r="J236" s="8" t="s">
        <v>2342</v>
      </c>
      <c r="K236" s="8" t="s">
        <v>2101</v>
      </c>
      <c r="L236" s="8">
        <v>2021.0</v>
      </c>
      <c r="M236" s="8">
        <v>9.0</v>
      </c>
      <c r="N236" s="8">
        <v>9.0</v>
      </c>
      <c r="O236" s="8"/>
      <c r="P236" s="8"/>
      <c r="Q236" s="8">
        <v>2021.0</v>
      </c>
      <c r="R236" s="8" t="s">
        <v>2075</v>
      </c>
      <c r="S236" s="8"/>
      <c r="T236" s="8"/>
      <c r="U236" s="8"/>
      <c r="V236" s="8"/>
      <c r="W236" s="8" t="s">
        <v>2102</v>
      </c>
      <c r="X236" s="8"/>
      <c r="Y236" s="8" t="s">
        <v>2103</v>
      </c>
      <c r="Z236" s="8" t="s">
        <v>2343</v>
      </c>
      <c r="AA236" s="8"/>
      <c r="AB236" s="8"/>
      <c r="AC236" s="8"/>
      <c r="AD236" s="8" t="s">
        <v>2080</v>
      </c>
      <c r="AE236" s="8" t="s">
        <v>2080</v>
      </c>
      <c r="AF236" s="8"/>
      <c r="AG236" s="8"/>
      <c r="AH236" s="8" t="s">
        <v>2344</v>
      </c>
      <c r="AI236" s="8" t="s">
        <v>2345</v>
      </c>
      <c r="AJ236" s="8" t="s">
        <v>2346</v>
      </c>
      <c r="AK236" s="8" t="s">
        <v>2347</v>
      </c>
      <c r="AL236" s="8" t="s">
        <v>2348</v>
      </c>
      <c r="AM236" s="8" t="s">
        <v>2349</v>
      </c>
    </row>
    <row r="237" ht="14.25" customHeight="1">
      <c r="A237" s="8">
        <v>97.0</v>
      </c>
      <c r="B237" s="8" t="s">
        <v>4214</v>
      </c>
      <c r="C237" s="8" t="s">
        <v>4215</v>
      </c>
      <c r="D237" s="8" t="s">
        <v>4216</v>
      </c>
      <c r="E237" s="8" t="s">
        <v>4217</v>
      </c>
      <c r="F237" s="8" t="s">
        <v>4218</v>
      </c>
      <c r="G237" s="8"/>
      <c r="H237" s="7">
        <v>44530.0</v>
      </c>
      <c r="I237" s="7">
        <v>44544.0</v>
      </c>
      <c r="J237" s="8" t="s">
        <v>4219</v>
      </c>
      <c r="K237" s="8" t="s">
        <v>4220</v>
      </c>
      <c r="L237" s="8">
        <v>2021.0</v>
      </c>
      <c r="M237" s="8">
        <v>78.0</v>
      </c>
      <c r="N237" s="8">
        <v>10.0</v>
      </c>
      <c r="O237" s="8">
        <v>1053.0</v>
      </c>
      <c r="P237" s="8">
        <v>1059.0</v>
      </c>
      <c r="Q237" s="8">
        <v>2021.0</v>
      </c>
      <c r="R237" s="8" t="s">
        <v>2075</v>
      </c>
      <c r="S237" s="8"/>
      <c r="T237" s="8"/>
      <c r="U237" s="8"/>
      <c r="V237" s="8"/>
      <c r="W237" s="8" t="s">
        <v>4221</v>
      </c>
      <c r="X237" s="8"/>
      <c r="Y237" s="8" t="s">
        <v>4222</v>
      </c>
      <c r="Z237" s="8" t="s">
        <v>4223</v>
      </c>
      <c r="AA237" s="8" t="s">
        <v>3259</v>
      </c>
      <c r="AB237" s="8"/>
      <c r="AC237" s="8"/>
      <c r="AD237" s="8" t="s">
        <v>2080</v>
      </c>
      <c r="AE237" s="8" t="s">
        <v>4224</v>
      </c>
      <c r="AF237" s="8"/>
      <c r="AG237" s="8"/>
      <c r="AH237" s="8" t="s">
        <v>4225</v>
      </c>
      <c r="AI237" s="8" t="s">
        <v>4226</v>
      </c>
      <c r="AJ237" s="8" t="s">
        <v>4227</v>
      </c>
      <c r="AK237" s="8" t="s">
        <v>4228</v>
      </c>
      <c r="AL237" s="8" t="s">
        <v>4229</v>
      </c>
      <c r="AM237" s="8" t="s">
        <v>2349</v>
      </c>
    </row>
    <row r="238" ht="14.25" customHeight="1">
      <c r="A238" s="8">
        <v>98.0</v>
      </c>
      <c r="B238" s="8" t="s">
        <v>4230</v>
      </c>
      <c r="C238" s="8" t="s">
        <v>4231</v>
      </c>
      <c r="D238" s="8" t="s">
        <v>4232</v>
      </c>
      <c r="E238" s="8" t="s">
        <v>4233</v>
      </c>
      <c r="F238" s="8" t="s">
        <v>4234</v>
      </c>
      <c r="G238" s="8"/>
      <c r="H238" s="7">
        <v>44754.0</v>
      </c>
      <c r="I238" s="7">
        <v>44789.0</v>
      </c>
      <c r="J238" s="8" t="s">
        <v>4235</v>
      </c>
      <c r="K238" s="8" t="s">
        <v>4078</v>
      </c>
      <c r="L238" s="8">
        <v>2021.0</v>
      </c>
      <c r="M238" s="8">
        <v>88.0</v>
      </c>
      <c r="N238" s="8">
        <v>6.0</v>
      </c>
      <c r="O238" s="8">
        <v>423.0</v>
      </c>
      <c r="P238" s="8">
        <v>427.0</v>
      </c>
      <c r="Q238" s="8">
        <v>2021.0</v>
      </c>
      <c r="R238" s="8" t="s">
        <v>2075</v>
      </c>
      <c r="S238" s="8"/>
      <c r="T238" s="8"/>
      <c r="U238" s="8"/>
      <c r="V238" s="8"/>
      <c r="W238" s="8" t="s">
        <v>4079</v>
      </c>
      <c r="X238" s="8"/>
      <c r="Y238" s="8" t="s">
        <v>4080</v>
      </c>
      <c r="Z238" s="8" t="s">
        <v>4236</v>
      </c>
      <c r="AA238" s="8"/>
      <c r="AB238" s="8"/>
      <c r="AC238" s="8"/>
      <c r="AD238" s="8" t="s">
        <v>2080</v>
      </c>
      <c r="AE238" s="8" t="s">
        <v>2080</v>
      </c>
      <c r="AF238" s="8"/>
      <c r="AG238" s="8">
        <v>3.4998445E7</v>
      </c>
      <c r="AH238" s="8" t="s">
        <v>4237</v>
      </c>
      <c r="AI238" s="8"/>
      <c r="AJ238" s="8"/>
      <c r="AK238" s="8" t="s">
        <v>4238</v>
      </c>
      <c r="AL238" s="8" t="s">
        <v>4239</v>
      </c>
      <c r="AM238" s="8" t="s">
        <v>2249</v>
      </c>
    </row>
    <row r="239" ht="14.25" customHeight="1">
      <c r="A239" s="8">
        <v>99.0</v>
      </c>
      <c r="B239" s="8" t="s">
        <v>1158</v>
      </c>
      <c r="C239" s="8"/>
      <c r="D239" s="8" t="s">
        <v>4240</v>
      </c>
      <c r="E239" s="8" t="s">
        <v>4241</v>
      </c>
      <c r="F239" s="8"/>
      <c r="G239" s="8"/>
      <c r="H239" s="7">
        <v>44236.0</v>
      </c>
      <c r="I239" s="7">
        <v>44358.0</v>
      </c>
      <c r="J239" s="8" t="s">
        <v>4242</v>
      </c>
      <c r="K239" s="8" t="s">
        <v>4243</v>
      </c>
      <c r="L239" s="8">
        <v>2021.0</v>
      </c>
      <c r="M239" s="8">
        <v>32.0</v>
      </c>
      <c r="N239" s="8">
        <v>1.0</v>
      </c>
      <c r="O239" s="8">
        <v>129.0</v>
      </c>
      <c r="P239" s="8">
        <v>136.0</v>
      </c>
      <c r="Q239" s="8">
        <v>2021.0</v>
      </c>
      <c r="R239" s="8" t="s">
        <v>2075</v>
      </c>
      <c r="S239" s="8"/>
      <c r="T239" s="8"/>
      <c r="U239" s="8"/>
      <c r="V239" s="8"/>
      <c r="W239" s="8" t="s">
        <v>4244</v>
      </c>
      <c r="X239" s="8"/>
      <c r="Y239" s="8" t="s">
        <v>2325</v>
      </c>
      <c r="Z239" s="8" t="s">
        <v>4245</v>
      </c>
      <c r="AA239" s="8"/>
      <c r="AB239" s="8"/>
      <c r="AC239" s="8"/>
      <c r="AD239" s="8" t="s">
        <v>2080</v>
      </c>
      <c r="AE239" s="8" t="s">
        <v>2080</v>
      </c>
      <c r="AF239" s="8"/>
      <c r="AG239" s="8">
        <v>3.3463428E7</v>
      </c>
      <c r="AH239" s="8" t="s">
        <v>4246</v>
      </c>
      <c r="AI239" s="8" t="s">
        <v>1164</v>
      </c>
      <c r="AJ239" s="8" t="s">
        <v>4247</v>
      </c>
      <c r="AK239" s="8" t="s">
        <v>4248</v>
      </c>
      <c r="AL239" s="8" t="s">
        <v>4249</v>
      </c>
      <c r="AM239" s="8" t="s">
        <v>2136</v>
      </c>
    </row>
    <row r="240" ht="14.25" customHeight="1">
      <c r="A240" s="8">
        <v>100.0</v>
      </c>
      <c r="B240" s="8" t="s">
        <v>4250</v>
      </c>
      <c r="C240" s="8"/>
      <c r="D240" s="8"/>
      <c r="E240" s="8"/>
      <c r="F240" s="8"/>
      <c r="G240" s="8"/>
      <c r="H240" s="7">
        <v>45800.0</v>
      </c>
      <c r="I240" s="7">
        <v>45800.0</v>
      </c>
      <c r="J240" s="8" t="s">
        <v>4251</v>
      </c>
      <c r="K240" s="8" t="s">
        <v>2089</v>
      </c>
      <c r="L240" s="8">
        <v>2020.0</v>
      </c>
      <c r="M240" s="8"/>
      <c r="N240" s="8"/>
      <c r="O240" s="8"/>
      <c r="P240" s="8"/>
      <c r="Q240" s="9">
        <v>44182.0</v>
      </c>
      <c r="R240" s="8" t="s">
        <v>2090</v>
      </c>
      <c r="S240" s="8"/>
      <c r="T240" s="8"/>
      <c r="U240" s="8"/>
      <c r="V240" s="8"/>
      <c r="W240" s="8"/>
      <c r="X240" s="8"/>
      <c r="Y240" s="8" t="s">
        <v>2089</v>
      </c>
      <c r="Z240" s="8" t="s">
        <v>4252</v>
      </c>
      <c r="AA240" s="8"/>
      <c r="AB240" s="8"/>
      <c r="AC240" s="8"/>
      <c r="AD240" s="8" t="s">
        <v>2080</v>
      </c>
      <c r="AE240" s="8" t="s">
        <v>2080</v>
      </c>
      <c r="AF240" s="8"/>
      <c r="AG240" s="8"/>
      <c r="AH240" s="8" t="s">
        <v>4253</v>
      </c>
      <c r="AI240" s="8"/>
      <c r="AJ240" s="8" t="s">
        <v>4254</v>
      </c>
      <c r="AK240" s="8" t="s">
        <v>4255</v>
      </c>
      <c r="AL240" s="8"/>
      <c r="AM240" s="8" t="s">
        <v>2095</v>
      </c>
    </row>
    <row r="241" ht="14.25" customHeight="1">
      <c r="A241" s="8">
        <v>101.0</v>
      </c>
      <c r="B241" s="8" t="s">
        <v>4256</v>
      </c>
      <c r="C241" s="8"/>
      <c r="D241" s="8"/>
      <c r="E241" s="8"/>
      <c r="F241" s="8"/>
      <c r="G241" s="8"/>
      <c r="H241" s="7">
        <v>45808.0</v>
      </c>
      <c r="I241" s="7">
        <v>45808.0</v>
      </c>
      <c r="J241" s="8" t="s">
        <v>4257</v>
      </c>
      <c r="K241" s="8" t="s">
        <v>2089</v>
      </c>
      <c r="L241" s="8">
        <v>2020.0</v>
      </c>
      <c r="M241" s="8"/>
      <c r="N241" s="8"/>
      <c r="O241" s="8"/>
      <c r="P241" s="8"/>
      <c r="Q241" s="9">
        <v>44126.0</v>
      </c>
      <c r="R241" s="8" t="s">
        <v>2090</v>
      </c>
      <c r="S241" s="8"/>
      <c r="T241" s="8"/>
      <c r="U241" s="8"/>
      <c r="V241" s="8"/>
      <c r="W241" s="8"/>
      <c r="X241" s="8"/>
      <c r="Y241" s="8" t="s">
        <v>2089</v>
      </c>
      <c r="Z241" s="8" t="s">
        <v>4258</v>
      </c>
      <c r="AA241" s="8"/>
      <c r="AB241" s="8"/>
      <c r="AC241" s="8"/>
      <c r="AD241" s="8" t="s">
        <v>2080</v>
      </c>
      <c r="AE241" s="8" t="s">
        <v>2080</v>
      </c>
      <c r="AF241" s="8"/>
      <c r="AG241" s="8"/>
      <c r="AH241" s="8" t="s">
        <v>4259</v>
      </c>
      <c r="AI241" s="8"/>
      <c r="AJ241" s="8" t="s">
        <v>4260</v>
      </c>
      <c r="AK241" s="8" t="s">
        <v>4261</v>
      </c>
      <c r="AL241" s="8"/>
      <c r="AM241" s="8" t="s">
        <v>2095</v>
      </c>
    </row>
    <row r="242" ht="14.25" customHeight="1">
      <c r="A242" s="8">
        <v>102.0</v>
      </c>
      <c r="B242" s="8" t="s">
        <v>1165</v>
      </c>
      <c r="C242" s="8"/>
      <c r="D242" s="8" t="s">
        <v>4262</v>
      </c>
      <c r="E242" s="8" t="s">
        <v>4263</v>
      </c>
      <c r="F242" s="8"/>
      <c r="G242" s="8"/>
      <c r="H242" s="7">
        <v>44092.0</v>
      </c>
      <c r="I242" s="7">
        <v>44229.0</v>
      </c>
      <c r="J242" s="8" t="s">
        <v>4264</v>
      </c>
      <c r="K242" s="8" t="s">
        <v>2128</v>
      </c>
      <c r="L242" s="8">
        <v>2020.0</v>
      </c>
      <c r="M242" s="8">
        <v>48.0</v>
      </c>
      <c r="N242" s="8">
        <v>12.0</v>
      </c>
      <c r="O242" s="8">
        <v>2970.0</v>
      </c>
      <c r="P242" s="8">
        <v>2977.0</v>
      </c>
      <c r="Q242" s="9">
        <v>44105.0</v>
      </c>
      <c r="R242" s="8" t="s">
        <v>2075</v>
      </c>
      <c r="S242" s="8"/>
      <c r="T242" s="8"/>
      <c r="U242" s="8"/>
      <c r="V242" s="8"/>
      <c r="W242" s="8" t="s">
        <v>2129</v>
      </c>
      <c r="X242" s="8"/>
      <c r="Y242" s="8" t="s">
        <v>2325</v>
      </c>
      <c r="Z242" s="8" t="s">
        <v>4265</v>
      </c>
      <c r="AA242" s="8"/>
      <c r="AB242" s="8"/>
      <c r="AC242" s="8"/>
      <c r="AD242" s="8" t="s">
        <v>2080</v>
      </c>
      <c r="AE242" s="8" t="s">
        <v>2080</v>
      </c>
      <c r="AF242" s="8"/>
      <c r="AG242" s="8">
        <v>3.2909826E7</v>
      </c>
      <c r="AH242" s="8" t="s">
        <v>4266</v>
      </c>
      <c r="AI242" s="8" t="s">
        <v>1169</v>
      </c>
      <c r="AJ242" s="8" t="s">
        <v>4267</v>
      </c>
      <c r="AK242" s="8" t="s">
        <v>4268</v>
      </c>
      <c r="AL242" s="8" t="s">
        <v>4269</v>
      </c>
      <c r="AM242" s="8" t="s">
        <v>2136</v>
      </c>
    </row>
    <row r="243" ht="14.25" customHeight="1">
      <c r="A243" s="8">
        <v>103.0</v>
      </c>
      <c r="B243" s="8" t="s">
        <v>4270</v>
      </c>
      <c r="C243" s="8"/>
      <c r="D243" s="8"/>
      <c r="E243" s="8"/>
      <c r="F243" s="8"/>
      <c r="G243" s="8"/>
      <c r="H243" s="7">
        <v>45799.0</v>
      </c>
      <c r="I243" s="7">
        <v>45799.0</v>
      </c>
      <c r="J243" s="8" t="s">
        <v>4271</v>
      </c>
      <c r="K243" s="8" t="s">
        <v>2089</v>
      </c>
      <c r="L243" s="8">
        <v>2020.0</v>
      </c>
      <c r="M243" s="8"/>
      <c r="N243" s="8"/>
      <c r="O243" s="8"/>
      <c r="P243" s="8"/>
      <c r="Q243" s="9">
        <v>44069.0</v>
      </c>
      <c r="R243" s="8" t="s">
        <v>2090</v>
      </c>
      <c r="S243" s="8"/>
      <c r="T243" s="8"/>
      <c r="U243" s="8"/>
      <c r="V243" s="8"/>
      <c r="W243" s="8"/>
      <c r="X243" s="8"/>
      <c r="Y243" s="8" t="s">
        <v>2089</v>
      </c>
      <c r="Z243" s="8" t="s">
        <v>4272</v>
      </c>
      <c r="AA243" s="8"/>
      <c r="AB243" s="8"/>
      <c r="AC243" s="8"/>
      <c r="AD243" s="8" t="s">
        <v>2080</v>
      </c>
      <c r="AE243" s="8" t="s">
        <v>2080</v>
      </c>
      <c r="AF243" s="8"/>
      <c r="AG243" s="8"/>
      <c r="AH243" s="8" t="s">
        <v>4273</v>
      </c>
      <c r="AI243" s="8"/>
      <c r="AJ243" s="8" t="s">
        <v>4274</v>
      </c>
      <c r="AK243" s="8" t="s">
        <v>4275</v>
      </c>
      <c r="AL243" s="8"/>
      <c r="AM243" s="8" t="s">
        <v>2095</v>
      </c>
    </row>
    <row r="244" ht="14.25" customHeight="1">
      <c r="A244" s="8">
        <v>104.0</v>
      </c>
      <c r="B244" s="8" t="s">
        <v>1175</v>
      </c>
      <c r="C244" s="8"/>
      <c r="D244" s="8" t="s">
        <v>4276</v>
      </c>
      <c r="E244" s="8" t="s">
        <v>4277</v>
      </c>
      <c r="F244" s="8"/>
      <c r="G244" s="8"/>
      <c r="H244" s="7">
        <v>44042.0</v>
      </c>
      <c r="I244" s="7">
        <v>44197.0</v>
      </c>
      <c r="J244" s="8" t="s">
        <v>4278</v>
      </c>
      <c r="K244" s="8" t="s">
        <v>2550</v>
      </c>
      <c r="L244" s="8">
        <v>2020.0</v>
      </c>
      <c r="M244" s="8">
        <v>28.0</v>
      </c>
      <c r="N244" s="8">
        <v>8.0</v>
      </c>
      <c r="O244" s="8">
        <v>2468.0</v>
      </c>
      <c r="P244" s="8">
        <v>2477.0</v>
      </c>
      <c r="Q244" s="9">
        <v>44044.0</v>
      </c>
      <c r="R244" s="8" t="s">
        <v>2075</v>
      </c>
      <c r="S244" s="8"/>
      <c r="T244" s="8"/>
      <c r="U244" s="8"/>
      <c r="V244" s="8"/>
      <c r="W244" s="8" t="s">
        <v>2551</v>
      </c>
      <c r="X244" s="8"/>
      <c r="Y244" s="8" t="s">
        <v>2325</v>
      </c>
      <c r="Z244" s="8" t="s">
        <v>4279</v>
      </c>
      <c r="AA244" s="8"/>
      <c r="AB244" s="8"/>
      <c r="AC244" s="8"/>
      <c r="AD244" s="8" t="s">
        <v>2080</v>
      </c>
      <c r="AE244" s="8" t="s">
        <v>2080</v>
      </c>
      <c r="AF244" s="8"/>
      <c r="AG244" s="8">
        <v>3.2699919E7</v>
      </c>
      <c r="AH244" s="8" t="s">
        <v>4280</v>
      </c>
      <c r="AI244" s="8" t="s">
        <v>1179</v>
      </c>
      <c r="AJ244" s="8" t="s">
        <v>4281</v>
      </c>
      <c r="AK244" s="8" t="s">
        <v>4282</v>
      </c>
      <c r="AL244" s="8" t="s">
        <v>4283</v>
      </c>
      <c r="AM244" s="8" t="s">
        <v>2136</v>
      </c>
    </row>
    <row r="245" ht="14.25" customHeight="1">
      <c r="A245" s="8">
        <v>105.0</v>
      </c>
      <c r="B245" s="8" t="s">
        <v>4284</v>
      </c>
      <c r="C245" s="8"/>
      <c r="D245" s="8"/>
      <c r="E245" s="8"/>
      <c r="F245" s="8"/>
      <c r="G245" s="8"/>
      <c r="H245" s="7">
        <v>45807.0</v>
      </c>
      <c r="I245" s="7">
        <v>45807.0</v>
      </c>
      <c r="J245" s="8" t="s">
        <v>4285</v>
      </c>
      <c r="K245" s="8" t="s">
        <v>2089</v>
      </c>
      <c r="L245" s="8">
        <v>2020.0</v>
      </c>
      <c r="M245" s="8"/>
      <c r="N245" s="8"/>
      <c r="O245" s="8"/>
      <c r="P245" s="8"/>
      <c r="Q245" s="9">
        <v>44028.0</v>
      </c>
      <c r="R245" s="8" t="s">
        <v>2090</v>
      </c>
      <c r="S245" s="8"/>
      <c r="T245" s="8"/>
      <c r="U245" s="8"/>
      <c r="V245" s="8"/>
      <c r="W245" s="8"/>
      <c r="X245" s="8"/>
      <c r="Y245" s="8" t="s">
        <v>2089</v>
      </c>
      <c r="Z245" s="8" t="s">
        <v>4286</v>
      </c>
      <c r="AA245" s="8"/>
      <c r="AB245" s="8"/>
      <c r="AC245" s="8"/>
      <c r="AD245" s="8" t="s">
        <v>2080</v>
      </c>
      <c r="AE245" s="8" t="s">
        <v>2080</v>
      </c>
      <c r="AF245" s="8"/>
      <c r="AG245" s="8"/>
      <c r="AH245" s="8" t="s">
        <v>4287</v>
      </c>
      <c r="AI245" s="8"/>
      <c r="AJ245" s="8" t="s">
        <v>4288</v>
      </c>
      <c r="AK245" s="8" t="s">
        <v>4289</v>
      </c>
      <c r="AL245" s="8"/>
      <c r="AM245" s="8" t="s">
        <v>2095</v>
      </c>
    </row>
    <row r="246" ht="14.25" customHeight="1">
      <c r="A246" s="8">
        <v>106.0</v>
      </c>
      <c r="B246" s="8" t="s">
        <v>2378</v>
      </c>
      <c r="C246" s="8"/>
      <c r="D246" s="8"/>
      <c r="E246" s="8"/>
      <c r="F246" s="8"/>
      <c r="G246" s="8"/>
      <c r="H246" s="7">
        <v>45796.0</v>
      </c>
      <c r="I246" s="7">
        <v>45796.0</v>
      </c>
      <c r="J246" s="8" t="s">
        <v>2379</v>
      </c>
      <c r="K246" s="8" t="s">
        <v>2089</v>
      </c>
      <c r="L246" s="8">
        <v>2020.0</v>
      </c>
      <c r="M246" s="8"/>
      <c r="N246" s="8"/>
      <c r="O246" s="8"/>
      <c r="P246" s="8"/>
      <c r="Q246" s="9">
        <v>44025.0</v>
      </c>
      <c r="R246" s="8" t="s">
        <v>2090</v>
      </c>
      <c r="S246" s="8"/>
      <c r="T246" s="8"/>
      <c r="U246" s="8"/>
      <c r="V246" s="8"/>
      <c r="W246" s="8"/>
      <c r="X246" s="8"/>
      <c r="Y246" s="8" t="s">
        <v>2089</v>
      </c>
      <c r="Z246" s="8" t="s">
        <v>2380</v>
      </c>
      <c r="AA246" s="8"/>
      <c r="AB246" s="8"/>
      <c r="AC246" s="8"/>
      <c r="AD246" s="8" t="s">
        <v>2080</v>
      </c>
      <c r="AE246" s="8" t="s">
        <v>2080</v>
      </c>
      <c r="AF246" s="8"/>
      <c r="AG246" s="8"/>
      <c r="AH246" s="8" t="s">
        <v>2381</v>
      </c>
      <c r="AI246" s="8"/>
      <c r="AJ246" s="8" t="s">
        <v>2382</v>
      </c>
      <c r="AK246" s="8" t="s">
        <v>2383</v>
      </c>
      <c r="AL246" s="8"/>
      <c r="AM246" s="8" t="s">
        <v>2095</v>
      </c>
    </row>
    <row r="247" ht="14.25" customHeight="1">
      <c r="A247" s="8">
        <v>107.0</v>
      </c>
      <c r="B247" s="8" t="s">
        <v>4290</v>
      </c>
      <c r="C247" s="8"/>
      <c r="D247" s="8" t="s">
        <v>4291</v>
      </c>
      <c r="E247" s="8" t="s">
        <v>4292</v>
      </c>
      <c r="F247" s="8" t="s">
        <v>4293</v>
      </c>
      <c r="G247" s="8"/>
      <c r="H247" s="7">
        <v>44041.0</v>
      </c>
      <c r="I247" s="7">
        <v>44043.0</v>
      </c>
      <c r="J247" s="8" t="s">
        <v>4294</v>
      </c>
      <c r="K247" s="8" t="s">
        <v>2101</v>
      </c>
      <c r="L247" s="8">
        <v>2020.0</v>
      </c>
      <c r="M247" s="8">
        <v>8.0</v>
      </c>
      <c r="N247" s="8">
        <v>7.0</v>
      </c>
      <c r="O247" s="8"/>
      <c r="P247" s="8"/>
      <c r="Q247" s="9">
        <v>44013.0</v>
      </c>
      <c r="R247" s="8" t="s">
        <v>2075</v>
      </c>
      <c r="S247" s="8"/>
      <c r="T247" s="8"/>
      <c r="U247" s="8"/>
      <c r="V247" s="8"/>
      <c r="W247" s="8" t="s">
        <v>2102</v>
      </c>
      <c r="X247" s="8"/>
      <c r="Y247" s="8" t="s">
        <v>2103</v>
      </c>
      <c r="Z247" s="8" t="s">
        <v>4295</v>
      </c>
      <c r="AA247" s="8" t="s">
        <v>4296</v>
      </c>
      <c r="AB247" s="8"/>
      <c r="AC247" s="8" t="s">
        <v>4297</v>
      </c>
      <c r="AD247" s="8" t="s">
        <v>2080</v>
      </c>
      <c r="AE247" s="8" t="s">
        <v>2080</v>
      </c>
      <c r="AF247" s="8"/>
      <c r="AG247" s="8"/>
      <c r="AH247" s="8" t="s">
        <v>4298</v>
      </c>
      <c r="AI247" s="8" t="s">
        <v>4299</v>
      </c>
      <c r="AJ247" s="8" t="s">
        <v>4300</v>
      </c>
      <c r="AK247" s="8" t="s">
        <v>4301</v>
      </c>
      <c r="AL247" s="8" t="s">
        <v>4302</v>
      </c>
      <c r="AM247" s="8" t="s">
        <v>2349</v>
      </c>
    </row>
    <row r="248" ht="14.25" customHeight="1">
      <c r="A248" s="8">
        <v>108.0</v>
      </c>
      <c r="B248" s="8" t="s">
        <v>2384</v>
      </c>
      <c r="C248" s="8"/>
      <c r="D248" s="8" t="s">
        <v>2385</v>
      </c>
      <c r="E248" s="8" t="s">
        <v>2386</v>
      </c>
      <c r="F248" s="8" t="s">
        <v>2387</v>
      </c>
      <c r="G248" s="8"/>
      <c r="H248" s="7">
        <v>44153.0</v>
      </c>
      <c r="I248" s="7">
        <v>44278.0</v>
      </c>
      <c r="J248" s="8" t="s">
        <v>2388</v>
      </c>
      <c r="K248" s="8" t="s">
        <v>2389</v>
      </c>
      <c r="L248" s="8">
        <v>2020.0</v>
      </c>
      <c r="M248" s="8">
        <v>14.0</v>
      </c>
      <c r="N248" s="8">
        <v>3.0</v>
      </c>
      <c r="O248" s="8">
        <v>839.0</v>
      </c>
      <c r="P248" s="8">
        <v>842.0</v>
      </c>
      <c r="Q248" s="9">
        <v>44013.0</v>
      </c>
      <c r="R248" s="8" t="s">
        <v>2075</v>
      </c>
      <c r="S248" s="8"/>
      <c r="T248" s="8"/>
      <c r="U248" s="8"/>
      <c r="V248" s="8"/>
      <c r="W248" s="8" t="s">
        <v>2390</v>
      </c>
      <c r="X248" s="8"/>
      <c r="Y248" s="8" t="s">
        <v>2391</v>
      </c>
      <c r="Z248" s="8" t="s">
        <v>2392</v>
      </c>
      <c r="AA248" s="8"/>
      <c r="AB248" s="8"/>
      <c r="AC248" s="8"/>
      <c r="AD248" s="8" t="s">
        <v>2080</v>
      </c>
      <c r="AE248" s="8" t="s">
        <v>2080</v>
      </c>
      <c r="AF248" s="8"/>
      <c r="AG248" s="8"/>
      <c r="AH248" s="8" t="s">
        <v>2393</v>
      </c>
      <c r="AI248" s="8"/>
      <c r="AJ248" s="8"/>
      <c r="AK248" s="8" t="s">
        <v>2394</v>
      </c>
      <c r="AL248" s="8" t="s">
        <v>2395</v>
      </c>
      <c r="AM248" s="8" t="s">
        <v>2349</v>
      </c>
    </row>
    <row r="249" ht="14.25" customHeight="1">
      <c r="A249" s="8">
        <v>109.0</v>
      </c>
      <c r="B249" s="8" t="s">
        <v>1197</v>
      </c>
      <c r="C249" s="8"/>
      <c r="D249" s="8" t="s">
        <v>4303</v>
      </c>
      <c r="E249" s="8" t="s">
        <v>4304</v>
      </c>
      <c r="F249" s="8"/>
      <c r="G249" s="8"/>
      <c r="H249" s="7">
        <v>43906.0</v>
      </c>
      <c r="I249" s="7">
        <v>44266.0</v>
      </c>
      <c r="J249" s="8" t="s">
        <v>4305</v>
      </c>
      <c r="K249" s="8" t="s">
        <v>4306</v>
      </c>
      <c r="L249" s="8">
        <v>2020.0</v>
      </c>
      <c r="M249" s="8">
        <v>50.0</v>
      </c>
      <c r="N249" s="8">
        <v>7.0</v>
      </c>
      <c r="O249" s="8">
        <v>1393.0</v>
      </c>
      <c r="P249" s="8">
        <v>1403.0</v>
      </c>
      <c r="Q249" s="9">
        <v>44013.0</v>
      </c>
      <c r="R249" s="8" t="s">
        <v>2075</v>
      </c>
      <c r="S249" s="8"/>
      <c r="T249" s="8"/>
      <c r="U249" s="8"/>
      <c r="V249" s="8"/>
      <c r="W249" s="8" t="s">
        <v>4307</v>
      </c>
      <c r="X249" s="8"/>
      <c r="Y249" s="8" t="s">
        <v>2325</v>
      </c>
      <c r="Z249" s="8" t="s">
        <v>4308</v>
      </c>
      <c r="AA249" s="8"/>
      <c r="AB249" s="8"/>
      <c r="AC249" s="8" t="s">
        <v>4309</v>
      </c>
      <c r="AD249" s="8" t="s">
        <v>2080</v>
      </c>
      <c r="AE249" s="8" t="s">
        <v>2080</v>
      </c>
      <c r="AF249" s="8"/>
      <c r="AG249" s="8">
        <v>3.2125668E7</v>
      </c>
      <c r="AH249" s="8" t="s">
        <v>4310</v>
      </c>
      <c r="AI249" s="8" t="s">
        <v>1202</v>
      </c>
      <c r="AJ249" s="8" t="s">
        <v>4311</v>
      </c>
      <c r="AK249" s="8" t="s">
        <v>4312</v>
      </c>
      <c r="AL249" s="8" t="s">
        <v>4313</v>
      </c>
      <c r="AM249" s="8" t="s">
        <v>2136</v>
      </c>
    </row>
    <row r="250" ht="14.25" customHeight="1">
      <c r="A250" s="8">
        <v>110.0</v>
      </c>
      <c r="B250" s="8" t="s">
        <v>216</v>
      </c>
      <c r="C250" s="8"/>
      <c r="D250" s="8" t="s">
        <v>2396</v>
      </c>
      <c r="E250" s="8" t="s">
        <v>2397</v>
      </c>
      <c r="F250" s="8" t="s">
        <v>2398</v>
      </c>
      <c r="G250" s="8"/>
      <c r="H250" s="7">
        <v>43987.0</v>
      </c>
      <c r="I250" s="7">
        <v>43992.0</v>
      </c>
      <c r="J250" s="8" t="s">
        <v>2399</v>
      </c>
      <c r="K250" s="8" t="s">
        <v>2241</v>
      </c>
      <c r="L250" s="8">
        <v>2020.0</v>
      </c>
      <c r="M250" s="8">
        <v>36.0</v>
      </c>
      <c r="N250" s="8">
        <v>6.0</v>
      </c>
      <c r="O250" s="8">
        <v>1629.0</v>
      </c>
      <c r="P250" s="8">
        <v>1646.0</v>
      </c>
      <c r="Q250" s="9">
        <v>43983.0</v>
      </c>
      <c r="R250" s="8" t="s">
        <v>2075</v>
      </c>
      <c r="S250" s="8"/>
      <c r="T250" s="8"/>
      <c r="U250" s="8"/>
      <c r="V250" s="8"/>
      <c r="W250" s="8" t="s">
        <v>2242</v>
      </c>
      <c r="X250" s="8"/>
      <c r="Y250" s="8" t="s">
        <v>2243</v>
      </c>
      <c r="Z250" s="8" t="s">
        <v>2400</v>
      </c>
      <c r="AA250" s="8"/>
      <c r="AB250" s="8"/>
      <c r="AC250" s="8"/>
      <c r="AD250" s="8" t="s">
        <v>2080</v>
      </c>
      <c r="AE250" s="8" t="s">
        <v>2080</v>
      </c>
      <c r="AF250" s="8"/>
      <c r="AG250" s="8">
        <v>3.2059954E7</v>
      </c>
      <c r="AH250" s="8" t="s">
        <v>2401</v>
      </c>
      <c r="AI250" s="8" t="s">
        <v>220</v>
      </c>
      <c r="AJ250" s="8" t="s">
        <v>2402</v>
      </c>
      <c r="AK250" s="8" t="s">
        <v>2403</v>
      </c>
      <c r="AL250" s="8" t="s">
        <v>2404</v>
      </c>
      <c r="AM250" s="8" t="s">
        <v>2377</v>
      </c>
    </row>
    <row r="251" ht="14.25" customHeight="1">
      <c r="A251" s="8">
        <v>111.0</v>
      </c>
      <c r="B251" s="8" t="s">
        <v>205</v>
      </c>
      <c r="C251" s="8"/>
      <c r="D251" s="8" t="s">
        <v>2405</v>
      </c>
      <c r="E251" s="8" t="s">
        <v>2406</v>
      </c>
      <c r="F251" s="8"/>
      <c r="G251" s="8"/>
      <c r="H251" s="7">
        <v>43964.0</v>
      </c>
      <c r="I251" s="7">
        <v>44091.0</v>
      </c>
      <c r="J251" s="8" t="s">
        <v>2407</v>
      </c>
      <c r="K251" s="8" t="s">
        <v>2128</v>
      </c>
      <c r="L251" s="8">
        <v>2020.0</v>
      </c>
      <c r="M251" s="8">
        <v>48.0</v>
      </c>
      <c r="N251" s="8">
        <v>7.0</v>
      </c>
      <c r="O251" s="8">
        <v>1665.0</v>
      </c>
      <c r="P251" s="8">
        <v>1672.0</v>
      </c>
      <c r="Q251" s="9">
        <v>43983.0</v>
      </c>
      <c r="R251" s="8" t="s">
        <v>2075</v>
      </c>
      <c r="S251" s="8"/>
      <c r="T251" s="8"/>
      <c r="U251" s="8"/>
      <c r="V251" s="8"/>
      <c r="W251" s="8" t="s">
        <v>2129</v>
      </c>
      <c r="X251" s="8"/>
      <c r="Y251" s="8" t="s">
        <v>2325</v>
      </c>
      <c r="Z251" s="8" t="s">
        <v>2408</v>
      </c>
      <c r="AA251" s="8"/>
      <c r="AB251" s="8"/>
      <c r="AC251" s="8"/>
      <c r="AD251" s="8" t="s">
        <v>2080</v>
      </c>
      <c r="AE251" s="8" t="s">
        <v>2080</v>
      </c>
      <c r="AF251" s="8"/>
      <c r="AG251" s="8">
        <v>3.2368935E7</v>
      </c>
      <c r="AH251" s="8" t="s">
        <v>2409</v>
      </c>
      <c r="AI251" s="8" t="s">
        <v>209</v>
      </c>
      <c r="AJ251" s="8" t="s">
        <v>2410</v>
      </c>
      <c r="AK251" s="8" t="s">
        <v>2411</v>
      </c>
      <c r="AL251" s="8" t="s">
        <v>2412</v>
      </c>
      <c r="AM251" s="8" t="s">
        <v>2136</v>
      </c>
    </row>
    <row r="252" ht="14.25" customHeight="1">
      <c r="A252" s="8">
        <v>112.0</v>
      </c>
      <c r="B252" s="8" t="s">
        <v>2413</v>
      </c>
      <c r="C252" s="8"/>
      <c r="D252" s="8" t="s">
        <v>2414</v>
      </c>
      <c r="E252" s="8" t="s">
        <v>2415</v>
      </c>
      <c r="F252" s="8" t="s">
        <v>2416</v>
      </c>
      <c r="G252" s="8"/>
      <c r="H252" s="7">
        <v>43971.0</v>
      </c>
      <c r="I252" s="7">
        <v>43976.0</v>
      </c>
      <c r="J252" s="8" t="s">
        <v>2417</v>
      </c>
      <c r="K252" s="8" t="s">
        <v>2101</v>
      </c>
      <c r="L252" s="8">
        <v>2020.0</v>
      </c>
      <c r="M252" s="8">
        <v>8.0</v>
      </c>
      <c r="N252" s="8">
        <v>5.0</v>
      </c>
      <c r="O252" s="8"/>
      <c r="P252" s="8"/>
      <c r="Q252" s="9">
        <v>43952.0</v>
      </c>
      <c r="R252" s="8" t="s">
        <v>2075</v>
      </c>
      <c r="S252" s="8"/>
      <c r="T252" s="8"/>
      <c r="U252" s="8"/>
      <c r="V252" s="8"/>
      <c r="W252" s="8" t="s">
        <v>2102</v>
      </c>
      <c r="X252" s="8"/>
      <c r="Y252" s="8" t="s">
        <v>2103</v>
      </c>
      <c r="Z252" s="8" t="s">
        <v>2418</v>
      </c>
      <c r="AA252" s="8"/>
      <c r="AB252" s="8"/>
      <c r="AC252" s="8"/>
      <c r="AD252" s="8" t="s">
        <v>2080</v>
      </c>
      <c r="AE252" s="8" t="s">
        <v>2080</v>
      </c>
      <c r="AF252" s="8"/>
      <c r="AG252" s="8"/>
      <c r="AH252" s="8" t="s">
        <v>2419</v>
      </c>
      <c r="AI252" s="8" t="s">
        <v>2420</v>
      </c>
      <c r="AJ252" s="8" t="s">
        <v>2421</v>
      </c>
      <c r="AK252" s="8" t="s">
        <v>2422</v>
      </c>
      <c r="AL252" s="8" t="s">
        <v>2423</v>
      </c>
      <c r="AM252" s="8" t="s">
        <v>2349</v>
      </c>
    </row>
    <row r="253" ht="14.25" customHeight="1">
      <c r="A253" s="8">
        <v>113.0</v>
      </c>
      <c r="B253" s="8" t="s">
        <v>210</v>
      </c>
      <c r="C253" s="8"/>
      <c r="D253" s="8" t="s">
        <v>2424</v>
      </c>
      <c r="E253" s="8" t="s">
        <v>2425</v>
      </c>
      <c r="F253" s="8"/>
      <c r="G253" s="8"/>
      <c r="H253" s="7">
        <v>43949.0</v>
      </c>
      <c r="I253" s="7">
        <v>44153.0</v>
      </c>
      <c r="J253" s="8" t="s">
        <v>2426</v>
      </c>
      <c r="K253" s="8" t="s">
        <v>2128</v>
      </c>
      <c r="L253" s="8">
        <v>2020.0</v>
      </c>
      <c r="M253" s="8">
        <v>48.0</v>
      </c>
      <c r="N253" s="8">
        <v>6.0</v>
      </c>
      <c r="O253" s="8">
        <v>1305.0</v>
      </c>
      <c r="P253" s="8">
        <v>1315.0</v>
      </c>
      <c r="Q253" s="9">
        <v>43952.0</v>
      </c>
      <c r="R253" s="8" t="s">
        <v>2075</v>
      </c>
      <c r="S253" s="8"/>
      <c r="T253" s="8"/>
      <c r="U253" s="8"/>
      <c r="V253" s="8"/>
      <c r="W253" s="8" t="s">
        <v>2129</v>
      </c>
      <c r="X253" s="8"/>
      <c r="Y253" s="8" t="s">
        <v>2325</v>
      </c>
      <c r="Z253" s="8" t="s">
        <v>2427</v>
      </c>
      <c r="AA253" s="8"/>
      <c r="AB253" s="8"/>
      <c r="AC253" s="8" t="s">
        <v>2290</v>
      </c>
      <c r="AD253" s="8" t="s">
        <v>2080</v>
      </c>
      <c r="AE253" s="8" t="s">
        <v>2080</v>
      </c>
      <c r="AF253" s="8"/>
      <c r="AG253" s="8">
        <v>3.2298131E7</v>
      </c>
      <c r="AH253" s="8" t="s">
        <v>2428</v>
      </c>
      <c r="AI253" s="8" t="s">
        <v>215</v>
      </c>
      <c r="AJ253" s="8" t="s">
        <v>2429</v>
      </c>
      <c r="AK253" s="8" t="s">
        <v>2430</v>
      </c>
      <c r="AL253" s="8" t="s">
        <v>2431</v>
      </c>
      <c r="AM253" s="8" t="s">
        <v>2136</v>
      </c>
    </row>
    <row r="254" ht="14.25" customHeight="1">
      <c r="A254" s="8">
        <v>114.0</v>
      </c>
      <c r="B254" s="8" t="s">
        <v>1187</v>
      </c>
      <c r="C254" s="8"/>
      <c r="D254" s="8" t="s">
        <v>4314</v>
      </c>
      <c r="E254" s="8" t="s">
        <v>4315</v>
      </c>
      <c r="F254" s="8"/>
      <c r="G254" s="8"/>
      <c r="H254" s="7">
        <v>43951.0</v>
      </c>
      <c r="I254" s="7">
        <v>44676.0</v>
      </c>
      <c r="J254" s="8" t="s">
        <v>4316</v>
      </c>
      <c r="K254" s="8" t="s">
        <v>2128</v>
      </c>
      <c r="L254" s="8">
        <v>2020.0</v>
      </c>
      <c r="M254" s="8">
        <v>48.0</v>
      </c>
      <c r="N254" s="8">
        <v>6.0</v>
      </c>
      <c r="O254" s="8">
        <v>1316.0</v>
      </c>
      <c r="P254" s="8">
        <v>1326.0</v>
      </c>
      <c r="Q254" s="9">
        <v>43952.0</v>
      </c>
      <c r="R254" s="8" t="s">
        <v>2075</v>
      </c>
      <c r="S254" s="8"/>
      <c r="T254" s="8"/>
      <c r="U254" s="8"/>
      <c r="V254" s="8"/>
      <c r="W254" s="8" t="s">
        <v>2129</v>
      </c>
      <c r="X254" s="8"/>
      <c r="Y254" s="8" t="s">
        <v>2325</v>
      </c>
      <c r="Z254" s="8" t="s">
        <v>4317</v>
      </c>
      <c r="AA254" s="8" t="s">
        <v>4318</v>
      </c>
      <c r="AB254" s="8"/>
      <c r="AC254" s="8"/>
      <c r="AD254" s="8" t="s">
        <v>2080</v>
      </c>
      <c r="AE254" s="8" t="s">
        <v>2080</v>
      </c>
      <c r="AF254" s="8"/>
      <c r="AG254" s="8">
        <v>3.2302205E7</v>
      </c>
      <c r="AH254" s="8" t="s">
        <v>4319</v>
      </c>
      <c r="AI254" s="8" t="s">
        <v>1191</v>
      </c>
      <c r="AJ254" s="8" t="s">
        <v>4320</v>
      </c>
      <c r="AK254" s="8" t="s">
        <v>4321</v>
      </c>
      <c r="AL254" s="8" t="s">
        <v>4322</v>
      </c>
      <c r="AM254" s="8" t="s">
        <v>2136</v>
      </c>
    </row>
    <row r="255" ht="14.25" customHeight="1">
      <c r="A255" s="8">
        <v>115.0</v>
      </c>
      <c r="B255" s="8" t="s">
        <v>1192</v>
      </c>
      <c r="C255" s="8"/>
      <c r="D255" s="8" t="s">
        <v>4323</v>
      </c>
      <c r="E255" s="8" t="s">
        <v>4324</v>
      </c>
      <c r="F255" s="8"/>
      <c r="G255" s="8"/>
      <c r="H255" s="7">
        <v>43916.0</v>
      </c>
      <c r="I255" s="7">
        <v>44146.0</v>
      </c>
      <c r="J255" s="8" t="s">
        <v>4325</v>
      </c>
      <c r="K255" s="8" t="s">
        <v>2128</v>
      </c>
      <c r="L255" s="8">
        <v>2020.0</v>
      </c>
      <c r="M255" s="8">
        <v>48.0</v>
      </c>
      <c r="N255" s="8">
        <v>5.0</v>
      </c>
      <c r="O255" s="8">
        <v>1069.0</v>
      </c>
      <c r="P255" s="8">
        <v>1077.0</v>
      </c>
      <c r="Q255" s="9">
        <v>43922.0</v>
      </c>
      <c r="R255" s="8" t="s">
        <v>2075</v>
      </c>
      <c r="S255" s="8"/>
      <c r="T255" s="8"/>
      <c r="U255" s="8"/>
      <c r="V255" s="8"/>
      <c r="W255" s="8" t="s">
        <v>2129</v>
      </c>
      <c r="X255" s="8"/>
      <c r="Y255" s="8" t="s">
        <v>2325</v>
      </c>
      <c r="Z255" s="8" t="s">
        <v>4326</v>
      </c>
      <c r="AA255" s="8"/>
      <c r="AB255" s="8"/>
      <c r="AC255" s="8"/>
      <c r="AD255" s="8" t="s">
        <v>2080</v>
      </c>
      <c r="AE255" s="8" t="s">
        <v>2080</v>
      </c>
      <c r="AF255" s="8"/>
      <c r="AG255" s="8">
        <v>3.2182127E7</v>
      </c>
      <c r="AH255" s="8" t="s">
        <v>4327</v>
      </c>
      <c r="AI255" s="8" t="s">
        <v>1196</v>
      </c>
      <c r="AJ255" s="8" t="s">
        <v>4328</v>
      </c>
      <c r="AK255" s="8" t="s">
        <v>4329</v>
      </c>
      <c r="AL255" s="8" t="s">
        <v>4330</v>
      </c>
      <c r="AM255" s="8" t="s">
        <v>2136</v>
      </c>
    </row>
    <row r="256" ht="14.25" customHeight="1">
      <c r="A256" s="8">
        <v>116.0</v>
      </c>
      <c r="B256" s="8" t="s">
        <v>2432</v>
      </c>
      <c r="C256" s="8"/>
      <c r="D256" s="8"/>
      <c r="E256" s="8"/>
      <c r="F256" s="8"/>
      <c r="G256" s="8"/>
      <c r="H256" s="7">
        <v>45798.0</v>
      </c>
      <c r="I256" s="7">
        <v>45798.0</v>
      </c>
      <c r="J256" s="8" t="s">
        <v>2433</v>
      </c>
      <c r="K256" s="8" t="s">
        <v>2089</v>
      </c>
      <c r="L256" s="8">
        <v>2020.0</v>
      </c>
      <c r="M256" s="8"/>
      <c r="N256" s="8"/>
      <c r="O256" s="8"/>
      <c r="P256" s="8"/>
      <c r="Q256" s="9">
        <v>43896.0</v>
      </c>
      <c r="R256" s="8" t="s">
        <v>2090</v>
      </c>
      <c r="S256" s="8"/>
      <c r="T256" s="8"/>
      <c r="U256" s="8"/>
      <c r="V256" s="8"/>
      <c r="W256" s="8"/>
      <c r="X256" s="8"/>
      <c r="Y256" s="8" t="s">
        <v>2089</v>
      </c>
      <c r="Z256" s="8" t="s">
        <v>2434</v>
      </c>
      <c r="AA256" s="8"/>
      <c r="AB256" s="8"/>
      <c r="AC256" s="8"/>
      <c r="AD256" s="8" t="s">
        <v>2080</v>
      </c>
      <c r="AE256" s="8" t="s">
        <v>2080</v>
      </c>
      <c r="AF256" s="8"/>
      <c r="AG256" s="8"/>
      <c r="AH256" s="8" t="s">
        <v>2435</v>
      </c>
      <c r="AI256" s="8"/>
      <c r="AJ256" s="8" t="s">
        <v>2436</v>
      </c>
      <c r="AK256" s="8" t="s">
        <v>2437</v>
      </c>
      <c r="AL256" s="8"/>
      <c r="AM256" s="8" t="s">
        <v>2095</v>
      </c>
    </row>
    <row r="257" ht="14.25" customHeight="1">
      <c r="A257" s="8">
        <v>117.0</v>
      </c>
      <c r="B257" s="8" t="s">
        <v>4331</v>
      </c>
      <c r="C257" s="8"/>
      <c r="D257" s="8"/>
      <c r="E257" s="8"/>
      <c r="F257" s="8"/>
      <c r="G257" s="8"/>
      <c r="H257" s="7">
        <v>45798.0</v>
      </c>
      <c r="I257" s="7">
        <v>45798.0</v>
      </c>
      <c r="J257" s="8" t="s">
        <v>4332</v>
      </c>
      <c r="K257" s="8" t="s">
        <v>2089</v>
      </c>
      <c r="L257" s="8">
        <v>2020.0</v>
      </c>
      <c r="M257" s="8"/>
      <c r="N257" s="8"/>
      <c r="O257" s="8"/>
      <c r="P257" s="8"/>
      <c r="Q257" s="9">
        <v>43887.0</v>
      </c>
      <c r="R257" s="8" t="s">
        <v>2090</v>
      </c>
      <c r="S257" s="8"/>
      <c r="T257" s="8"/>
      <c r="U257" s="8"/>
      <c r="V257" s="8"/>
      <c r="W257" s="8"/>
      <c r="X257" s="8"/>
      <c r="Y257" s="8" t="s">
        <v>2089</v>
      </c>
      <c r="Z257" s="8" t="s">
        <v>4333</v>
      </c>
      <c r="AA257" s="8"/>
      <c r="AB257" s="8"/>
      <c r="AC257" s="8"/>
      <c r="AD257" s="8" t="s">
        <v>2080</v>
      </c>
      <c r="AE257" s="8" t="s">
        <v>2080</v>
      </c>
      <c r="AF257" s="8"/>
      <c r="AG257" s="8"/>
      <c r="AH257" s="8" t="s">
        <v>4334</v>
      </c>
      <c r="AI257" s="8"/>
      <c r="AJ257" s="8" t="s">
        <v>4335</v>
      </c>
      <c r="AK257" s="8" t="s">
        <v>4336</v>
      </c>
      <c r="AL257" s="8"/>
      <c r="AM257" s="8" t="s">
        <v>2095</v>
      </c>
    </row>
    <row r="258" ht="14.25" customHeight="1">
      <c r="A258" s="8">
        <v>118.0</v>
      </c>
      <c r="B258" s="8" t="s">
        <v>1213</v>
      </c>
      <c r="C258" s="8"/>
      <c r="D258" s="8" t="s">
        <v>4337</v>
      </c>
      <c r="E258" s="8" t="s">
        <v>4338</v>
      </c>
      <c r="F258" s="8"/>
      <c r="G258" s="8"/>
      <c r="H258" s="7">
        <v>43784.0</v>
      </c>
      <c r="I258" s="7">
        <v>43867.0</v>
      </c>
      <c r="J258" s="8" t="s">
        <v>4339</v>
      </c>
      <c r="K258" s="8" t="s">
        <v>4340</v>
      </c>
      <c r="L258" s="8">
        <v>2020.0</v>
      </c>
      <c r="M258" s="8">
        <v>54.0</v>
      </c>
      <c r="N258" s="8">
        <v>3.0</v>
      </c>
      <c r="O258" s="8">
        <v>183.0</v>
      </c>
      <c r="P258" s="8">
        <v>187.0</v>
      </c>
      <c r="Q258" s="9">
        <v>43862.0</v>
      </c>
      <c r="R258" s="8" t="s">
        <v>2075</v>
      </c>
      <c r="S258" s="8"/>
      <c r="T258" s="8"/>
      <c r="U258" s="8"/>
      <c r="V258" s="8"/>
      <c r="W258" s="8" t="s">
        <v>4341</v>
      </c>
      <c r="X258" s="8"/>
      <c r="Y258" s="8" t="s">
        <v>2325</v>
      </c>
      <c r="Z258" s="8" t="s">
        <v>4342</v>
      </c>
      <c r="AA258" s="8"/>
      <c r="AB258" s="8"/>
      <c r="AC258" s="8" t="s">
        <v>4309</v>
      </c>
      <c r="AD258" s="8" t="s">
        <v>2080</v>
      </c>
      <c r="AE258" s="8" t="s">
        <v>2080</v>
      </c>
      <c r="AF258" s="8"/>
      <c r="AG258" s="8">
        <v>3.1704697E7</v>
      </c>
      <c r="AH258" s="8" t="s">
        <v>4343</v>
      </c>
      <c r="AI258" s="8" t="s">
        <v>1218</v>
      </c>
      <c r="AJ258" s="8" t="s">
        <v>4344</v>
      </c>
      <c r="AK258" s="8" t="s">
        <v>4345</v>
      </c>
      <c r="AL258" s="8" t="s">
        <v>4346</v>
      </c>
      <c r="AM258" s="8" t="s">
        <v>2136</v>
      </c>
    </row>
    <row r="259" ht="14.25" customHeight="1">
      <c r="A259" s="8">
        <v>119.0</v>
      </c>
      <c r="B259" s="8" t="s">
        <v>1203</v>
      </c>
      <c r="C259" s="8" t="s">
        <v>4347</v>
      </c>
      <c r="D259" s="8" t="s">
        <v>4348</v>
      </c>
      <c r="E259" s="8" t="s">
        <v>4349</v>
      </c>
      <c r="F259" s="8" t="s">
        <v>4350</v>
      </c>
      <c r="G259" s="8"/>
      <c r="H259" s="7">
        <v>43861.0</v>
      </c>
      <c r="I259" s="7">
        <v>43866.0</v>
      </c>
      <c r="J259" s="8" t="s">
        <v>4351</v>
      </c>
      <c r="K259" s="8" t="s">
        <v>4352</v>
      </c>
      <c r="L259" s="8">
        <v>2020.0</v>
      </c>
      <c r="M259" s="8">
        <v>88.0</v>
      </c>
      <c r="N259" s="8">
        <v>1.0</v>
      </c>
      <c r="O259" s="8">
        <v>76.0</v>
      </c>
      <c r="P259" s="8">
        <v>81.0</v>
      </c>
      <c r="Q259" s="8">
        <v>2020.0</v>
      </c>
      <c r="R259" s="8" t="s">
        <v>2075</v>
      </c>
      <c r="S259" s="8"/>
      <c r="T259" s="8"/>
      <c r="U259" s="8"/>
      <c r="V259" s="8"/>
      <c r="W259" s="8" t="s">
        <v>4353</v>
      </c>
      <c r="X259" s="8"/>
      <c r="Y259" s="8" t="s">
        <v>4354</v>
      </c>
      <c r="Z259" s="8" t="s">
        <v>4355</v>
      </c>
      <c r="AA259" s="8"/>
      <c r="AB259" s="8"/>
      <c r="AC259" s="8"/>
      <c r="AD259" s="8" t="s">
        <v>2080</v>
      </c>
      <c r="AE259" s="8" t="s">
        <v>4356</v>
      </c>
      <c r="AF259" s="8"/>
      <c r="AG259" s="8">
        <v>3.1967599E7</v>
      </c>
      <c r="AH259" s="8" t="s">
        <v>4357</v>
      </c>
      <c r="AI259" s="8" t="s">
        <v>1208</v>
      </c>
      <c r="AJ259" s="8" t="s">
        <v>4358</v>
      </c>
      <c r="AK259" s="8" t="s">
        <v>4359</v>
      </c>
      <c r="AL259" s="8" t="s">
        <v>4360</v>
      </c>
      <c r="AM259" s="8" t="s">
        <v>2377</v>
      </c>
    </row>
    <row r="260" ht="14.25" customHeight="1">
      <c r="A260" s="8">
        <v>120.0</v>
      </c>
      <c r="B260" s="8" t="s">
        <v>1236</v>
      </c>
      <c r="C260" s="8"/>
      <c r="D260" s="8" t="s">
        <v>4361</v>
      </c>
      <c r="E260" s="8" t="s">
        <v>4362</v>
      </c>
      <c r="F260" s="8"/>
      <c r="G260" s="8"/>
      <c r="H260" s="8"/>
      <c r="I260" s="7">
        <v>43552.0</v>
      </c>
      <c r="J260" s="8" t="s">
        <v>4363</v>
      </c>
      <c r="K260" s="8" t="s">
        <v>2550</v>
      </c>
      <c r="L260" s="8">
        <v>2019.0</v>
      </c>
      <c r="M260" s="8">
        <v>27.0</v>
      </c>
      <c r="N260" s="8">
        <v>11.0</v>
      </c>
      <c r="O260" s="8">
        <v>3592.0</v>
      </c>
      <c r="P260" s="8">
        <v>3598.0</v>
      </c>
      <c r="Q260" s="9">
        <v>43770.0</v>
      </c>
      <c r="R260" s="8" t="s">
        <v>2075</v>
      </c>
      <c r="S260" s="8"/>
      <c r="T260" s="8"/>
      <c r="U260" s="8"/>
      <c r="V260" s="8"/>
      <c r="W260" s="8" t="s">
        <v>2551</v>
      </c>
      <c r="X260" s="8"/>
      <c r="Y260" s="8" t="s">
        <v>2325</v>
      </c>
      <c r="Z260" s="8" t="s">
        <v>4364</v>
      </c>
      <c r="AA260" s="8"/>
      <c r="AB260" s="8"/>
      <c r="AC260" s="8"/>
      <c r="AD260" s="8" t="s">
        <v>2080</v>
      </c>
      <c r="AE260" s="8" t="s">
        <v>2080</v>
      </c>
      <c r="AF260" s="8"/>
      <c r="AG260" s="8">
        <v>3.0888448E7</v>
      </c>
      <c r="AH260" s="8" t="s">
        <v>4365</v>
      </c>
      <c r="AI260" s="8" t="s">
        <v>1240</v>
      </c>
      <c r="AJ260" s="8" t="s">
        <v>4366</v>
      </c>
      <c r="AK260" s="8" t="s">
        <v>4367</v>
      </c>
      <c r="AL260" s="8" t="s">
        <v>4368</v>
      </c>
      <c r="AM260" s="8" t="s">
        <v>2136</v>
      </c>
    </row>
    <row r="261" ht="14.25" customHeight="1">
      <c r="A261" s="8">
        <v>121.0</v>
      </c>
      <c r="B261" s="8" t="s">
        <v>4369</v>
      </c>
      <c r="C261" s="8"/>
      <c r="D261" s="8"/>
      <c r="E261" s="8"/>
      <c r="F261" s="8"/>
      <c r="G261" s="8"/>
      <c r="H261" s="7">
        <v>45782.0</v>
      </c>
      <c r="I261" s="7">
        <v>45782.0</v>
      </c>
      <c r="J261" s="8" t="s">
        <v>4370</v>
      </c>
      <c r="K261" s="8" t="s">
        <v>2089</v>
      </c>
      <c r="L261" s="8">
        <v>2019.0</v>
      </c>
      <c r="M261" s="8"/>
      <c r="N261" s="8"/>
      <c r="O261" s="8"/>
      <c r="P261" s="8"/>
      <c r="Q261" s="9">
        <v>43749.0</v>
      </c>
      <c r="R261" s="8" t="s">
        <v>2090</v>
      </c>
      <c r="S261" s="8"/>
      <c r="T261" s="8"/>
      <c r="U261" s="8"/>
      <c r="V261" s="8"/>
      <c r="W261" s="8"/>
      <c r="X261" s="8"/>
      <c r="Y261" s="8" t="s">
        <v>2089</v>
      </c>
      <c r="Z261" s="8" t="s">
        <v>4371</v>
      </c>
      <c r="AA261" s="8"/>
      <c r="AB261" s="8"/>
      <c r="AC261" s="8"/>
      <c r="AD261" s="8" t="s">
        <v>2080</v>
      </c>
      <c r="AE261" s="8" t="s">
        <v>2080</v>
      </c>
      <c r="AF261" s="8"/>
      <c r="AG261" s="8"/>
      <c r="AH261" s="8" t="s">
        <v>4372</v>
      </c>
      <c r="AI261" s="8"/>
      <c r="AJ261" s="8" t="s">
        <v>4373</v>
      </c>
      <c r="AK261" s="8" t="s">
        <v>4374</v>
      </c>
      <c r="AL261" s="8"/>
      <c r="AM261" s="8" t="s">
        <v>2095</v>
      </c>
    </row>
    <row r="262" ht="14.25" customHeight="1">
      <c r="A262" s="8">
        <v>122.0</v>
      </c>
      <c r="B262" s="8" t="s">
        <v>2438</v>
      </c>
      <c r="C262" s="8"/>
      <c r="D262" s="8"/>
      <c r="E262" s="8"/>
      <c r="F262" s="8"/>
      <c r="G262" s="8"/>
      <c r="H262" s="7">
        <v>45807.0</v>
      </c>
      <c r="I262" s="7">
        <v>45807.0</v>
      </c>
      <c r="J262" s="8" t="s">
        <v>2439</v>
      </c>
      <c r="K262" s="8" t="s">
        <v>2089</v>
      </c>
      <c r="L262" s="8">
        <v>2019.0</v>
      </c>
      <c r="M262" s="8"/>
      <c r="N262" s="8"/>
      <c r="O262" s="8"/>
      <c r="P262" s="8"/>
      <c r="Q262" s="9">
        <v>43737.0</v>
      </c>
      <c r="R262" s="8" t="s">
        <v>2090</v>
      </c>
      <c r="S262" s="8"/>
      <c r="T262" s="8"/>
      <c r="U262" s="8"/>
      <c r="V262" s="8"/>
      <c r="W262" s="8"/>
      <c r="X262" s="8"/>
      <c r="Y262" s="8" t="s">
        <v>2089</v>
      </c>
      <c r="Z262" s="8" t="s">
        <v>2440</v>
      </c>
      <c r="AA262" s="8"/>
      <c r="AB262" s="8"/>
      <c r="AC262" s="8"/>
      <c r="AD262" s="8" t="s">
        <v>2080</v>
      </c>
      <c r="AE262" s="8" t="s">
        <v>2080</v>
      </c>
      <c r="AF262" s="8"/>
      <c r="AG262" s="8"/>
      <c r="AH262" s="8" t="s">
        <v>2441</v>
      </c>
      <c r="AI262" s="8"/>
      <c r="AJ262" s="8" t="s">
        <v>2442</v>
      </c>
      <c r="AK262" s="8" t="s">
        <v>2443</v>
      </c>
      <c r="AL262" s="8"/>
      <c r="AM262" s="8" t="s">
        <v>2095</v>
      </c>
    </row>
    <row r="263" ht="14.25" customHeight="1">
      <c r="A263" s="8">
        <v>123.0</v>
      </c>
      <c r="B263" s="8" t="s">
        <v>4375</v>
      </c>
      <c r="C263" s="8"/>
      <c r="D263" s="8" t="s">
        <v>4376</v>
      </c>
      <c r="E263" s="8" t="s">
        <v>4377</v>
      </c>
      <c r="F263" s="8"/>
      <c r="G263" s="8"/>
      <c r="H263" s="7">
        <v>43728.0</v>
      </c>
      <c r="I263" s="7">
        <v>45321.0</v>
      </c>
      <c r="J263" s="8" t="s">
        <v>4378</v>
      </c>
      <c r="K263" s="8" t="s">
        <v>3691</v>
      </c>
      <c r="L263" s="8">
        <v>2019.0</v>
      </c>
      <c r="M263" s="8">
        <v>33.0</v>
      </c>
      <c r="N263" s="8">
        <v>9.0</v>
      </c>
      <c r="O263" s="8">
        <v>1088.0</v>
      </c>
      <c r="P263" s="8">
        <v>1094.0</v>
      </c>
      <c r="Q263" s="9">
        <v>43723.0</v>
      </c>
      <c r="R263" s="8" t="s">
        <v>2075</v>
      </c>
      <c r="S263" s="8"/>
      <c r="T263" s="8"/>
      <c r="U263" s="8"/>
      <c r="V263" s="8"/>
      <c r="W263" s="8" t="s">
        <v>3692</v>
      </c>
      <c r="X263" s="8"/>
      <c r="Y263" s="8" t="s">
        <v>2325</v>
      </c>
      <c r="Z263" s="8" t="s">
        <v>4379</v>
      </c>
      <c r="AA263" s="8"/>
      <c r="AB263" s="8"/>
      <c r="AC263" s="8"/>
      <c r="AD263" s="8" t="s">
        <v>3695</v>
      </c>
      <c r="AE263" s="8" t="s">
        <v>2080</v>
      </c>
      <c r="AF263" s="8"/>
      <c r="AG263" s="8">
        <v>3.1512448E7</v>
      </c>
      <c r="AH263" s="8" t="s">
        <v>4380</v>
      </c>
      <c r="AI263" s="8" t="s">
        <v>1224</v>
      </c>
      <c r="AJ263" s="8" t="s">
        <v>4381</v>
      </c>
      <c r="AK263" s="8" t="s">
        <v>4382</v>
      </c>
      <c r="AL263" s="8" t="s">
        <v>4383</v>
      </c>
      <c r="AM263" s="8" t="s">
        <v>2136</v>
      </c>
    </row>
    <row r="264" ht="14.25" customHeight="1">
      <c r="A264" s="8">
        <v>124.0</v>
      </c>
      <c r="B264" s="8" t="s">
        <v>1225</v>
      </c>
      <c r="C264" s="8"/>
      <c r="D264" s="8" t="s">
        <v>4384</v>
      </c>
      <c r="E264" s="8" t="s">
        <v>4385</v>
      </c>
      <c r="F264" s="8"/>
      <c r="G264" s="8"/>
      <c r="H264" s="8"/>
      <c r="I264" s="7">
        <v>43682.0</v>
      </c>
      <c r="J264" s="8" t="s">
        <v>4386</v>
      </c>
      <c r="K264" s="8" t="s">
        <v>2128</v>
      </c>
      <c r="L264" s="8">
        <v>2019.0</v>
      </c>
      <c r="M264" s="8">
        <v>47.0</v>
      </c>
      <c r="N264" s="8">
        <v>10.0</v>
      </c>
      <c r="O264" s="8">
        <v>2386.0</v>
      </c>
      <c r="P264" s="8">
        <v>2393.0</v>
      </c>
      <c r="Q264" s="9">
        <v>43678.0</v>
      </c>
      <c r="R264" s="8" t="s">
        <v>2075</v>
      </c>
      <c r="S264" s="8"/>
      <c r="T264" s="8"/>
      <c r="U264" s="8"/>
      <c r="V264" s="8"/>
      <c r="W264" s="8" t="s">
        <v>2129</v>
      </c>
      <c r="X264" s="8"/>
      <c r="Y264" s="8" t="s">
        <v>2325</v>
      </c>
      <c r="Z264" s="8" t="s">
        <v>4387</v>
      </c>
      <c r="AA264" s="8"/>
      <c r="AB264" s="8"/>
      <c r="AC264" s="8"/>
      <c r="AD264" s="8" t="s">
        <v>2080</v>
      </c>
      <c r="AE264" s="8" t="s">
        <v>2080</v>
      </c>
      <c r="AF264" s="8"/>
      <c r="AG264" s="8">
        <v>3.1306589E7</v>
      </c>
      <c r="AH264" s="8" t="s">
        <v>4388</v>
      </c>
      <c r="AI264" s="8" t="s">
        <v>1229</v>
      </c>
      <c r="AJ264" s="8" t="s">
        <v>4389</v>
      </c>
      <c r="AK264" s="8" t="s">
        <v>4390</v>
      </c>
      <c r="AL264" s="8" t="s">
        <v>4391</v>
      </c>
      <c r="AM264" s="8" t="s">
        <v>2136</v>
      </c>
    </row>
    <row r="265" ht="14.25" customHeight="1">
      <c r="A265" s="8">
        <v>125.0</v>
      </c>
      <c r="B265" s="8" t="s">
        <v>233</v>
      </c>
      <c r="C265" s="8"/>
      <c r="D265" s="8" t="s">
        <v>2444</v>
      </c>
      <c r="E265" s="8" t="s">
        <v>2445</v>
      </c>
      <c r="F265" s="8"/>
      <c r="G265" s="8"/>
      <c r="H265" s="7">
        <v>43685.0</v>
      </c>
      <c r="I265" s="7">
        <v>43691.0</v>
      </c>
      <c r="J265" s="8" t="s">
        <v>2446</v>
      </c>
      <c r="K265" s="8" t="s">
        <v>2447</v>
      </c>
      <c r="L265" s="8">
        <v>2019.0</v>
      </c>
      <c r="M265" s="8">
        <v>101.0</v>
      </c>
      <c r="N265" s="8">
        <v>11.0</v>
      </c>
      <c r="O265" s="8">
        <v>949.0</v>
      </c>
      <c r="P265" s="8">
        <v>960.0</v>
      </c>
      <c r="Q265" s="9">
        <v>43621.0</v>
      </c>
      <c r="R265" s="8" t="s">
        <v>2075</v>
      </c>
      <c r="S265" s="8"/>
      <c r="T265" s="8"/>
      <c r="U265" s="8"/>
      <c r="V265" s="8"/>
      <c r="W265" s="8" t="s">
        <v>2448</v>
      </c>
      <c r="X265" s="8"/>
      <c r="Y265" s="8" t="s">
        <v>2449</v>
      </c>
      <c r="Z265" s="8" t="s">
        <v>2450</v>
      </c>
      <c r="AA265" s="8"/>
      <c r="AB265" s="8"/>
      <c r="AC265" s="8" t="s">
        <v>2451</v>
      </c>
      <c r="AD265" s="8" t="s">
        <v>2080</v>
      </c>
      <c r="AE265" s="8" t="s">
        <v>2080</v>
      </c>
      <c r="AF265" s="8"/>
      <c r="AG265" s="8">
        <v>3.1169571E7</v>
      </c>
      <c r="AH265" s="8" t="s">
        <v>2452</v>
      </c>
      <c r="AI265" s="8" t="s">
        <v>237</v>
      </c>
      <c r="AJ265" s="8" t="s">
        <v>2453</v>
      </c>
      <c r="AK265" s="8" t="s">
        <v>2454</v>
      </c>
      <c r="AL265" s="8" t="s">
        <v>2455</v>
      </c>
      <c r="AM265" s="8" t="s">
        <v>2456</v>
      </c>
    </row>
    <row r="266" ht="14.25" customHeight="1">
      <c r="A266" s="8">
        <v>126.0</v>
      </c>
      <c r="B266" s="8" t="s">
        <v>4392</v>
      </c>
      <c r="C266" s="8"/>
      <c r="D266" s="8" t="s">
        <v>4393</v>
      </c>
      <c r="E266" s="8" t="s">
        <v>4394</v>
      </c>
      <c r="F266" s="8" t="s">
        <v>4395</v>
      </c>
      <c r="G266" s="8"/>
      <c r="H266" s="7">
        <v>43614.0</v>
      </c>
      <c r="I266" s="7">
        <v>43794.0</v>
      </c>
      <c r="J266" s="8" t="s">
        <v>4396</v>
      </c>
      <c r="K266" s="8" t="s">
        <v>3496</v>
      </c>
      <c r="L266" s="8">
        <v>2019.0</v>
      </c>
      <c r="M266" s="8">
        <v>20.0</v>
      </c>
      <c r="N266" s="8">
        <v>1.0</v>
      </c>
      <c r="O266" s="8"/>
      <c r="P266" s="8"/>
      <c r="Q266" s="9">
        <v>43600.0</v>
      </c>
      <c r="R266" s="8" t="s">
        <v>2075</v>
      </c>
      <c r="S266" s="8"/>
      <c r="T266" s="8"/>
      <c r="U266" s="8"/>
      <c r="V266" s="8"/>
      <c r="W266" s="8" t="s">
        <v>3497</v>
      </c>
      <c r="X266" s="8"/>
      <c r="Y266" s="8" t="s">
        <v>4397</v>
      </c>
      <c r="Z266" s="8" t="s">
        <v>4398</v>
      </c>
      <c r="AA266" s="8"/>
      <c r="AB266" s="8"/>
      <c r="AC266" s="8" t="s">
        <v>3719</v>
      </c>
      <c r="AD266" s="8" t="s">
        <v>2080</v>
      </c>
      <c r="AE266" s="8" t="s">
        <v>2080</v>
      </c>
      <c r="AF266" s="8"/>
      <c r="AG266" s="8">
        <v>3.1092226E7</v>
      </c>
      <c r="AH266" s="8" t="s">
        <v>4399</v>
      </c>
      <c r="AI266" s="8" t="s">
        <v>4400</v>
      </c>
      <c r="AJ266" s="8" t="s">
        <v>4401</v>
      </c>
      <c r="AK266" s="8" t="s">
        <v>4402</v>
      </c>
      <c r="AL266" s="8" t="s">
        <v>4403</v>
      </c>
      <c r="AM266" s="8" t="s">
        <v>2456</v>
      </c>
    </row>
    <row r="267" ht="14.25" customHeight="1">
      <c r="A267" s="8">
        <v>127.0</v>
      </c>
      <c r="B267" s="8" t="s">
        <v>2457</v>
      </c>
      <c r="C267" s="8"/>
      <c r="D267" s="8" t="s">
        <v>2458</v>
      </c>
      <c r="E267" s="8" t="s">
        <v>2459</v>
      </c>
      <c r="F267" s="8" t="s">
        <v>2460</v>
      </c>
      <c r="G267" s="8"/>
      <c r="H267" s="7">
        <v>43378.0</v>
      </c>
      <c r="I267" s="7">
        <v>43599.0</v>
      </c>
      <c r="J267" s="8" t="s">
        <v>2461</v>
      </c>
      <c r="K267" s="8" t="s">
        <v>2462</v>
      </c>
      <c r="L267" s="8">
        <v>2019.0</v>
      </c>
      <c r="M267" s="8">
        <v>10.0</v>
      </c>
      <c r="N267" s="8">
        <v>3.0</v>
      </c>
      <c r="O267" s="8">
        <v>581.0</v>
      </c>
      <c r="P267" s="8">
        <v>585.0</v>
      </c>
      <c r="Q267" s="9">
        <v>43586.0</v>
      </c>
      <c r="R267" s="8" t="s">
        <v>2075</v>
      </c>
      <c r="S267" s="8"/>
      <c r="T267" s="8"/>
      <c r="U267" s="8"/>
      <c r="V267" s="8"/>
      <c r="W267" s="8" t="s">
        <v>2463</v>
      </c>
      <c r="X267" s="8"/>
      <c r="Y267" s="8" t="s">
        <v>2255</v>
      </c>
      <c r="Z267" s="8" t="s">
        <v>2464</v>
      </c>
      <c r="AA267" s="8"/>
      <c r="AB267" s="8"/>
      <c r="AC267" s="8"/>
      <c r="AD267" s="8" t="s">
        <v>2080</v>
      </c>
      <c r="AE267" s="8" t="s">
        <v>2080</v>
      </c>
      <c r="AF267" s="8"/>
      <c r="AG267" s="8"/>
      <c r="AH267" s="8" t="s">
        <v>2465</v>
      </c>
      <c r="AI267" s="8" t="s">
        <v>2466</v>
      </c>
      <c r="AJ267" s="8" t="s">
        <v>2467</v>
      </c>
      <c r="AK267" s="8" t="s">
        <v>2468</v>
      </c>
      <c r="AL267" s="8" t="s">
        <v>2469</v>
      </c>
      <c r="AM267" s="8" t="s">
        <v>2456</v>
      </c>
    </row>
    <row r="268" ht="14.25" customHeight="1">
      <c r="A268" s="8">
        <v>128.0</v>
      </c>
      <c r="B268" s="8" t="s">
        <v>4404</v>
      </c>
      <c r="C268" s="8"/>
      <c r="D268" s="8"/>
      <c r="E268" s="8"/>
      <c r="F268" s="8"/>
      <c r="G268" s="8"/>
      <c r="H268" s="7">
        <v>45796.0</v>
      </c>
      <c r="I268" s="7">
        <v>45796.0</v>
      </c>
      <c r="J268" s="8" t="s">
        <v>4405</v>
      </c>
      <c r="K268" s="8" t="s">
        <v>2089</v>
      </c>
      <c r="L268" s="8">
        <v>2019.0</v>
      </c>
      <c r="M268" s="8"/>
      <c r="N268" s="8"/>
      <c r="O268" s="8"/>
      <c r="P268" s="8"/>
      <c r="Q268" s="9">
        <v>43551.0</v>
      </c>
      <c r="R268" s="8" t="s">
        <v>2090</v>
      </c>
      <c r="S268" s="8"/>
      <c r="T268" s="8"/>
      <c r="U268" s="8"/>
      <c r="V268" s="8"/>
      <c r="W268" s="8"/>
      <c r="X268" s="8"/>
      <c r="Y268" s="8" t="s">
        <v>2089</v>
      </c>
      <c r="Z268" s="8" t="s">
        <v>4406</v>
      </c>
      <c r="AA268" s="8"/>
      <c r="AB268" s="8"/>
      <c r="AC268" s="8"/>
      <c r="AD268" s="8" t="s">
        <v>2080</v>
      </c>
      <c r="AE268" s="8" t="s">
        <v>2080</v>
      </c>
      <c r="AF268" s="8"/>
      <c r="AG268" s="8"/>
      <c r="AH268" s="8" t="s">
        <v>4407</v>
      </c>
      <c r="AI268" s="8"/>
      <c r="AJ268" s="8" t="s">
        <v>4408</v>
      </c>
      <c r="AK268" s="8" t="s">
        <v>4409</v>
      </c>
      <c r="AL268" s="8"/>
      <c r="AM268" s="8" t="s">
        <v>2095</v>
      </c>
    </row>
    <row r="269" ht="14.25" customHeight="1">
      <c r="A269" s="8">
        <v>129.0</v>
      </c>
      <c r="B269" s="8" t="s">
        <v>1248</v>
      </c>
      <c r="C269" s="8"/>
      <c r="D269" s="8" t="s">
        <v>4410</v>
      </c>
      <c r="E269" s="8" t="s">
        <v>4411</v>
      </c>
      <c r="F269" s="8"/>
      <c r="G269" s="8"/>
      <c r="H269" s="8"/>
      <c r="I269" s="7">
        <v>44096.0</v>
      </c>
      <c r="J269" s="8" t="s">
        <v>4412</v>
      </c>
      <c r="K269" s="8" t="s">
        <v>2128</v>
      </c>
      <c r="L269" s="8">
        <v>2019.0</v>
      </c>
      <c r="M269" s="8">
        <v>47.0</v>
      </c>
      <c r="N269" s="8">
        <v>3.0</v>
      </c>
      <c r="O269" s="8">
        <v>567.0</v>
      </c>
      <c r="P269" s="8">
        <v>577.0</v>
      </c>
      <c r="Q269" s="9">
        <v>43525.0</v>
      </c>
      <c r="R269" s="8" t="s">
        <v>2075</v>
      </c>
      <c r="S269" s="8"/>
      <c r="T269" s="8"/>
      <c r="U269" s="8"/>
      <c r="V269" s="8"/>
      <c r="W269" s="8" t="s">
        <v>2129</v>
      </c>
      <c r="X269" s="8"/>
      <c r="Y269" s="8" t="s">
        <v>2325</v>
      </c>
      <c r="Z269" s="8" t="s">
        <v>4413</v>
      </c>
      <c r="AA269" s="8"/>
      <c r="AB269" s="8"/>
      <c r="AC269" s="8" t="s">
        <v>4414</v>
      </c>
      <c r="AD269" s="8" t="s">
        <v>2080</v>
      </c>
      <c r="AE269" s="8" t="s">
        <v>2080</v>
      </c>
      <c r="AF269" s="8"/>
      <c r="AG269" s="8">
        <v>3.0822124E7</v>
      </c>
      <c r="AH269" s="8" t="s">
        <v>4415</v>
      </c>
      <c r="AI269" s="8" t="s">
        <v>1252</v>
      </c>
      <c r="AJ269" s="8" t="s">
        <v>4416</v>
      </c>
      <c r="AK269" s="8" t="s">
        <v>4417</v>
      </c>
      <c r="AL269" s="8" t="s">
        <v>4418</v>
      </c>
      <c r="AM269" s="8" t="s">
        <v>2136</v>
      </c>
    </row>
    <row r="270" ht="14.25" customHeight="1">
      <c r="A270" s="8">
        <v>130.0</v>
      </c>
      <c r="B270" s="8" t="s">
        <v>4419</v>
      </c>
      <c r="C270" s="8"/>
      <c r="D270" s="8" t="s">
        <v>4420</v>
      </c>
      <c r="E270" s="8" t="s">
        <v>4421</v>
      </c>
      <c r="F270" s="8" t="s">
        <v>4422</v>
      </c>
      <c r="G270" s="8"/>
      <c r="H270" s="7">
        <v>43556.0</v>
      </c>
      <c r="I270" s="7">
        <v>43558.0</v>
      </c>
      <c r="J270" s="8" t="s">
        <v>4423</v>
      </c>
      <c r="K270" s="8" t="s">
        <v>2101</v>
      </c>
      <c r="L270" s="8">
        <v>2019.0</v>
      </c>
      <c r="M270" s="8">
        <v>7.0</v>
      </c>
      <c r="N270" s="8">
        <v>3.0</v>
      </c>
      <c r="O270" s="8"/>
      <c r="P270" s="8"/>
      <c r="Q270" s="9">
        <v>43525.0</v>
      </c>
      <c r="R270" s="8" t="s">
        <v>2075</v>
      </c>
      <c r="S270" s="8"/>
      <c r="T270" s="8"/>
      <c r="U270" s="8"/>
      <c r="V270" s="8"/>
      <c r="W270" s="8" t="s">
        <v>2102</v>
      </c>
      <c r="X270" s="8"/>
      <c r="Y270" s="8" t="s">
        <v>2497</v>
      </c>
      <c r="Z270" s="8" t="s">
        <v>4424</v>
      </c>
      <c r="AA270" s="8"/>
      <c r="AB270" s="8"/>
      <c r="AC270" s="8" t="s">
        <v>4425</v>
      </c>
      <c r="AD270" s="8" t="s">
        <v>2080</v>
      </c>
      <c r="AE270" s="8" t="s">
        <v>2080</v>
      </c>
      <c r="AF270" s="8"/>
      <c r="AG270" s="8"/>
      <c r="AH270" s="8" t="s">
        <v>4426</v>
      </c>
      <c r="AI270" s="8" t="s">
        <v>4427</v>
      </c>
      <c r="AJ270" s="8" t="s">
        <v>4428</v>
      </c>
      <c r="AK270" s="8" t="s">
        <v>4429</v>
      </c>
      <c r="AL270" s="8" t="s">
        <v>4430</v>
      </c>
      <c r="AM270" s="8" t="s">
        <v>2377</v>
      </c>
    </row>
    <row r="271" ht="14.25" customHeight="1">
      <c r="A271" s="8">
        <v>131.0</v>
      </c>
      <c r="B271" s="8" t="s">
        <v>2481</v>
      </c>
      <c r="C271" s="8"/>
      <c r="D271" s="8" t="s">
        <v>2482</v>
      </c>
      <c r="E271" s="8" t="s">
        <v>2483</v>
      </c>
      <c r="F271" s="8" t="s">
        <v>2484</v>
      </c>
      <c r="G271" s="8"/>
      <c r="H271" s="7">
        <v>43388.0</v>
      </c>
      <c r="I271" s="7">
        <v>43496.0</v>
      </c>
      <c r="J271" s="8" t="s">
        <v>2485</v>
      </c>
      <c r="K271" s="8" t="s">
        <v>2241</v>
      </c>
      <c r="L271" s="8">
        <v>2019.0</v>
      </c>
      <c r="M271" s="8">
        <v>35.0</v>
      </c>
      <c r="N271" s="8">
        <v>2.0</v>
      </c>
      <c r="O271" s="8">
        <v>489.0</v>
      </c>
      <c r="P271" s="8">
        <v>499.0</v>
      </c>
      <c r="Q271" s="9">
        <v>43497.0</v>
      </c>
      <c r="R271" s="8" t="s">
        <v>2075</v>
      </c>
      <c r="S271" s="8"/>
      <c r="T271" s="8"/>
      <c r="U271" s="8"/>
      <c r="V271" s="8"/>
      <c r="W271" s="8" t="s">
        <v>2242</v>
      </c>
      <c r="X271" s="8"/>
      <c r="Y271" s="8" t="s">
        <v>2243</v>
      </c>
      <c r="Z271" s="8" t="s">
        <v>2486</v>
      </c>
      <c r="AA271" s="8"/>
      <c r="AB271" s="8"/>
      <c r="AC271" s="8"/>
      <c r="AD271" s="8" t="s">
        <v>2080</v>
      </c>
      <c r="AE271" s="8" t="s">
        <v>2080</v>
      </c>
      <c r="AF271" s="8"/>
      <c r="AG271" s="8">
        <v>3.0301627E7</v>
      </c>
      <c r="AH271" s="8" t="s">
        <v>2487</v>
      </c>
      <c r="AI271" s="8" t="s">
        <v>2488</v>
      </c>
      <c r="AJ271" s="8" t="s">
        <v>2489</v>
      </c>
      <c r="AK271" s="8" t="s">
        <v>2490</v>
      </c>
      <c r="AL271" s="8" t="s">
        <v>2491</v>
      </c>
      <c r="AM271" s="8" t="s">
        <v>2456</v>
      </c>
    </row>
    <row r="272" ht="14.25" customHeight="1">
      <c r="A272" s="8">
        <v>132.0</v>
      </c>
      <c r="B272" s="8" t="s">
        <v>4431</v>
      </c>
      <c r="C272" s="8"/>
      <c r="D272" s="8" t="s">
        <v>4432</v>
      </c>
      <c r="E272" s="8" t="s">
        <v>4433</v>
      </c>
      <c r="F272" s="8" t="s">
        <v>4434</v>
      </c>
      <c r="G272" s="8"/>
      <c r="H272" s="7">
        <v>43532.0</v>
      </c>
      <c r="I272" s="7">
        <v>43536.0</v>
      </c>
      <c r="J272" s="8" t="s">
        <v>4435</v>
      </c>
      <c r="K272" s="8" t="s">
        <v>2101</v>
      </c>
      <c r="L272" s="8">
        <v>2019.0</v>
      </c>
      <c r="M272" s="8">
        <v>7.0</v>
      </c>
      <c r="N272" s="8">
        <v>2.0</v>
      </c>
      <c r="O272" s="8"/>
      <c r="P272" s="8"/>
      <c r="Q272" s="9">
        <v>43497.0</v>
      </c>
      <c r="R272" s="8" t="s">
        <v>2075</v>
      </c>
      <c r="S272" s="8"/>
      <c r="T272" s="8"/>
      <c r="U272" s="8"/>
      <c r="V272" s="8"/>
      <c r="W272" s="8" t="s">
        <v>2102</v>
      </c>
      <c r="X272" s="8"/>
      <c r="Y272" s="8" t="s">
        <v>2497</v>
      </c>
      <c r="Z272" s="8" t="s">
        <v>4436</v>
      </c>
      <c r="AA272" s="8" t="s">
        <v>4437</v>
      </c>
      <c r="AB272" s="8"/>
      <c r="AC272" s="8" t="s">
        <v>4438</v>
      </c>
      <c r="AD272" s="8" t="s">
        <v>2080</v>
      </c>
      <c r="AE272" s="8" t="s">
        <v>2080</v>
      </c>
      <c r="AF272" s="8"/>
      <c r="AG272" s="8"/>
      <c r="AH272" s="8" t="s">
        <v>4439</v>
      </c>
      <c r="AI272" s="8" t="s">
        <v>4440</v>
      </c>
      <c r="AJ272" s="8" t="s">
        <v>4441</v>
      </c>
      <c r="AK272" s="8" t="s">
        <v>4442</v>
      </c>
      <c r="AL272" s="8" t="s">
        <v>4443</v>
      </c>
      <c r="AM272" s="8" t="s">
        <v>2377</v>
      </c>
    </row>
    <row r="273" ht="14.25" customHeight="1">
      <c r="A273" s="8">
        <v>133.0</v>
      </c>
      <c r="B273" s="8" t="s">
        <v>1253</v>
      </c>
      <c r="C273" s="8"/>
      <c r="D273" s="8" t="s">
        <v>4444</v>
      </c>
      <c r="E273" s="8" t="s">
        <v>4445</v>
      </c>
      <c r="F273" s="8"/>
      <c r="G273" s="8"/>
      <c r="H273" s="8"/>
      <c r="I273" s="7">
        <v>43599.0</v>
      </c>
      <c r="J273" s="8" t="s">
        <v>4446</v>
      </c>
      <c r="K273" s="8" t="s">
        <v>2550</v>
      </c>
      <c r="L273" s="8">
        <v>2019.0</v>
      </c>
      <c r="M273" s="8">
        <v>27.0</v>
      </c>
      <c r="N273" s="8">
        <v>1.0</v>
      </c>
      <c r="O273" s="8">
        <v>68.0</v>
      </c>
      <c r="P273" s="8">
        <v>75.0</v>
      </c>
      <c r="Q273" s="9">
        <v>43466.0</v>
      </c>
      <c r="R273" s="8" t="s">
        <v>2075</v>
      </c>
      <c r="S273" s="8"/>
      <c r="T273" s="8"/>
      <c r="U273" s="8"/>
      <c r="V273" s="8"/>
      <c r="W273" s="8" t="s">
        <v>2551</v>
      </c>
      <c r="X273" s="8"/>
      <c r="Y273" s="8" t="s">
        <v>2325</v>
      </c>
      <c r="Z273" s="8" t="s">
        <v>4447</v>
      </c>
      <c r="AA273" s="8"/>
      <c r="AB273" s="8"/>
      <c r="AC273" s="8"/>
      <c r="AD273" s="8" t="s">
        <v>2080</v>
      </c>
      <c r="AE273" s="8" t="s">
        <v>2080</v>
      </c>
      <c r="AF273" s="8"/>
      <c r="AG273" s="8">
        <v>2.9959448E7</v>
      </c>
      <c r="AH273" s="8" t="s">
        <v>4448</v>
      </c>
      <c r="AI273" s="8" t="s">
        <v>1257</v>
      </c>
      <c r="AJ273" s="8" t="s">
        <v>4449</v>
      </c>
      <c r="AK273" s="8" t="s">
        <v>4450</v>
      </c>
      <c r="AL273" s="8" t="s">
        <v>4451</v>
      </c>
      <c r="AM273" s="8" t="s">
        <v>2136</v>
      </c>
    </row>
    <row r="274" ht="14.25" customHeight="1">
      <c r="A274" s="8">
        <v>134.0</v>
      </c>
      <c r="B274" s="8" t="s">
        <v>4452</v>
      </c>
      <c r="C274" s="8"/>
      <c r="D274" s="8" t="s">
        <v>4453</v>
      </c>
      <c r="E274" s="8" t="s">
        <v>4454</v>
      </c>
      <c r="F274" s="8"/>
      <c r="G274" s="8"/>
      <c r="H274" s="7">
        <v>44218.0</v>
      </c>
      <c r="I274" s="8"/>
      <c r="J274" s="8" t="s">
        <v>4455</v>
      </c>
      <c r="K274" s="8" t="s">
        <v>4456</v>
      </c>
      <c r="L274" s="8">
        <v>2019.0</v>
      </c>
      <c r="M274" s="8">
        <v>98.0</v>
      </c>
      <c r="N274" s="8">
        <v>11.0</v>
      </c>
      <c r="O274" s="8"/>
      <c r="P274" s="8"/>
      <c r="Q274" s="8">
        <v>2019.0</v>
      </c>
      <c r="R274" s="8" t="s">
        <v>2075</v>
      </c>
      <c r="S274" s="8"/>
      <c r="T274" s="8"/>
      <c r="U274" s="8"/>
      <c r="V274" s="8"/>
      <c r="W274" s="8" t="s">
        <v>4457</v>
      </c>
      <c r="X274" s="8"/>
      <c r="Y274" s="8" t="s">
        <v>3776</v>
      </c>
      <c r="Z274" s="8" t="s">
        <v>4458</v>
      </c>
      <c r="AA274" s="8"/>
      <c r="AB274" s="8"/>
      <c r="AC274" s="8"/>
      <c r="AD274" s="8" t="s">
        <v>2080</v>
      </c>
      <c r="AE274" s="8" t="s">
        <v>2080</v>
      </c>
      <c r="AF274" s="8"/>
      <c r="AG274" s="8">
        <v>3.0882683E7</v>
      </c>
      <c r="AH274" s="8" t="s">
        <v>4459</v>
      </c>
      <c r="AI274" s="8" t="s">
        <v>1247</v>
      </c>
      <c r="AJ274" s="8" t="s">
        <v>4460</v>
      </c>
      <c r="AK274" s="8" t="s">
        <v>4461</v>
      </c>
      <c r="AL274" s="8" t="s">
        <v>4462</v>
      </c>
      <c r="AM274" s="8" t="s">
        <v>2349</v>
      </c>
    </row>
    <row r="275" ht="14.25" customHeight="1">
      <c r="A275" s="8">
        <v>135.0</v>
      </c>
      <c r="B275" s="8" t="s">
        <v>4463</v>
      </c>
      <c r="C275" s="8"/>
      <c r="D275" s="8"/>
      <c r="E275" s="8"/>
      <c r="F275" s="8"/>
      <c r="G275" s="8"/>
      <c r="H275" s="7">
        <v>45803.0</v>
      </c>
      <c r="I275" s="7">
        <v>45803.0</v>
      </c>
      <c r="J275" s="8" t="s">
        <v>4464</v>
      </c>
      <c r="K275" s="8" t="s">
        <v>2089</v>
      </c>
      <c r="L275" s="8">
        <v>2018.0</v>
      </c>
      <c r="M275" s="8"/>
      <c r="N275" s="8"/>
      <c r="O275" s="8"/>
      <c r="P275" s="8"/>
      <c r="Q275" s="9">
        <v>43369.0</v>
      </c>
      <c r="R275" s="8" t="s">
        <v>2090</v>
      </c>
      <c r="S275" s="8"/>
      <c r="T275" s="8"/>
      <c r="U275" s="8"/>
      <c r="V275" s="8"/>
      <c r="W275" s="8"/>
      <c r="X275" s="8"/>
      <c r="Y275" s="8" t="s">
        <v>2089</v>
      </c>
      <c r="Z275" s="8" t="s">
        <v>4465</v>
      </c>
      <c r="AA275" s="8"/>
      <c r="AB275" s="8"/>
      <c r="AC275" s="8"/>
      <c r="AD275" s="8" t="s">
        <v>2080</v>
      </c>
      <c r="AE275" s="8" t="s">
        <v>2080</v>
      </c>
      <c r="AF275" s="8"/>
      <c r="AG275" s="8"/>
      <c r="AH275" s="8" t="s">
        <v>4466</v>
      </c>
      <c r="AI275" s="8"/>
      <c r="AJ275" s="8" t="s">
        <v>4467</v>
      </c>
      <c r="AK275" s="8" t="s">
        <v>4468</v>
      </c>
      <c r="AL275" s="8"/>
      <c r="AM275" s="8" t="s">
        <v>2095</v>
      </c>
    </row>
    <row r="276" ht="14.25" customHeight="1">
      <c r="A276" s="8">
        <v>136.0</v>
      </c>
      <c r="B276" s="8" t="s">
        <v>1262</v>
      </c>
      <c r="C276" s="8"/>
      <c r="D276" s="8" t="s">
        <v>4469</v>
      </c>
      <c r="E276" s="8" t="s">
        <v>4470</v>
      </c>
      <c r="F276" s="8" t="s">
        <v>4471</v>
      </c>
      <c r="G276" s="8"/>
      <c r="H276" s="7">
        <v>43244.0</v>
      </c>
      <c r="I276" s="7">
        <v>43409.0</v>
      </c>
      <c r="J276" s="8" t="s">
        <v>4472</v>
      </c>
      <c r="K276" s="8" t="s">
        <v>180</v>
      </c>
      <c r="L276" s="8">
        <v>2018.0</v>
      </c>
      <c r="M276" s="8">
        <v>25.0</v>
      </c>
      <c r="N276" s="8">
        <v>4.0</v>
      </c>
      <c r="O276" s="8">
        <v>704.0</v>
      </c>
      <c r="P276" s="8">
        <v>714.0</v>
      </c>
      <c r="Q276" s="9">
        <v>43313.0</v>
      </c>
      <c r="R276" s="8" t="s">
        <v>2075</v>
      </c>
      <c r="S276" s="8"/>
      <c r="T276" s="8"/>
      <c r="U276" s="8"/>
      <c r="V276" s="8"/>
      <c r="W276" s="8" t="s">
        <v>2254</v>
      </c>
      <c r="X276" s="8"/>
      <c r="Y276" s="8" t="s">
        <v>2255</v>
      </c>
      <c r="Z276" s="8" t="s">
        <v>4473</v>
      </c>
      <c r="AA276" s="8"/>
      <c r="AB276" s="8"/>
      <c r="AC276" s="8"/>
      <c r="AD276" s="8" t="s">
        <v>2080</v>
      </c>
      <c r="AE276" s="8" t="s">
        <v>2080</v>
      </c>
      <c r="AF276" s="8">
        <v>2.0180354231E10</v>
      </c>
      <c r="AG276" s="8">
        <v>2.9776815E7</v>
      </c>
      <c r="AH276" s="8" t="s">
        <v>4474</v>
      </c>
      <c r="AI276" s="8" t="s">
        <v>1266</v>
      </c>
      <c r="AJ276" s="8" t="s">
        <v>4475</v>
      </c>
      <c r="AK276" s="8" t="s">
        <v>4476</v>
      </c>
      <c r="AL276" s="8" t="s">
        <v>4477</v>
      </c>
      <c r="AM276" s="8" t="s">
        <v>2504</v>
      </c>
    </row>
    <row r="277" ht="14.25" customHeight="1">
      <c r="A277" s="8">
        <v>137.0</v>
      </c>
      <c r="B277" s="8" t="s">
        <v>1267</v>
      </c>
      <c r="C277" s="8"/>
      <c r="D277" s="8" t="s">
        <v>4478</v>
      </c>
      <c r="E277" s="8" t="s">
        <v>4479</v>
      </c>
      <c r="F277" s="8" t="s">
        <v>4480</v>
      </c>
      <c r="G277" s="8"/>
      <c r="H277" s="7">
        <v>43236.0</v>
      </c>
      <c r="I277" s="7">
        <v>43538.0</v>
      </c>
      <c r="J277" s="8" t="s">
        <v>4481</v>
      </c>
      <c r="K277" s="8" t="s">
        <v>2241</v>
      </c>
      <c r="L277" s="8">
        <v>2018.0</v>
      </c>
      <c r="M277" s="8">
        <v>34.0</v>
      </c>
      <c r="N277" s="8">
        <v>7.0</v>
      </c>
      <c r="O277" s="8">
        <v>2218.0</v>
      </c>
      <c r="P277" s="8">
        <v>2227.0</v>
      </c>
      <c r="Q277" s="9">
        <v>43282.0</v>
      </c>
      <c r="R277" s="8" t="s">
        <v>2075</v>
      </c>
      <c r="S277" s="8"/>
      <c r="T277" s="8"/>
      <c r="U277" s="8"/>
      <c r="V277" s="8"/>
      <c r="W277" s="8" t="s">
        <v>2242</v>
      </c>
      <c r="X277" s="8"/>
      <c r="Y277" s="8" t="s">
        <v>2243</v>
      </c>
      <c r="Z277" s="8" t="s">
        <v>4482</v>
      </c>
      <c r="AA277" s="8"/>
      <c r="AB277" s="8"/>
      <c r="AC277" s="8"/>
      <c r="AD277" s="8" t="s">
        <v>2080</v>
      </c>
      <c r="AE277" s="8" t="s">
        <v>2080</v>
      </c>
      <c r="AF277" s="8"/>
      <c r="AG277" s="8">
        <v>2.9730208E7</v>
      </c>
      <c r="AH277" s="8" t="s">
        <v>4483</v>
      </c>
      <c r="AI277" s="8" t="s">
        <v>1271</v>
      </c>
      <c r="AJ277" s="8" t="s">
        <v>4484</v>
      </c>
      <c r="AK277" s="8" t="s">
        <v>4485</v>
      </c>
      <c r="AL277" s="8" t="s">
        <v>4486</v>
      </c>
      <c r="AM277" s="8" t="s">
        <v>2456</v>
      </c>
    </row>
    <row r="278" ht="14.25" customHeight="1">
      <c r="A278" s="8">
        <v>138.0</v>
      </c>
      <c r="B278" s="8" t="s">
        <v>248</v>
      </c>
      <c r="C278" s="8"/>
      <c r="D278" s="8" t="s">
        <v>2505</v>
      </c>
      <c r="E278" s="8" t="s">
        <v>2506</v>
      </c>
      <c r="F278" s="8"/>
      <c r="G278" s="8"/>
      <c r="H278" s="7">
        <v>43712.0</v>
      </c>
      <c r="I278" s="7">
        <v>43733.0</v>
      </c>
      <c r="J278" s="8" t="s">
        <v>2507</v>
      </c>
      <c r="K278" s="8" t="s">
        <v>2128</v>
      </c>
      <c r="L278" s="8">
        <v>2018.0</v>
      </c>
      <c r="M278" s="8">
        <v>46.0</v>
      </c>
      <c r="N278" s="8">
        <v>8.0</v>
      </c>
      <c r="O278" s="8">
        <v>1800.0</v>
      </c>
      <c r="P278" s="8">
        <v>1808.0</v>
      </c>
      <c r="Q278" s="9">
        <v>43282.0</v>
      </c>
      <c r="R278" s="8" t="s">
        <v>2075</v>
      </c>
      <c r="S278" s="8"/>
      <c r="T278" s="8"/>
      <c r="U278" s="8"/>
      <c r="V278" s="8"/>
      <c r="W278" s="8" t="s">
        <v>2129</v>
      </c>
      <c r="X278" s="8"/>
      <c r="Y278" s="8" t="s">
        <v>2325</v>
      </c>
      <c r="Z278" s="8" t="s">
        <v>2508</v>
      </c>
      <c r="AA278" s="8"/>
      <c r="AB278" s="8"/>
      <c r="AC278" s="8"/>
      <c r="AD278" s="8" t="s">
        <v>2080</v>
      </c>
      <c r="AE278" s="8" t="s">
        <v>2080</v>
      </c>
      <c r="AF278" s="8"/>
      <c r="AG278" s="8">
        <v>2.9741911E7</v>
      </c>
      <c r="AH278" s="8" t="s">
        <v>2509</v>
      </c>
      <c r="AI278" s="8" t="s">
        <v>252</v>
      </c>
      <c r="AJ278" s="8" t="s">
        <v>2510</v>
      </c>
      <c r="AK278" s="8" t="s">
        <v>2511</v>
      </c>
      <c r="AL278" s="8" t="s">
        <v>2512</v>
      </c>
      <c r="AM278" s="8" t="s">
        <v>2136</v>
      </c>
    </row>
    <row r="279" ht="14.25" customHeight="1">
      <c r="A279" s="8">
        <v>139.0</v>
      </c>
      <c r="B279" s="8" t="s">
        <v>4487</v>
      </c>
      <c r="C279" s="8"/>
      <c r="D279" s="8"/>
      <c r="E279" s="8"/>
      <c r="F279" s="8"/>
      <c r="G279" s="8"/>
      <c r="H279" s="7">
        <v>45792.0</v>
      </c>
      <c r="I279" s="7">
        <v>45792.0</v>
      </c>
      <c r="J279" s="8" t="s">
        <v>4488</v>
      </c>
      <c r="K279" s="8" t="s">
        <v>2089</v>
      </c>
      <c r="L279" s="8">
        <v>2018.0</v>
      </c>
      <c r="M279" s="8"/>
      <c r="N279" s="8"/>
      <c r="O279" s="8"/>
      <c r="P279" s="8"/>
      <c r="Q279" s="9">
        <v>43277.0</v>
      </c>
      <c r="R279" s="8" t="s">
        <v>2090</v>
      </c>
      <c r="S279" s="8"/>
      <c r="T279" s="8"/>
      <c r="U279" s="8"/>
      <c r="V279" s="8"/>
      <c r="W279" s="8"/>
      <c r="X279" s="8"/>
      <c r="Y279" s="8" t="s">
        <v>2089</v>
      </c>
      <c r="Z279" s="8" t="s">
        <v>4489</v>
      </c>
      <c r="AA279" s="8"/>
      <c r="AB279" s="8"/>
      <c r="AC279" s="8"/>
      <c r="AD279" s="8" t="s">
        <v>2080</v>
      </c>
      <c r="AE279" s="8" t="s">
        <v>2080</v>
      </c>
      <c r="AF279" s="8"/>
      <c r="AG279" s="8"/>
      <c r="AH279" s="8" t="s">
        <v>4490</v>
      </c>
      <c r="AI279" s="8"/>
      <c r="AJ279" s="8" t="s">
        <v>4491</v>
      </c>
      <c r="AK279" s="8" t="s">
        <v>4492</v>
      </c>
      <c r="AL279" s="8"/>
      <c r="AM279" s="8" t="s">
        <v>2095</v>
      </c>
    </row>
    <row r="280" ht="14.25" customHeight="1">
      <c r="A280" s="8">
        <v>140.0</v>
      </c>
      <c r="B280" s="8" t="s">
        <v>4493</v>
      </c>
      <c r="C280" s="8"/>
      <c r="D280" s="8" t="s">
        <v>4494</v>
      </c>
      <c r="E280" s="8" t="s">
        <v>4495</v>
      </c>
      <c r="F280" s="8" t="s">
        <v>4496</v>
      </c>
      <c r="G280" s="8"/>
      <c r="H280" s="7">
        <v>43220.0</v>
      </c>
      <c r="I280" s="7">
        <v>44040.0</v>
      </c>
      <c r="J280" s="8" t="s">
        <v>4497</v>
      </c>
      <c r="K280" s="8" t="s">
        <v>3496</v>
      </c>
      <c r="L280" s="8">
        <v>2018.0</v>
      </c>
      <c r="M280" s="8">
        <v>19.0</v>
      </c>
      <c r="N280" s="8">
        <v>1.0</v>
      </c>
      <c r="O280" s="8"/>
      <c r="P280" s="8"/>
      <c r="Q280" s="9">
        <v>43210.0</v>
      </c>
      <c r="R280" s="8" t="s">
        <v>2075</v>
      </c>
      <c r="S280" s="8"/>
      <c r="T280" s="8"/>
      <c r="U280" s="8"/>
      <c r="V280" s="8"/>
      <c r="W280" s="8" t="s">
        <v>3497</v>
      </c>
      <c r="X280" s="8"/>
      <c r="Y280" s="8" t="s">
        <v>4498</v>
      </c>
      <c r="Z280" s="8" t="s">
        <v>4499</v>
      </c>
      <c r="AA280" s="8"/>
      <c r="AB280" s="8"/>
      <c r="AC280" s="8"/>
      <c r="AD280" s="8" t="s">
        <v>2080</v>
      </c>
      <c r="AE280" s="8" t="s">
        <v>2080</v>
      </c>
      <c r="AF280" s="8"/>
      <c r="AG280" s="8">
        <v>2.967817E7</v>
      </c>
      <c r="AH280" s="8" t="s">
        <v>4500</v>
      </c>
      <c r="AI280" s="8" t="s">
        <v>1277</v>
      </c>
      <c r="AJ280" s="8" t="s">
        <v>4501</v>
      </c>
      <c r="AK280" s="8" t="s">
        <v>4502</v>
      </c>
      <c r="AL280" s="8" t="s">
        <v>4503</v>
      </c>
      <c r="AM280" s="8" t="s">
        <v>2377</v>
      </c>
    </row>
    <row r="281" ht="14.25" customHeight="1">
      <c r="A281" s="8">
        <v>141.0</v>
      </c>
      <c r="B281" s="8" t="s">
        <v>4504</v>
      </c>
      <c r="C281" s="8"/>
      <c r="D281" s="8" t="s">
        <v>4505</v>
      </c>
      <c r="E281" s="8" t="s">
        <v>4506</v>
      </c>
      <c r="F281" s="8" t="s">
        <v>4507</v>
      </c>
      <c r="G281" s="8"/>
      <c r="H281" s="7">
        <v>42818.0</v>
      </c>
      <c r="I281" s="7">
        <v>43263.0</v>
      </c>
      <c r="J281" s="8" t="s">
        <v>4508</v>
      </c>
      <c r="K281" s="8" t="s">
        <v>2462</v>
      </c>
      <c r="L281" s="8">
        <v>2018.0</v>
      </c>
      <c r="M281" s="8">
        <v>9.0</v>
      </c>
      <c r="N281" s="8">
        <v>2.0</v>
      </c>
      <c r="O281" s="8">
        <v>163.0</v>
      </c>
      <c r="P281" s="8">
        <v>166.0</v>
      </c>
      <c r="Q281" s="9">
        <v>43191.0</v>
      </c>
      <c r="R281" s="8" t="s">
        <v>2075</v>
      </c>
      <c r="S281" s="8"/>
      <c r="T281" s="8"/>
      <c r="U281" s="8"/>
      <c r="V281" s="8"/>
      <c r="W281" s="8" t="s">
        <v>2463</v>
      </c>
      <c r="X281" s="8"/>
      <c r="Y281" s="8" t="s">
        <v>2255</v>
      </c>
      <c r="Z281" s="8" t="s">
        <v>4509</v>
      </c>
      <c r="AA281" s="8"/>
      <c r="AB281" s="8"/>
      <c r="AC281" s="8"/>
      <c r="AD281" s="8" t="s">
        <v>2080</v>
      </c>
      <c r="AE281" s="8" t="s">
        <v>2080</v>
      </c>
      <c r="AF281" s="8">
        <v>2.0170205659E10</v>
      </c>
      <c r="AG281" s="8"/>
      <c r="AH281" s="8" t="s">
        <v>4510</v>
      </c>
      <c r="AI281" s="8" t="s">
        <v>4511</v>
      </c>
      <c r="AJ281" s="8" t="s">
        <v>4512</v>
      </c>
      <c r="AK281" s="8" t="s">
        <v>4513</v>
      </c>
      <c r="AL281" s="8" t="s">
        <v>4514</v>
      </c>
      <c r="AM281" s="8" t="s">
        <v>2504</v>
      </c>
    </row>
    <row r="282" ht="14.25" customHeight="1">
      <c r="A282" s="8">
        <v>142.0</v>
      </c>
      <c r="B282" s="8" t="s">
        <v>1278</v>
      </c>
      <c r="C282" s="8"/>
      <c r="D282" s="8" t="s">
        <v>4515</v>
      </c>
      <c r="E282" s="8" t="s">
        <v>4516</v>
      </c>
      <c r="F282" s="8"/>
      <c r="G282" s="8"/>
      <c r="H282" s="7">
        <v>43669.0</v>
      </c>
      <c r="I282" s="7">
        <v>43721.0</v>
      </c>
      <c r="J282" s="8" t="s">
        <v>4517</v>
      </c>
      <c r="K282" s="8" t="s">
        <v>2128</v>
      </c>
      <c r="L282" s="8">
        <v>2018.0</v>
      </c>
      <c r="M282" s="8">
        <v>46.0</v>
      </c>
      <c r="N282" s="8">
        <v>5.0</v>
      </c>
      <c r="O282" s="8">
        <v>1143.0</v>
      </c>
      <c r="P282" s="8">
        <v>1149.0</v>
      </c>
      <c r="Q282" s="9">
        <v>43191.0</v>
      </c>
      <c r="R282" s="8" t="s">
        <v>2075</v>
      </c>
      <c r="S282" s="8"/>
      <c r="T282" s="8"/>
      <c r="U282" s="8"/>
      <c r="V282" s="8"/>
      <c r="W282" s="8" t="s">
        <v>2129</v>
      </c>
      <c r="X282" s="8"/>
      <c r="Y282" s="8" t="s">
        <v>2325</v>
      </c>
      <c r="Z282" s="8" t="s">
        <v>4518</v>
      </c>
      <c r="AA282" s="8"/>
      <c r="AB282" s="8"/>
      <c r="AC282" s="8"/>
      <c r="AD282" s="8" t="s">
        <v>2080</v>
      </c>
      <c r="AE282" s="8" t="s">
        <v>2080</v>
      </c>
      <c r="AF282" s="8"/>
      <c r="AG282" s="8">
        <v>2.9443537E7</v>
      </c>
      <c r="AH282" s="8" t="s">
        <v>4519</v>
      </c>
      <c r="AI282" s="8" t="s">
        <v>1282</v>
      </c>
      <c r="AJ282" s="8" t="s">
        <v>4520</v>
      </c>
      <c r="AK282" s="8" t="s">
        <v>4521</v>
      </c>
      <c r="AL282" s="8" t="s">
        <v>4522</v>
      </c>
      <c r="AM282" s="8" t="s">
        <v>2136</v>
      </c>
    </row>
    <row r="283" ht="14.25" customHeight="1">
      <c r="A283" s="8">
        <v>143.0</v>
      </c>
      <c r="B283" s="8" t="s">
        <v>4523</v>
      </c>
      <c r="C283" s="8"/>
      <c r="D283" s="8"/>
      <c r="E283" s="8"/>
      <c r="F283" s="8"/>
      <c r="G283" s="8"/>
      <c r="H283" s="7">
        <v>45792.0</v>
      </c>
      <c r="I283" s="7">
        <v>45792.0</v>
      </c>
      <c r="J283" s="8" t="s">
        <v>4524</v>
      </c>
      <c r="K283" s="8" t="s">
        <v>2089</v>
      </c>
      <c r="L283" s="8">
        <v>2018.0</v>
      </c>
      <c r="M283" s="8"/>
      <c r="N283" s="8"/>
      <c r="O283" s="8"/>
      <c r="P283" s="8"/>
      <c r="Q283" s="9">
        <v>43144.0</v>
      </c>
      <c r="R283" s="8" t="s">
        <v>2090</v>
      </c>
      <c r="S283" s="8"/>
      <c r="T283" s="8"/>
      <c r="U283" s="8"/>
      <c r="V283" s="8"/>
      <c r="W283" s="8"/>
      <c r="X283" s="8"/>
      <c r="Y283" s="8" t="s">
        <v>2089</v>
      </c>
      <c r="Z283" s="8" t="s">
        <v>4525</v>
      </c>
      <c r="AA283" s="8"/>
      <c r="AB283" s="8"/>
      <c r="AC283" s="8"/>
      <c r="AD283" s="8" t="s">
        <v>2080</v>
      </c>
      <c r="AE283" s="8" t="s">
        <v>2080</v>
      </c>
      <c r="AF283" s="8"/>
      <c r="AG283" s="8"/>
      <c r="AH283" s="8" t="s">
        <v>4526</v>
      </c>
      <c r="AI283" s="8"/>
      <c r="AJ283" s="8" t="s">
        <v>4527</v>
      </c>
      <c r="AK283" s="8" t="s">
        <v>4528</v>
      </c>
      <c r="AL283" s="8"/>
      <c r="AM283" s="8" t="s">
        <v>2095</v>
      </c>
    </row>
    <row r="284" ht="14.25" customHeight="1">
      <c r="A284" s="8">
        <v>144.0</v>
      </c>
      <c r="B284" s="8" t="s">
        <v>4529</v>
      </c>
      <c r="C284" s="8"/>
      <c r="D284" s="8"/>
      <c r="E284" s="8"/>
      <c r="F284" s="8"/>
      <c r="G284" s="8"/>
      <c r="H284" s="7">
        <v>45806.0</v>
      </c>
      <c r="I284" s="7">
        <v>45806.0</v>
      </c>
      <c r="J284" s="8" t="s">
        <v>4530</v>
      </c>
      <c r="K284" s="8" t="s">
        <v>2089</v>
      </c>
      <c r="L284" s="8">
        <v>2018.0</v>
      </c>
      <c r="M284" s="8"/>
      <c r="N284" s="8"/>
      <c r="O284" s="8"/>
      <c r="P284" s="8"/>
      <c r="Q284" s="9">
        <v>43133.0</v>
      </c>
      <c r="R284" s="8" t="s">
        <v>2090</v>
      </c>
      <c r="S284" s="8"/>
      <c r="T284" s="8"/>
      <c r="U284" s="8"/>
      <c r="V284" s="8"/>
      <c r="W284" s="8"/>
      <c r="X284" s="8"/>
      <c r="Y284" s="8" t="s">
        <v>2089</v>
      </c>
      <c r="Z284" s="8" t="s">
        <v>4531</v>
      </c>
      <c r="AA284" s="8"/>
      <c r="AB284" s="8"/>
      <c r="AC284" s="8"/>
      <c r="AD284" s="8" t="s">
        <v>2080</v>
      </c>
      <c r="AE284" s="8" t="s">
        <v>2080</v>
      </c>
      <c r="AF284" s="8"/>
      <c r="AG284" s="8"/>
      <c r="AH284" s="8" t="s">
        <v>4532</v>
      </c>
      <c r="AI284" s="8"/>
      <c r="AJ284" s="8" t="s">
        <v>4533</v>
      </c>
      <c r="AK284" s="8" t="s">
        <v>4534</v>
      </c>
      <c r="AL284" s="8"/>
      <c r="AM284" s="8" t="s">
        <v>2095</v>
      </c>
    </row>
    <row r="285" ht="14.25" customHeight="1">
      <c r="A285" s="8">
        <v>145.0</v>
      </c>
      <c r="B285" s="8" t="s">
        <v>2522</v>
      </c>
      <c r="C285" s="8"/>
      <c r="D285" s="8" t="s">
        <v>2523</v>
      </c>
      <c r="E285" s="8" t="s">
        <v>2524</v>
      </c>
      <c r="F285" s="8" t="s">
        <v>2525</v>
      </c>
      <c r="G285" s="8"/>
      <c r="H285" s="8"/>
      <c r="I285" s="7">
        <v>43158.0</v>
      </c>
      <c r="J285" s="8" t="s">
        <v>2526</v>
      </c>
      <c r="K285" s="8" t="s">
        <v>2527</v>
      </c>
      <c r="L285" s="8">
        <v>2018.0</v>
      </c>
      <c r="M285" s="8">
        <v>46.0</v>
      </c>
      <c r="N285" s="8">
        <v>2.0</v>
      </c>
      <c r="O285" s="8">
        <v>785.0</v>
      </c>
      <c r="P285" s="8">
        <v>791.0</v>
      </c>
      <c r="Q285" s="9">
        <v>43132.0</v>
      </c>
      <c r="R285" s="8" t="s">
        <v>2075</v>
      </c>
      <c r="S285" s="8"/>
      <c r="T285" s="8"/>
      <c r="U285" s="8"/>
      <c r="V285" s="8"/>
      <c r="W285" s="8" t="s">
        <v>2528</v>
      </c>
      <c r="X285" s="8"/>
      <c r="Y285" s="8" t="s">
        <v>2497</v>
      </c>
      <c r="Z285" s="8" t="s">
        <v>2529</v>
      </c>
      <c r="AA285" s="8"/>
      <c r="AB285" s="8"/>
      <c r="AC285" s="8"/>
      <c r="AD285" s="8" t="s">
        <v>2080</v>
      </c>
      <c r="AE285" s="8" t="s">
        <v>2080</v>
      </c>
      <c r="AF285" s="8">
        <v>2.0180128486E10</v>
      </c>
      <c r="AG285" s="8">
        <v>2.8856925E7</v>
      </c>
      <c r="AH285" s="8" t="s">
        <v>2530</v>
      </c>
      <c r="AI285" s="8" t="s">
        <v>2531</v>
      </c>
      <c r="AJ285" s="8" t="s">
        <v>2532</v>
      </c>
      <c r="AK285" s="8" t="s">
        <v>2533</v>
      </c>
      <c r="AL285" s="8" t="s">
        <v>2534</v>
      </c>
      <c r="AM285" s="8" t="s">
        <v>2504</v>
      </c>
    </row>
    <row r="286" ht="14.25" customHeight="1">
      <c r="A286" s="8">
        <v>146.0</v>
      </c>
      <c r="B286" s="8" t="s">
        <v>1303</v>
      </c>
      <c r="C286" s="8"/>
      <c r="D286" s="8" t="s">
        <v>4535</v>
      </c>
      <c r="E286" s="8" t="s">
        <v>4536</v>
      </c>
      <c r="F286" s="8"/>
      <c r="G286" s="8"/>
      <c r="H286" s="8"/>
      <c r="I286" s="7">
        <v>43301.0</v>
      </c>
      <c r="J286" s="8" t="s">
        <v>4537</v>
      </c>
      <c r="K286" s="8" t="s">
        <v>2550</v>
      </c>
      <c r="L286" s="8">
        <v>2018.0</v>
      </c>
      <c r="M286" s="8">
        <v>26.0</v>
      </c>
      <c r="N286" s="8">
        <v>2.0</v>
      </c>
      <c r="O286" s="8">
        <v>374.0</v>
      </c>
      <c r="P286" s="8">
        <v>380.0</v>
      </c>
      <c r="Q286" s="9">
        <v>43132.0</v>
      </c>
      <c r="R286" s="8" t="s">
        <v>2075</v>
      </c>
      <c r="S286" s="8"/>
      <c r="T286" s="8"/>
      <c r="U286" s="8"/>
      <c r="V286" s="8"/>
      <c r="W286" s="8" t="s">
        <v>2551</v>
      </c>
      <c r="X286" s="8"/>
      <c r="Y286" s="8"/>
      <c r="Z286" s="8" t="s">
        <v>4538</v>
      </c>
      <c r="AA286" s="8"/>
      <c r="AB286" s="8"/>
      <c r="AC286" s="8"/>
      <c r="AD286" s="8" t="s">
        <v>2080</v>
      </c>
      <c r="AE286" s="8" t="s">
        <v>2080</v>
      </c>
      <c r="AF286" s="8"/>
      <c r="AG286" s="8">
        <v>2.867474E7</v>
      </c>
      <c r="AH286" s="8" t="s">
        <v>4539</v>
      </c>
      <c r="AI286" s="8" t="s">
        <v>1307</v>
      </c>
      <c r="AJ286" s="8" t="s">
        <v>4540</v>
      </c>
      <c r="AK286" s="8" t="s">
        <v>4541</v>
      </c>
      <c r="AL286" s="8" t="s">
        <v>4542</v>
      </c>
      <c r="AM286" s="8" t="s">
        <v>2557</v>
      </c>
    </row>
    <row r="287" ht="14.25" customHeight="1">
      <c r="A287" s="8">
        <v>147.0</v>
      </c>
      <c r="B287" s="8" t="s">
        <v>4543</v>
      </c>
      <c r="C287" s="8"/>
      <c r="D287" s="8"/>
      <c r="E287" s="8"/>
      <c r="F287" s="8"/>
      <c r="G287" s="8"/>
      <c r="H287" s="7">
        <v>45792.0</v>
      </c>
      <c r="I287" s="7">
        <v>45792.0</v>
      </c>
      <c r="J287" s="8" t="s">
        <v>4544</v>
      </c>
      <c r="K287" s="8" t="s">
        <v>2089</v>
      </c>
      <c r="L287" s="8">
        <v>2018.0</v>
      </c>
      <c r="M287" s="8"/>
      <c r="N287" s="8"/>
      <c r="O287" s="8"/>
      <c r="P287" s="8"/>
      <c r="Q287" s="9">
        <v>43127.0</v>
      </c>
      <c r="R287" s="8" t="s">
        <v>2090</v>
      </c>
      <c r="S287" s="8"/>
      <c r="T287" s="8"/>
      <c r="U287" s="8"/>
      <c r="V287" s="8"/>
      <c r="W287" s="8"/>
      <c r="X287" s="8"/>
      <c r="Y287" s="8" t="s">
        <v>2089</v>
      </c>
      <c r="Z287" s="8" t="s">
        <v>4545</v>
      </c>
      <c r="AA287" s="8"/>
      <c r="AB287" s="8"/>
      <c r="AC287" s="8"/>
      <c r="AD287" s="8" t="s">
        <v>2080</v>
      </c>
      <c r="AE287" s="8" t="s">
        <v>2080</v>
      </c>
      <c r="AF287" s="8"/>
      <c r="AG287" s="8"/>
      <c r="AH287" s="8" t="s">
        <v>4546</v>
      </c>
      <c r="AI287" s="8"/>
      <c r="AJ287" s="8" t="s">
        <v>4547</v>
      </c>
      <c r="AK287" s="8" t="s">
        <v>4548</v>
      </c>
      <c r="AL287" s="8"/>
      <c r="AM287" s="8" t="s">
        <v>2095</v>
      </c>
    </row>
    <row r="288" ht="14.25" customHeight="1">
      <c r="A288" s="8">
        <v>148.0</v>
      </c>
      <c r="B288" s="8" t="s">
        <v>4549</v>
      </c>
      <c r="C288" s="8"/>
      <c r="D288" s="8" t="s">
        <v>4550</v>
      </c>
      <c r="E288" s="8" t="s">
        <v>4551</v>
      </c>
      <c r="F288" s="8" t="s">
        <v>4552</v>
      </c>
      <c r="G288" s="8"/>
      <c r="H288" s="7">
        <v>43132.0</v>
      </c>
      <c r="I288" s="7">
        <v>43136.0</v>
      </c>
      <c r="J288" s="8" t="s">
        <v>4553</v>
      </c>
      <c r="K288" s="8" t="s">
        <v>1966</v>
      </c>
      <c r="L288" s="8">
        <v>2018.0</v>
      </c>
      <c r="M288" s="8">
        <v>19.0</v>
      </c>
      <c r="N288" s="8">
        <v>1.0</v>
      </c>
      <c r="O288" s="8"/>
      <c r="P288" s="8"/>
      <c r="Q288" s="9">
        <v>43126.0</v>
      </c>
      <c r="R288" s="8" t="s">
        <v>2075</v>
      </c>
      <c r="S288" s="8"/>
      <c r="T288" s="8"/>
      <c r="U288" s="8"/>
      <c r="V288" s="8"/>
      <c r="W288" s="8" t="s">
        <v>4554</v>
      </c>
      <c r="X288" s="8"/>
      <c r="Y288" s="8" t="s">
        <v>4397</v>
      </c>
      <c r="Z288" s="8" t="s">
        <v>4555</v>
      </c>
      <c r="AA288" s="8"/>
      <c r="AB288" s="8"/>
      <c r="AC288" s="8" t="s">
        <v>4556</v>
      </c>
      <c r="AD288" s="8" t="s">
        <v>2080</v>
      </c>
      <c r="AE288" s="8" t="s">
        <v>2080</v>
      </c>
      <c r="AF288" s="8">
        <v>2.0180057389E10</v>
      </c>
      <c r="AG288" s="8">
        <v>2.9373984E7</v>
      </c>
      <c r="AH288" s="8" t="s">
        <v>4557</v>
      </c>
      <c r="AI288" s="8" t="s">
        <v>4558</v>
      </c>
      <c r="AJ288" s="8" t="s">
        <v>4559</v>
      </c>
      <c r="AK288" s="8" t="s">
        <v>4560</v>
      </c>
      <c r="AL288" s="8" t="s">
        <v>4561</v>
      </c>
      <c r="AM288" s="8" t="s">
        <v>2504</v>
      </c>
    </row>
    <row r="289" ht="14.25" customHeight="1">
      <c r="A289" s="8">
        <v>149.0</v>
      </c>
      <c r="B289" s="8" t="s">
        <v>1283</v>
      </c>
      <c r="C289" s="8"/>
      <c r="D289" s="8" t="s">
        <v>4562</v>
      </c>
      <c r="E289" s="8" t="s">
        <v>4563</v>
      </c>
      <c r="F289" s="8" t="s">
        <v>4564</v>
      </c>
      <c r="G289" s="8"/>
      <c r="H289" s="7">
        <v>43157.0</v>
      </c>
      <c r="I289" s="7">
        <v>43476.0</v>
      </c>
      <c r="J289" s="8" t="s">
        <v>4565</v>
      </c>
      <c r="K289" s="8" t="s">
        <v>4566</v>
      </c>
      <c r="L289" s="8">
        <v>2018.0</v>
      </c>
      <c r="M289" s="8">
        <v>31.0</v>
      </c>
      <c r="N289" s="8">
        <v>10.0</v>
      </c>
      <c r="O289" s="8">
        <v>1022.0</v>
      </c>
      <c r="P289" s="8">
        <v>1030.0</v>
      </c>
      <c r="Q289" s="8">
        <v>2018.0</v>
      </c>
      <c r="R289" s="8" t="s">
        <v>2075</v>
      </c>
      <c r="S289" s="8"/>
      <c r="T289" s="8"/>
      <c r="U289" s="8"/>
      <c r="V289" s="8"/>
      <c r="W289" s="8" t="s">
        <v>4567</v>
      </c>
      <c r="X289" s="8"/>
      <c r="Y289" s="8" t="s">
        <v>4568</v>
      </c>
      <c r="Z289" s="8" t="s">
        <v>4569</v>
      </c>
      <c r="AA289" s="8"/>
      <c r="AB289" s="8"/>
      <c r="AC289" s="8"/>
      <c r="AD289" s="8" t="s">
        <v>2080</v>
      </c>
      <c r="AE289" s="8" t="s">
        <v>2080</v>
      </c>
      <c r="AF289" s="8">
        <v>2.0180121878E10</v>
      </c>
      <c r="AG289" s="8">
        <v>2.9421837E7</v>
      </c>
      <c r="AH289" s="8" t="s">
        <v>4570</v>
      </c>
      <c r="AI289" s="8" t="s">
        <v>1287</v>
      </c>
      <c r="AJ289" s="8" t="s">
        <v>4571</v>
      </c>
      <c r="AK289" s="8" t="s">
        <v>4572</v>
      </c>
      <c r="AL289" s="8" t="s">
        <v>4573</v>
      </c>
      <c r="AM289" s="8" t="s">
        <v>2504</v>
      </c>
    </row>
    <row r="290" ht="14.25" customHeight="1">
      <c r="A290" s="8">
        <v>150.0</v>
      </c>
      <c r="B290" s="8" t="s">
        <v>4574</v>
      </c>
      <c r="C290" s="8" t="s">
        <v>4575</v>
      </c>
      <c r="D290" s="8" t="s">
        <v>4576</v>
      </c>
      <c r="E290" s="8" t="s">
        <v>4577</v>
      </c>
      <c r="F290" s="8"/>
      <c r="G290" s="8"/>
      <c r="H290" s="7">
        <v>43420.0</v>
      </c>
      <c r="I290" s="7">
        <v>43531.0</v>
      </c>
      <c r="J290" s="8" t="s">
        <v>4578</v>
      </c>
      <c r="K290" s="8" t="s">
        <v>4078</v>
      </c>
      <c r="L290" s="8">
        <v>2018.0</v>
      </c>
      <c r="M290" s="8">
        <v>85.0</v>
      </c>
      <c r="N290" s="8">
        <v>5.0</v>
      </c>
      <c r="O290" s="8">
        <v>343.0</v>
      </c>
      <c r="P290" s="8">
        <v>350.0</v>
      </c>
      <c r="Q290" s="8">
        <v>2018.0</v>
      </c>
      <c r="R290" s="8" t="s">
        <v>2075</v>
      </c>
      <c r="S290" s="8"/>
      <c r="T290" s="8"/>
      <c r="U290" s="8"/>
      <c r="V290" s="8"/>
      <c r="W290" s="8" t="s">
        <v>4079</v>
      </c>
      <c r="X290" s="8"/>
      <c r="Y290" s="8" t="s">
        <v>4579</v>
      </c>
      <c r="Z290" s="8" t="s">
        <v>4580</v>
      </c>
      <c r="AA290" s="8"/>
      <c r="AB290" s="8"/>
      <c r="AC290" s="8"/>
      <c r="AD290" s="8" t="s">
        <v>2080</v>
      </c>
      <c r="AE290" s="8" t="s">
        <v>2080</v>
      </c>
      <c r="AF290" s="8">
        <v>2.0180794595E10</v>
      </c>
      <c r="AG290" s="8">
        <v>3.0383531E7</v>
      </c>
      <c r="AH290" s="8" t="s">
        <v>4581</v>
      </c>
      <c r="AI290" s="8"/>
      <c r="AJ290" s="8"/>
      <c r="AK290" s="8" t="s">
        <v>4582</v>
      </c>
      <c r="AL290" s="8" t="s">
        <v>4583</v>
      </c>
      <c r="AM290" s="8" t="s">
        <v>2504</v>
      </c>
    </row>
    <row r="291" ht="14.25" customHeight="1">
      <c r="A291" s="8">
        <v>151.0</v>
      </c>
      <c r="B291" s="8" t="s">
        <v>4584</v>
      </c>
      <c r="C291" s="8"/>
      <c r="D291" s="8"/>
      <c r="E291" s="8"/>
      <c r="F291" s="8"/>
      <c r="G291" s="8"/>
      <c r="H291" s="7">
        <v>45800.0</v>
      </c>
      <c r="I291" s="7">
        <v>45800.0</v>
      </c>
      <c r="J291" s="8" t="s">
        <v>4585</v>
      </c>
      <c r="K291" s="8" t="s">
        <v>2089</v>
      </c>
      <c r="L291" s="8">
        <v>2017.0</v>
      </c>
      <c r="M291" s="8"/>
      <c r="N291" s="8"/>
      <c r="O291" s="8"/>
      <c r="P291" s="8"/>
      <c r="Q291" s="9">
        <v>43098.0</v>
      </c>
      <c r="R291" s="8" t="s">
        <v>2090</v>
      </c>
      <c r="S291" s="8"/>
      <c r="T291" s="8"/>
      <c r="U291" s="8"/>
      <c r="V291" s="8"/>
      <c r="W291" s="8"/>
      <c r="X291" s="8"/>
      <c r="Y291" s="8" t="s">
        <v>2089</v>
      </c>
      <c r="Z291" s="8" t="s">
        <v>4586</v>
      </c>
      <c r="AA291" s="8"/>
      <c r="AB291" s="8"/>
      <c r="AC291" s="8"/>
      <c r="AD291" s="8" t="s">
        <v>2080</v>
      </c>
      <c r="AE291" s="8" t="s">
        <v>2080</v>
      </c>
      <c r="AF291" s="8"/>
      <c r="AG291" s="8"/>
      <c r="AH291" s="8" t="s">
        <v>4587</v>
      </c>
      <c r="AI291" s="8"/>
      <c r="AJ291" s="8" t="s">
        <v>4588</v>
      </c>
      <c r="AK291" s="8" t="s">
        <v>4589</v>
      </c>
      <c r="AL291" s="8"/>
      <c r="AM291" s="8" t="s">
        <v>2095</v>
      </c>
    </row>
    <row r="292" ht="14.25" customHeight="1">
      <c r="A292" s="8">
        <v>152.0</v>
      </c>
      <c r="B292" s="8" t="s">
        <v>4590</v>
      </c>
      <c r="C292" s="8"/>
      <c r="D292" s="8" t="s">
        <v>4591</v>
      </c>
      <c r="E292" s="8" t="s">
        <v>4592</v>
      </c>
      <c r="F292" s="8" t="s">
        <v>4593</v>
      </c>
      <c r="G292" s="8"/>
      <c r="H292" s="7">
        <v>42969.0</v>
      </c>
      <c r="I292" s="7">
        <v>43283.0</v>
      </c>
      <c r="J292" s="8" t="s">
        <v>4594</v>
      </c>
      <c r="K292" s="8" t="s">
        <v>2241</v>
      </c>
      <c r="L292" s="8">
        <v>2017.0</v>
      </c>
      <c r="M292" s="8">
        <v>33.0</v>
      </c>
      <c r="N292" s="8">
        <v>12.0</v>
      </c>
      <c r="O292" s="8">
        <v>2184.0</v>
      </c>
      <c r="P292" s="8">
        <v>2194.0</v>
      </c>
      <c r="Q292" s="9">
        <v>43070.0</v>
      </c>
      <c r="R292" s="8" t="s">
        <v>2075</v>
      </c>
      <c r="S292" s="8"/>
      <c r="T292" s="8"/>
      <c r="U292" s="8"/>
      <c r="V292" s="8"/>
      <c r="W292" s="8" t="s">
        <v>2242</v>
      </c>
      <c r="X292" s="8"/>
      <c r="Y292" s="8" t="s">
        <v>2243</v>
      </c>
      <c r="Z292" s="8" t="s">
        <v>4595</v>
      </c>
      <c r="AA292" s="8"/>
      <c r="AB292" s="8"/>
      <c r="AC292" s="8"/>
      <c r="AD292" s="8" t="s">
        <v>2080</v>
      </c>
      <c r="AE292" s="8" t="s">
        <v>2080</v>
      </c>
      <c r="AF292" s="8">
        <v>2.0170584981E10</v>
      </c>
      <c r="AG292" s="8">
        <v>2.8822635E7</v>
      </c>
      <c r="AH292" s="8" t="s">
        <v>4596</v>
      </c>
      <c r="AI292" s="8" t="s">
        <v>4597</v>
      </c>
      <c r="AJ292" s="8" t="s">
        <v>4598</v>
      </c>
      <c r="AK292" s="8" t="s">
        <v>4599</v>
      </c>
      <c r="AL292" s="8" t="s">
        <v>4600</v>
      </c>
      <c r="AM292" s="8" t="s">
        <v>2504</v>
      </c>
    </row>
    <row r="293" ht="14.25" customHeight="1">
      <c r="A293" s="8">
        <v>153.0</v>
      </c>
      <c r="B293" s="8" t="s">
        <v>1288</v>
      </c>
      <c r="C293" s="8"/>
      <c r="D293" s="8" t="s">
        <v>4601</v>
      </c>
      <c r="E293" s="8" t="s">
        <v>4602</v>
      </c>
      <c r="F293" s="8" t="s">
        <v>4603</v>
      </c>
      <c r="G293" s="8"/>
      <c r="H293" s="7">
        <v>43018.0</v>
      </c>
      <c r="I293" s="7">
        <v>43283.0</v>
      </c>
      <c r="J293" s="8" t="s">
        <v>4604</v>
      </c>
      <c r="K293" s="8" t="s">
        <v>2241</v>
      </c>
      <c r="L293" s="8">
        <v>2017.0</v>
      </c>
      <c r="M293" s="8">
        <v>33.0</v>
      </c>
      <c r="N293" s="8">
        <v>12.0</v>
      </c>
      <c r="O293" s="8">
        <v>2208.0</v>
      </c>
      <c r="P293" s="8">
        <v>2216.0</v>
      </c>
      <c r="Q293" s="9">
        <v>43070.0</v>
      </c>
      <c r="R293" s="8" t="s">
        <v>2075</v>
      </c>
      <c r="S293" s="8"/>
      <c r="T293" s="8"/>
      <c r="U293" s="8"/>
      <c r="V293" s="8"/>
      <c r="W293" s="8" t="s">
        <v>2242</v>
      </c>
      <c r="X293" s="8"/>
      <c r="Y293" s="8" t="s">
        <v>2243</v>
      </c>
      <c r="Z293" s="8" t="s">
        <v>4605</v>
      </c>
      <c r="AA293" s="8"/>
      <c r="AB293" s="8"/>
      <c r="AC293" s="8"/>
      <c r="AD293" s="8" t="s">
        <v>2080</v>
      </c>
      <c r="AE293" s="8" t="s">
        <v>2080</v>
      </c>
      <c r="AF293" s="8">
        <v>2.0170695912E10</v>
      </c>
      <c r="AG293" s="8">
        <v>2.8969952E7</v>
      </c>
      <c r="AH293" s="8" t="s">
        <v>4606</v>
      </c>
      <c r="AI293" s="8" t="s">
        <v>1292</v>
      </c>
      <c r="AJ293" s="8" t="s">
        <v>4607</v>
      </c>
      <c r="AK293" s="8" t="s">
        <v>4608</v>
      </c>
      <c r="AL293" s="8" t="s">
        <v>4609</v>
      </c>
      <c r="AM293" s="8" t="s">
        <v>2504</v>
      </c>
    </row>
    <row r="294" ht="14.25" customHeight="1">
      <c r="A294" s="8">
        <v>154.0</v>
      </c>
      <c r="B294" s="8" t="s">
        <v>1293</v>
      </c>
      <c r="C294" s="8"/>
      <c r="D294" s="8" t="s">
        <v>4610</v>
      </c>
      <c r="E294" s="8" t="s">
        <v>4611</v>
      </c>
      <c r="F294" s="8" t="s">
        <v>4612</v>
      </c>
      <c r="G294" s="8"/>
      <c r="H294" s="7">
        <v>42978.0</v>
      </c>
      <c r="I294" s="7">
        <v>43040.0</v>
      </c>
      <c r="J294" s="8" t="s">
        <v>4613</v>
      </c>
      <c r="K294" s="8" t="s">
        <v>2369</v>
      </c>
      <c r="L294" s="8">
        <v>2017.0</v>
      </c>
      <c r="M294" s="8">
        <v>137.0</v>
      </c>
      <c r="N294" s="8">
        <v>11.0</v>
      </c>
      <c r="O294" s="8">
        <v>1547.0</v>
      </c>
      <c r="P294" s="8">
        <v>1555.0</v>
      </c>
      <c r="Q294" s="9">
        <v>43040.0</v>
      </c>
      <c r="R294" s="8" t="s">
        <v>2075</v>
      </c>
      <c r="S294" s="8"/>
      <c r="T294" s="8"/>
      <c r="U294" s="8"/>
      <c r="V294" s="8"/>
      <c r="W294" s="8" t="s">
        <v>2370</v>
      </c>
      <c r="X294" s="8"/>
      <c r="Y294" s="8" t="s">
        <v>2577</v>
      </c>
      <c r="Z294" s="8" t="s">
        <v>4614</v>
      </c>
      <c r="AA294" s="8"/>
      <c r="AB294" s="8"/>
      <c r="AC294" s="8"/>
      <c r="AD294" s="8" t="s">
        <v>2080</v>
      </c>
      <c r="AE294" s="8" t="s">
        <v>2080</v>
      </c>
      <c r="AF294" s="8">
        <v>2.0170604066E10</v>
      </c>
      <c r="AG294" s="8">
        <v>2.8840325E7</v>
      </c>
      <c r="AH294" s="8" t="s">
        <v>4615</v>
      </c>
      <c r="AI294" s="8" t="s">
        <v>1297</v>
      </c>
      <c r="AJ294" s="8" t="s">
        <v>4616</v>
      </c>
      <c r="AK294" s="8" t="s">
        <v>4617</v>
      </c>
      <c r="AL294" s="8" t="s">
        <v>4618</v>
      </c>
      <c r="AM294" s="8" t="s">
        <v>2504</v>
      </c>
    </row>
    <row r="295" ht="14.25" customHeight="1">
      <c r="A295" s="8">
        <v>155.0</v>
      </c>
      <c r="B295" s="8" t="s">
        <v>2558</v>
      </c>
      <c r="C295" s="8"/>
      <c r="D295" s="8" t="s">
        <v>2559</v>
      </c>
      <c r="E295" s="8" t="s">
        <v>2560</v>
      </c>
      <c r="F295" s="8" t="s">
        <v>2561</v>
      </c>
      <c r="G295" s="8"/>
      <c r="H295" s="7">
        <v>43073.0</v>
      </c>
      <c r="I295" s="7">
        <v>43076.0</v>
      </c>
      <c r="J295" s="8" t="s">
        <v>2562</v>
      </c>
      <c r="K295" s="8" t="s">
        <v>2563</v>
      </c>
      <c r="L295" s="8">
        <v>2017.0</v>
      </c>
      <c r="M295" s="8">
        <v>22.0</v>
      </c>
      <c r="N295" s="8">
        <v>9.0</v>
      </c>
      <c r="O295" s="8"/>
      <c r="P295" s="8"/>
      <c r="Q295" s="9">
        <v>42979.0</v>
      </c>
      <c r="R295" s="8" t="s">
        <v>2075</v>
      </c>
      <c r="S295" s="8"/>
      <c r="T295" s="8"/>
      <c r="U295" s="8"/>
      <c r="V295" s="8"/>
      <c r="W295" s="8" t="s">
        <v>2564</v>
      </c>
      <c r="X295" s="8"/>
      <c r="Y295" s="8" t="s">
        <v>2565</v>
      </c>
      <c r="Z295" s="8" t="s">
        <v>2566</v>
      </c>
      <c r="AA295" s="8"/>
      <c r="AB295" s="8"/>
      <c r="AC295" s="8"/>
      <c r="AD295" s="8" t="s">
        <v>2080</v>
      </c>
      <c r="AE295" s="8" t="s">
        <v>2080</v>
      </c>
      <c r="AF295" s="8">
        <v>2.0170838858E10</v>
      </c>
      <c r="AG295" s="8"/>
      <c r="AH295" s="8" t="s">
        <v>2567</v>
      </c>
      <c r="AI295" s="8" t="s">
        <v>2568</v>
      </c>
      <c r="AJ295" s="8" t="s">
        <v>2569</v>
      </c>
      <c r="AK295" s="8" t="s">
        <v>2570</v>
      </c>
      <c r="AL295" s="8" t="s">
        <v>2571</v>
      </c>
      <c r="AM295" s="8" t="s">
        <v>2572</v>
      </c>
    </row>
    <row r="296" ht="14.25" customHeight="1">
      <c r="A296" s="8">
        <v>156.0</v>
      </c>
      <c r="B296" s="8" t="s">
        <v>1365</v>
      </c>
      <c r="C296" s="8"/>
      <c r="D296" s="8" t="s">
        <v>4619</v>
      </c>
      <c r="E296" s="8" t="s">
        <v>4620</v>
      </c>
      <c r="F296" s="8"/>
      <c r="G296" s="8"/>
      <c r="H296" s="8"/>
      <c r="I296" s="7">
        <v>43168.0</v>
      </c>
      <c r="J296" s="8" t="s">
        <v>4621</v>
      </c>
      <c r="K296" s="8" t="s">
        <v>2550</v>
      </c>
      <c r="L296" s="8">
        <v>2017.0</v>
      </c>
      <c r="M296" s="8">
        <v>25.0</v>
      </c>
      <c r="N296" s="8">
        <v>8.0</v>
      </c>
      <c r="O296" s="8">
        <v>2357.0</v>
      </c>
      <c r="P296" s="8">
        <v>2364.0</v>
      </c>
      <c r="Q296" s="9">
        <v>42948.0</v>
      </c>
      <c r="R296" s="8" t="s">
        <v>2075</v>
      </c>
      <c r="S296" s="8"/>
      <c r="T296" s="8"/>
      <c r="U296" s="8"/>
      <c r="V296" s="8"/>
      <c r="W296" s="8" t="s">
        <v>2551</v>
      </c>
      <c r="X296" s="8"/>
      <c r="Y296" s="8"/>
      <c r="Z296" s="8" t="s">
        <v>4622</v>
      </c>
      <c r="AA296" s="8"/>
      <c r="AB296" s="8"/>
      <c r="AC296" s="8"/>
      <c r="AD296" s="8" t="s">
        <v>2080</v>
      </c>
      <c r="AE296" s="8" t="s">
        <v>2080</v>
      </c>
      <c r="AF296" s="8"/>
      <c r="AG296" s="8">
        <v>2.6231151E7</v>
      </c>
      <c r="AH296" s="8" t="s">
        <v>4623</v>
      </c>
      <c r="AI296" s="8" t="s">
        <v>1369</v>
      </c>
      <c r="AJ296" s="8" t="s">
        <v>4624</v>
      </c>
      <c r="AK296" s="8" t="s">
        <v>4625</v>
      </c>
      <c r="AL296" s="8" t="s">
        <v>4626</v>
      </c>
      <c r="AM296" s="8" t="s">
        <v>4627</v>
      </c>
    </row>
    <row r="297" ht="14.25" customHeight="1">
      <c r="A297" s="8">
        <v>157.0</v>
      </c>
      <c r="B297" s="8" t="s">
        <v>4628</v>
      </c>
      <c r="C297" s="8"/>
      <c r="D297" s="8" t="s">
        <v>4629</v>
      </c>
      <c r="E297" s="8" t="s">
        <v>4630</v>
      </c>
      <c r="F297" s="8" t="s">
        <v>4631</v>
      </c>
      <c r="G297" s="8"/>
      <c r="H297" s="7">
        <v>42921.0</v>
      </c>
      <c r="I297" s="7">
        <v>43011.0</v>
      </c>
      <c r="J297" s="8" t="s">
        <v>4632</v>
      </c>
      <c r="K297" s="8" t="s">
        <v>2462</v>
      </c>
      <c r="L297" s="8">
        <v>2017.0</v>
      </c>
      <c r="M297" s="8">
        <v>8.0</v>
      </c>
      <c r="N297" s="8">
        <v>3.0</v>
      </c>
      <c r="O297" s="8">
        <v>259.0</v>
      </c>
      <c r="P297" s="8">
        <v>264.0</v>
      </c>
      <c r="Q297" s="9">
        <v>42917.0</v>
      </c>
      <c r="R297" s="8" t="s">
        <v>2075</v>
      </c>
      <c r="S297" s="8"/>
      <c r="T297" s="8"/>
      <c r="U297" s="8"/>
      <c r="V297" s="8"/>
      <c r="W297" s="8" t="s">
        <v>2463</v>
      </c>
      <c r="X297" s="8"/>
      <c r="Y297" s="8" t="s">
        <v>2255</v>
      </c>
      <c r="Z297" s="8" t="s">
        <v>4633</v>
      </c>
      <c r="AA297" s="8"/>
      <c r="AB297" s="8"/>
      <c r="AC297" s="8"/>
      <c r="AD297" s="8" t="s">
        <v>2080</v>
      </c>
      <c r="AE297" s="8" t="s">
        <v>2080</v>
      </c>
      <c r="AF297" s="8">
        <v>2.0170468051E10</v>
      </c>
      <c r="AG297" s="8"/>
      <c r="AH297" s="8" t="s">
        <v>4634</v>
      </c>
      <c r="AI297" s="8" t="s">
        <v>4635</v>
      </c>
      <c r="AJ297" s="8" t="s">
        <v>4636</v>
      </c>
      <c r="AK297" s="8" t="s">
        <v>4637</v>
      </c>
      <c r="AL297" s="8" t="s">
        <v>4638</v>
      </c>
      <c r="AM297" s="8" t="s">
        <v>2572</v>
      </c>
    </row>
    <row r="298" ht="14.25" customHeight="1">
      <c r="A298" s="8">
        <v>158.0</v>
      </c>
      <c r="B298" s="8" t="s">
        <v>4639</v>
      </c>
      <c r="C298" s="8"/>
      <c r="D298" s="8"/>
      <c r="E298" s="8"/>
      <c r="F298" s="8"/>
      <c r="G298" s="8"/>
      <c r="H298" s="7">
        <v>45792.0</v>
      </c>
      <c r="I298" s="7">
        <v>45792.0</v>
      </c>
      <c r="J298" s="8" t="s">
        <v>4640</v>
      </c>
      <c r="K298" s="8" t="s">
        <v>2089</v>
      </c>
      <c r="L298" s="8">
        <v>2017.0</v>
      </c>
      <c r="M298" s="8"/>
      <c r="N298" s="8"/>
      <c r="O298" s="8"/>
      <c r="P298" s="8"/>
      <c r="Q298" s="9">
        <v>42879.0</v>
      </c>
      <c r="R298" s="8" t="s">
        <v>2090</v>
      </c>
      <c r="S298" s="8"/>
      <c r="T298" s="8"/>
      <c r="U298" s="8"/>
      <c r="V298" s="8"/>
      <c r="W298" s="8"/>
      <c r="X298" s="8"/>
      <c r="Y298" s="8" t="s">
        <v>2089</v>
      </c>
      <c r="Z298" s="8" t="s">
        <v>4641</v>
      </c>
      <c r="AA298" s="8"/>
      <c r="AB298" s="8"/>
      <c r="AC298" s="8"/>
      <c r="AD298" s="8" t="s">
        <v>2080</v>
      </c>
      <c r="AE298" s="8" t="s">
        <v>2080</v>
      </c>
      <c r="AF298" s="8"/>
      <c r="AG298" s="8"/>
      <c r="AH298" s="8" t="s">
        <v>4642</v>
      </c>
      <c r="AI298" s="8"/>
      <c r="AJ298" s="8" t="s">
        <v>4643</v>
      </c>
      <c r="AK298" s="8" t="s">
        <v>4644</v>
      </c>
      <c r="AL298" s="8"/>
      <c r="AM298" s="8" t="s">
        <v>2095</v>
      </c>
    </row>
    <row r="299" ht="14.25" customHeight="1">
      <c r="A299" s="8">
        <v>159.0</v>
      </c>
      <c r="B299" s="8" t="s">
        <v>4645</v>
      </c>
      <c r="C299" s="8"/>
      <c r="D299" s="8" t="s">
        <v>4646</v>
      </c>
      <c r="E299" s="8" t="s">
        <v>4647</v>
      </c>
      <c r="F299" s="8" t="s">
        <v>4648</v>
      </c>
      <c r="G299" s="8"/>
      <c r="H299" s="7">
        <v>42978.0</v>
      </c>
      <c r="I299" s="7">
        <v>42984.0</v>
      </c>
      <c r="J299" s="8" t="s">
        <v>4649</v>
      </c>
      <c r="K299" s="8" t="s">
        <v>3548</v>
      </c>
      <c r="L299" s="8">
        <v>2017.0</v>
      </c>
      <c r="M299" s="8">
        <v>4.0</v>
      </c>
      <c r="N299" s="8">
        <v>2.0</v>
      </c>
      <c r="O299" s="8">
        <v>89.0</v>
      </c>
      <c r="P299" s="8">
        <v>93.0</v>
      </c>
      <c r="Q299" s="9">
        <v>42856.0</v>
      </c>
      <c r="R299" s="8" t="s">
        <v>2075</v>
      </c>
      <c r="S299" s="8"/>
      <c r="T299" s="8"/>
      <c r="U299" s="8"/>
      <c r="V299" s="8"/>
      <c r="W299" s="8" t="s">
        <v>3549</v>
      </c>
      <c r="X299" s="8"/>
      <c r="Y299" s="8" t="s">
        <v>4650</v>
      </c>
      <c r="Z299" s="8" t="s">
        <v>4651</v>
      </c>
      <c r="AA299" s="8"/>
      <c r="AB299" s="8"/>
      <c r="AC299" s="8"/>
      <c r="AD299" s="8" t="s">
        <v>2080</v>
      </c>
      <c r="AE299" s="8" t="s">
        <v>2080</v>
      </c>
      <c r="AF299" s="8">
        <v>2.0170605985E10</v>
      </c>
      <c r="AG299" s="8"/>
      <c r="AH299" s="8" t="s">
        <v>4652</v>
      </c>
      <c r="AI299" s="8" t="s">
        <v>4653</v>
      </c>
      <c r="AJ299" s="8" t="s">
        <v>4654</v>
      </c>
      <c r="AK299" s="8" t="s">
        <v>4655</v>
      </c>
      <c r="AL299" s="8" t="s">
        <v>4656</v>
      </c>
      <c r="AM299" s="8" t="s">
        <v>2572</v>
      </c>
    </row>
    <row r="300" ht="14.25" customHeight="1">
      <c r="A300" s="8">
        <v>160.0</v>
      </c>
      <c r="B300" s="8" t="s">
        <v>1341</v>
      </c>
      <c r="C300" s="8"/>
      <c r="D300" s="8" t="s">
        <v>4657</v>
      </c>
      <c r="E300" s="8" t="s">
        <v>4658</v>
      </c>
      <c r="F300" s="8"/>
      <c r="G300" s="8"/>
      <c r="H300" s="8"/>
      <c r="I300" s="7">
        <v>43033.0</v>
      </c>
      <c r="J300" s="8" t="s">
        <v>4659</v>
      </c>
      <c r="K300" s="8" t="s">
        <v>2550</v>
      </c>
      <c r="L300" s="8">
        <v>2017.0</v>
      </c>
      <c r="M300" s="8">
        <v>25.0</v>
      </c>
      <c r="N300" s="8">
        <v>4.0</v>
      </c>
      <c r="O300" s="8">
        <v>1264.0</v>
      </c>
      <c r="P300" s="8">
        <v>1271.0</v>
      </c>
      <c r="Q300" s="9">
        <v>42826.0</v>
      </c>
      <c r="R300" s="8" t="s">
        <v>2075</v>
      </c>
      <c r="S300" s="8"/>
      <c r="T300" s="8"/>
      <c r="U300" s="8"/>
      <c r="V300" s="8"/>
      <c r="W300" s="8" t="s">
        <v>2551</v>
      </c>
      <c r="X300" s="8"/>
      <c r="Y300" s="8"/>
      <c r="Z300" s="8" t="s">
        <v>4660</v>
      </c>
      <c r="AA300" s="8"/>
      <c r="AB300" s="8"/>
      <c r="AC300" s="8"/>
      <c r="AD300" s="8" t="s">
        <v>2080</v>
      </c>
      <c r="AE300" s="8" t="s">
        <v>2080</v>
      </c>
      <c r="AF300" s="8"/>
      <c r="AG300" s="8">
        <v>2.712019E7</v>
      </c>
      <c r="AH300" s="8" t="s">
        <v>4661</v>
      </c>
      <c r="AI300" s="8" t="s">
        <v>1345</v>
      </c>
      <c r="AJ300" s="8" t="s">
        <v>4662</v>
      </c>
      <c r="AK300" s="8" t="s">
        <v>4663</v>
      </c>
      <c r="AL300" s="8" t="s">
        <v>4664</v>
      </c>
      <c r="AM300" s="8" t="s">
        <v>2612</v>
      </c>
    </row>
    <row r="301" ht="14.25" customHeight="1">
      <c r="A301" s="8">
        <v>161.0</v>
      </c>
      <c r="B301" s="8" t="s">
        <v>4665</v>
      </c>
      <c r="C301" s="8"/>
      <c r="D301" s="8"/>
      <c r="E301" s="8"/>
      <c r="F301" s="8"/>
      <c r="G301" s="8"/>
      <c r="H301" s="7">
        <v>45807.0</v>
      </c>
      <c r="I301" s="7">
        <v>45807.0</v>
      </c>
      <c r="J301" s="8" t="s">
        <v>4666</v>
      </c>
      <c r="K301" s="8" t="s">
        <v>2089</v>
      </c>
      <c r="L301" s="8">
        <v>2017.0</v>
      </c>
      <c r="M301" s="8"/>
      <c r="N301" s="8"/>
      <c r="O301" s="8"/>
      <c r="P301" s="8"/>
      <c r="Q301" s="9">
        <v>42804.0</v>
      </c>
      <c r="R301" s="8" t="s">
        <v>2090</v>
      </c>
      <c r="S301" s="8"/>
      <c r="T301" s="8"/>
      <c r="U301" s="8"/>
      <c r="V301" s="8"/>
      <c r="W301" s="8"/>
      <c r="X301" s="8"/>
      <c r="Y301" s="8" t="s">
        <v>2089</v>
      </c>
      <c r="Z301" s="8" t="s">
        <v>4667</v>
      </c>
      <c r="AA301" s="8"/>
      <c r="AB301" s="8"/>
      <c r="AC301" s="8"/>
      <c r="AD301" s="8" t="s">
        <v>2080</v>
      </c>
      <c r="AE301" s="8" t="s">
        <v>2080</v>
      </c>
      <c r="AF301" s="8"/>
      <c r="AG301" s="8"/>
      <c r="AH301" s="8" t="s">
        <v>4668</v>
      </c>
      <c r="AI301" s="8"/>
      <c r="AJ301" s="8" t="s">
        <v>4669</v>
      </c>
      <c r="AK301" s="8" t="s">
        <v>4670</v>
      </c>
      <c r="AL301" s="8"/>
      <c r="AM301" s="8" t="s">
        <v>2095</v>
      </c>
    </row>
    <row r="302" ht="14.25" customHeight="1">
      <c r="A302" s="8">
        <v>162.0</v>
      </c>
      <c r="B302" s="8" t="s">
        <v>4671</v>
      </c>
      <c r="C302" s="8"/>
      <c r="D302" s="8" t="s">
        <v>4672</v>
      </c>
      <c r="E302" s="8" t="s">
        <v>4673</v>
      </c>
      <c r="F302" s="8"/>
      <c r="G302" s="8"/>
      <c r="H302" s="8"/>
      <c r="I302" s="7">
        <v>44649.0</v>
      </c>
      <c r="J302" s="8" t="s">
        <v>4674</v>
      </c>
      <c r="K302" s="8" t="s">
        <v>4675</v>
      </c>
      <c r="L302" s="8">
        <v>2017.0</v>
      </c>
      <c r="M302" s="8">
        <v>55.0</v>
      </c>
      <c r="N302" s="8">
        <v>3.0</v>
      </c>
      <c r="O302" s="8">
        <v>161.0</v>
      </c>
      <c r="P302" s="8">
        <v>165.0</v>
      </c>
      <c r="Q302" s="9">
        <v>42795.0</v>
      </c>
      <c r="R302" s="8" t="s">
        <v>2075</v>
      </c>
      <c r="S302" s="8"/>
      <c r="T302" s="8"/>
      <c r="U302" s="8"/>
      <c r="V302" s="8"/>
      <c r="W302" s="8" t="s">
        <v>4676</v>
      </c>
      <c r="X302" s="8"/>
      <c r="Y302" s="8" t="s">
        <v>2325</v>
      </c>
      <c r="Z302" s="8" t="s">
        <v>4677</v>
      </c>
      <c r="AA302" s="8"/>
      <c r="AB302" s="8"/>
      <c r="AC302" s="8"/>
      <c r="AD302" s="8" t="s">
        <v>3695</v>
      </c>
      <c r="AE302" s="8" t="s">
        <v>2080</v>
      </c>
      <c r="AF302" s="8"/>
      <c r="AG302" s="8">
        <v>2.8241715E7</v>
      </c>
      <c r="AH302" s="8" t="s">
        <v>4678</v>
      </c>
      <c r="AI302" s="8" t="s">
        <v>1313</v>
      </c>
      <c r="AJ302" s="8" t="s">
        <v>4679</v>
      </c>
      <c r="AK302" s="8" t="s">
        <v>4680</v>
      </c>
      <c r="AL302" s="8" t="s">
        <v>4681</v>
      </c>
      <c r="AM302" s="8" t="s">
        <v>2136</v>
      </c>
    </row>
    <row r="303" ht="14.25" customHeight="1">
      <c r="A303" s="8">
        <v>163.0</v>
      </c>
      <c r="B303" s="8" t="s">
        <v>4682</v>
      </c>
      <c r="C303" s="8"/>
      <c r="D303" s="8"/>
      <c r="E303" s="8"/>
      <c r="F303" s="8"/>
      <c r="G303" s="8"/>
      <c r="H303" s="7">
        <v>45793.0</v>
      </c>
      <c r="I303" s="7">
        <v>45793.0</v>
      </c>
      <c r="J303" s="8" t="s">
        <v>4683</v>
      </c>
      <c r="K303" s="8" t="s">
        <v>2089</v>
      </c>
      <c r="L303" s="8">
        <v>2017.0</v>
      </c>
      <c r="M303" s="8"/>
      <c r="N303" s="8"/>
      <c r="O303" s="8"/>
      <c r="P303" s="8"/>
      <c r="Q303" s="9">
        <v>42789.0</v>
      </c>
      <c r="R303" s="8" t="s">
        <v>2090</v>
      </c>
      <c r="S303" s="8"/>
      <c r="T303" s="8"/>
      <c r="U303" s="8"/>
      <c r="V303" s="8"/>
      <c r="W303" s="8"/>
      <c r="X303" s="8"/>
      <c r="Y303" s="8" t="s">
        <v>2089</v>
      </c>
      <c r="Z303" s="8" t="s">
        <v>4684</v>
      </c>
      <c r="AA303" s="8"/>
      <c r="AB303" s="8"/>
      <c r="AC303" s="8"/>
      <c r="AD303" s="8" t="s">
        <v>2080</v>
      </c>
      <c r="AE303" s="8" t="s">
        <v>2080</v>
      </c>
      <c r="AF303" s="8"/>
      <c r="AG303" s="8"/>
      <c r="AH303" s="8" t="s">
        <v>4685</v>
      </c>
      <c r="AI303" s="8"/>
      <c r="AJ303" s="8" t="s">
        <v>4686</v>
      </c>
      <c r="AK303" s="8" t="s">
        <v>4687</v>
      </c>
      <c r="AL303" s="8"/>
      <c r="AM303" s="8" t="s">
        <v>2095</v>
      </c>
    </row>
    <row r="304" ht="14.25" customHeight="1">
      <c r="A304" s="8">
        <v>164.0</v>
      </c>
      <c r="B304" s="8" t="s">
        <v>4688</v>
      </c>
      <c r="C304" s="8"/>
      <c r="D304" s="8"/>
      <c r="E304" s="8"/>
      <c r="F304" s="8"/>
      <c r="G304" s="8"/>
      <c r="H304" s="7">
        <v>45791.0</v>
      </c>
      <c r="I304" s="7">
        <v>45791.0</v>
      </c>
      <c r="J304" s="8" t="s">
        <v>4689</v>
      </c>
      <c r="K304" s="8" t="s">
        <v>2089</v>
      </c>
      <c r="L304" s="8">
        <v>2017.0</v>
      </c>
      <c r="M304" s="8"/>
      <c r="N304" s="8"/>
      <c r="O304" s="8"/>
      <c r="P304" s="8"/>
      <c r="Q304" s="9">
        <v>42766.0</v>
      </c>
      <c r="R304" s="8" t="s">
        <v>2090</v>
      </c>
      <c r="S304" s="8"/>
      <c r="T304" s="8"/>
      <c r="U304" s="8"/>
      <c r="V304" s="8"/>
      <c r="W304" s="8"/>
      <c r="X304" s="8"/>
      <c r="Y304" s="8" t="s">
        <v>2089</v>
      </c>
      <c r="Z304" s="8" t="s">
        <v>4690</v>
      </c>
      <c r="AA304" s="8"/>
      <c r="AB304" s="8"/>
      <c r="AC304" s="8"/>
      <c r="AD304" s="8" t="s">
        <v>2080</v>
      </c>
      <c r="AE304" s="8" t="s">
        <v>2080</v>
      </c>
      <c r="AF304" s="8"/>
      <c r="AG304" s="8"/>
      <c r="AH304" s="8" t="s">
        <v>4691</v>
      </c>
      <c r="AI304" s="8"/>
      <c r="AJ304" s="8" t="s">
        <v>4692</v>
      </c>
      <c r="AK304" s="8" t="s">
        <v>4693</v>
      </c>
      <c r="AL304" s="8"/>
      <c r="AM304" s="8" t="s">
        <v>2095</v>
      </c>
    </row>
    <row r="305" ht="14.25" customHeight="1">
      <c r="A305" s="8">
        <v>165.0</v>
      </c>
      <c r="B305" s="8" t="s">
        <v>1314</v>
      </c>
      <c r="C305" s="8"/>
      <c r="D305" s="8" t="s">
        <v>4694</v>
      </c>
      <c r="E305" s="8" t="s">
        <v>4695</v>
      </c>
      <c r="F305" s="8" t="s">
        <v>4696</v>
      </c>
      <c r="G305" s="8"/>
      <c r="H305" s="7">
        <v>42723.0</v>
      </c>
      <c r="I305" s="7">
        <v>42746.0</v>
      </c>
      <c r="J305" s="8" t="s">
        <v>4697</v>
      </c>
      <c r="K305" s="8" t="s">
        <v>180</v>
      </c>
      <c r="L305" s="8">
        <v>2016.0</v>
      </c>
      <c r="M305" s="8">
        <v>23.0</v>
      </c>
      <c r="N305" s="8">
        <v>6.0</v>
      </c>
      <c r="O305" s="8">
        <v>1112.0</v>
      </c>
      <c r="P305" s="8">
        <v>1120.0</v>
      </c>
      <c r="Q305" s="9">
        <v>42705.0</v>
      </c>
      <c r="R305" s="8" t="s">
        <v>2075</v>
      </c>
      <c r="S305" s="8"/>
      <c r="T305" s="8"/>
      <c r="U305" s="8"/>
      <c r="V305" s="8"/>
      <c r="W305" s="8" t="s">
        <v>2254</v>
      </c>
      <c r="X305" s="8"/>
      <c r="Y305" s="8" t="s">
        <v>2255</v>
      </c>
      <c r="Z305" s="8" t="s">
        <v>4698</v>
      </c>
      <c r="AA305" s="8"/>
      <c r="AB305" s="8"/>
      <c r="AC305" s="8" t="s">
        <v>4699</v>
      </c>
      <c r="AD305" s="8" t="s">
        <v>2080</v>
      </c>
      <c r="AE305" s="8" t="s">
        <v>2080</v>
      </c>
      <c r="AF305" s="8">
        <v>2.0160908639E10</v>
      </c>
      <c r="AG305" s="8">
        <v>2.7876265E7</v>
      </c>
      <c r="AH305" s="8" t="s">
        <v>4700</v>
      </c>
      <c r="AI305" s="8" t="s">
        <v>1318</v>
      </c>
      <c r="AJ305" s="8" t="s">
        <v>4701</v>
      </c>
      <c r="AK305" s="8" t="s">
        <v>4702</v>
      </c>
      <c r="AL305" s="8" t="s">
        <v>4703</v>
      </c>
      <c r="AM305" s="8" t="s">
        <v>2572</v>
      </c>
    </row>
    <row r="306" ht="14.25" customHeight="1">
      <c r="A306" s="8">
        <v>166.0</v>
      </c>
      <c r="B306" s="8" t="s">
        <v>1319</v>
      </c>
      <c r="C306" s="8"/>
      <c r="D306" s="8" t="s">
        <v>4704</v>
      </c>
      <c r="E306" s="8" t="s">
        <v>4705</v>
      </c>
      <c r="F306" s="8"/>
      <c r="G306" s="8"/>
      <c r="H306" s="8"/>
      <c r="I306" s="7">
        <v>42781.0</v>
      </c>
      <c r="J306" s="8" t="s">
        <v>4706</v>
      </c>
      <c r="K306" s="8" t="s">
        <v>4707</v>
      </c>
      <c r="L306" s="8">
        <v>2016.0</v>
      </c>
      <c r="M306" s="8">
        <v>50.0</v>
      </c>
      <c r="N306" s="8">
        <v>6.0</v>
      </c>
      <c r="O306" s="8">
        <v>628.0</v>
      </c>
      <c r="P306" s="8">
        <v>634.0</v>
      </c>
      <c r="Q306" s="9">
        <v>42705.0</v>
      </c>
      <c r="R306" s="8" t="s">
        <v>2075</v>
      </c>
      <c r="S306" s="8"/>
      <c r="T306" s="8"/>
      <c r="U306" s="8"/>
      <c r="V306" s="8"/>
      <c r="W306" s="8" t="s">
        <v>4708</v>
      </c>
      <c r="X306" s="8"/>
      <c r="Y306" s="8"/>
      <c r="Z306" s="8" t="s">
        <v>4709</v>
      </c>
      <c r="AA306" s="8"/>
      <c r="AB306" s="8"/>
      <c r="AC306" s="8"/>
      <c r="AD306" s="8" t="s">
        <v>2080</v>
      </c>
      <c r="AE306" s="8" t="s">
        <v>2080</v>
      </c>
      <c r="AF306" s="8"/>
      <c r="AG306" s="8">
        <v>2.7784622E7</v>
      </c>
      <c r="AH306" s="8" t="s">
        <v>4710</v>
      </c>
      <c r="AI306" s="8" t="s">
        <v>1325</v>
      </c>
      <c r="AJ306" s="8" t="s">
        <v>4711</v>
      </c>
      <c r="AK306" s="8" t="s">
        <v>4712</v>
      </c>
      <c r="AL306" s="8" t="s">
        <v>4713</v>
      </c>
      <c r="AM306" s="8" t="s">
        <v>2612</v>
      </c>
    </row>
    <row r="307" ht="14.25" customHeight="1">
      <c r="A307" s="8">
        <v>167.0</v>
      </c>
      <c r="B307" s="8" t="s">
        <v>4714</v>
      </c>
      <c r="C307" s="8"/>
      <c r="D307" s="8"/>
      <c r="E307" s="8"/>
      <c r="F307" s="8"/>
      <c r="G307" s="8"/>
      <c r="H307" s="7">
        <v>45792.0</v>
      </c>
      <c r="I307" s="7">
        <v>45792.0</v>
      </c>
      <c r="J307" s="8" t="s">
        <v>4715</v>
      </c>
      <c r="K307" s="8" t="s">
        <v>2089</v>
      </c>
      <c r="L307" s="8">
        <v>2016.0</v>
      </c>
      <c r="M307" s="8"/>
      <c r="N307" s="8"/>
      <c r="O307" s="8"/>
      <c r="P307" s="8"/>
      <c r="Q307" s="9">
        <v>42647.0</v>
      </c>
      <c r="R307" s="8" t="s">
        <v>2090</v>
      </c>
      <c r="S307" s="8"/>
      <c r="T307" s="8"/>
      <c r="U307" s="8"/>
      <c r="V307" s="8"/>
      <c r="W307" s="8"/>
      <c r="X307" s="8"/>
      <c r="Y307" s="8" t="s">
        <v>2089</v>
      </c>
      <c r="Z307" s="8" t="s">
        <v>4716</v>
      </c>
      <c r="AA307" s="8"/>
      <c r="AB307" s="8"/>
      <c r="AC307" s="8"/>
      <c r="AD307" s="8" t="s">
        <v>2080</v>
      </c>
      <c r="AE307" s="8" t="s">
        <v>2080</v>
      </c>
      <c r="AF307" s="8"/>
      <c r="AG307" s="8"/>
      <c r="AH307" s="8" t="s">
        <v>4717</v>
      </c>
      <c r="AI307" s="8"/>
      <c r="AJ307" s="8" t="s">
        <v>4718</v>
      </c>
      <c r="AK307" s="8" t="s">
        <v>4719</v>
      </c>
      <c r="AL307" s="8"/>
      <c r="AM307" s="8" t="s">
        <v>2095</v>
      </c>
    </row>
    <row r="308" ht="14.25" customHeight="1">
      <c r="A308" s="8">
        <v>168.0</v>
      </c>
      <c r="B308" s="8" t="s">
        <v>276</v>
      </c>
      <c r="C308" s="8"/>
      <c r="D308" s="8" t="s">
        <v>2604</v>
      </c>
      <c r="E308" s="8" t="s">
        <v>2605</v>
      </c>
      <c r="F308" s="8"/>
      <c r="G308" s="8"/>
      <c r="H308" s="8"/>
      <c r="I308" s="7">
        <v>43003.0</v>
      </c>
      <c r="J308" s="8" t="s">
        <v>2606</v>
      </c>
      <c r="K308" s="8" t="s">
        <v>2128</v>
      </c>
      <c r="L308" s="8">
        <v>2016.0</v>
      </c>
      <c r="M308" s="8">
        <v>44.0</v>
      </c>
      <c r="N308" s="8">
        <v>9.0</v>
      </c>
      <c r="O308" s="8">
        <v>2304.0</v>
      </c>
      <c r="P308" s="8">
        <v>2313.0</v>
      </c>
      <c r="Q308" s="9">
        <v>42614.0</v>
      </c>
      <c r="R308" s="8" t="s">
        <v>2075</v>
      </c>
      <c r="S308" s="8"/>
      <c r="T308" s="8"/>
      <c r="U308" s="8"/>
      <c r="V308" s="8"/>
      <c r="W308" s="8" t="s">
        <v>2129</v>
      </c>
      <c r="X308" s="8"/>
      <c r="Y308" s="8"/>
      <c r="Z308" s="8" t="s">
        <v>2607</v>
      </c>
      <c r="AA308" s="8"/>
      <c r="AB308" s="8"/>
      <c r="AC308" s="8"/>
      <c r="AD308" s="8" t="s">
        <v>2080</v>
      </c>
      <c r="AE308" s="8" t="s">
        <v>2080</v>
      </c>
      <c r="AF308" s="8"/>
      <c r="AG308" s="8">
        <v>2.7229354E7</v>
      </c>
      <c r="AH308" s="8" t="s">
        <v>2608</v>
      </c>
      <c r="AI308" s="8" t="s">
        <v>280</v>
      </c>
      <c r="AJ308" s="8" t="s">
        <v>2609</v>
      </c>
      <c r="AK308" s="8" t="s">
        <v>2610</v>
      </c>
      <c r="AL308" s="8" t="s">
        <v>2611</v>
      </c>
      <c r="AM308" s="8" t="s">
        <v>2612</v>
      </c>
    </row>
    <row r="309" ht="14.25" customHeight="1">
      <c r="A309" s="8">
        <v>169.0</v>
      </c>
      <c r="B309" s="8" t="s">
        <v>1336</v>
      </c>
      <c r="C309" s="8"/>
      <c r="D309" s="8" t="s">
        <v>4720</v>
      </c>
      <c r="E309" s="8" t="s">
        <v>4721</v>
      </c>
      <c r="F309" s="8"/>
      <c r="G309" s="8"/>
      <c r="H309" s="8"/>
      <c r="I309" s="7">
        <v>43003.0</v>
      </c>
      <c r="J309" s="8" t="s">
        <v>4722</v>
      </c>
      <c r="K309" s="8" t="s">
        <v>2128</v>
      </c>
      <c r="L309" s="8">
        <v>2016.0</v>
      </c>
      <c r="M309" s="8">
        <v>44.0</v>
      </c>
      <c r="N309" s="8">
        <v>9.0</v>
      </c>
      <c r="O309" s="8">
        <v>2314.0</v>
      </c>
      <c r="P309" s="8">
        <v>2322.0</v>
      </c>
      <c r="Q309" s="9">
        <v>42614.0</v>
      </c>
      <c r="R309" s="8" t="s">
        <v>2075</v>
      </c>
      <c r="S309" s="8"/>
      <c r="T309" s="8"/>
      <c r="U309" s="8"/>
      <c r="V309" s="8"/>
      <c r="W309" s="8" t="s">
        <v>2129</v>
      </c>
      <c r="X309" s="8"/>
      <c r="Y309" s="8"/>
      <c r="Z309" s="8" t="s">
        <v>4723</v>
      </c>
      <c r="AA309" s="8"/>
      <c r="AB309" s="8"/>
      <c r="AC309" s="8"/>
      <c r="AD309" s="8" t="s">
        <v>2080</v>
      </c>
      <c r="AE309" s="8" t="s">
        <v>2080</v>
      </c>
      <c r="AF309" s="8"/>
      <c r="AG309" s="8">
        <v>2.7343215E7</v>
      </c>
      <c r="AH309" s="8" t="s">
        <v>4724</v>
      </c>
      <c r="AI309" s="8" t="s">
        <v>1340</v>
      </c>
      <c r="AJ309" s="8" t="s">
        <v>4725</v>
      </c>
      <c r="AK309" s="8" t="s">
        <v>4726</v>
      </c>
      <c r="AL309" s="8" t="s">
        <v>4727</v>
      </c>
      <c r="AM309" s="8" t="s">
        <v>2612</v>
      </c>
    </row>
    <row r="310" ht="14.25" customHeight="1">
      <c r="A310" s="8">
        <v>170.0</v>
      </c>
      <c r="B310" s="8" t="s">
        <v>1356</v>
      </c>
      <c r="C310" s="8"/>
      <c r="D310" s="8" t="s">
        <v>4728</v>
      </c>
      <c r="E310" s="8" t="s">
        <v>4729</v>
      </c>
      <c r="F310" s="8"/>
      <c r="G310" s="8"/>
      <c r="H310" s="8"/>
      <c r="I310" s="7">
        <v>43026.0</v>
      </c>
      <c r="J310" s="8" t="s">
        <v>4730</v>
      </c>
      <c r="K310" s="8" t="s">
        <v>4731</v>
      </c>
      <c r="L310" s="8">
        <v>2016.0</v>
      </c>
      <c r="M310" s="8">
        <v>14.0</v>
      </c>
      <c r="N310" s="8">
        <v>34.0</v>
      </c>
      <c r="O310" s="8">
        <v>180.0</v>
      </c>
      <c r="P310" s="8">
        <v>185.0</v>
      </c>
      <c r="Q310" s="9">
        <v>42614.0</v>
      </c>
      <c r="R310" s="8" t="s">
        <v>2075</v>
      </c>
      <c r="S310" s="8"/>
      <c r="T310" s="8"/>
      <c r="U310" s="8"/>
      <c r="V310" s="8"/>
      <c r="W310" s="8" t="s">
        <v>4732</v>
      </c>
      <c r="X310" s="8"/>
      <c r="Y310" s="8"/>
      <c r="Z310" s="8" t="s">
        <v>4733</v>
      </c>
      <c r="AA310" s="8"/>
      <c r="AB310" s="8"/>
      <c r="AC310" s="8"/>
      <c r="AD310" s="8" t="s">
        <v>2080</v>
      </c>
      <c r="AE310" s="8" t="s">
        <v>2080</v>
      </c>
      <c r="AF310" s="8"/>
      <c r="AG310" s="8">
        <v>2.8327683E7</v>
      </c>
      <c r="AH310" s="8" t="s">
        <v>4734</v>
      </c>
      <c r="AI310" s="8"/>
      <c r="AJ310" s="8"/>
      <c r="AK310" s="8" t="s">
        <v>4735</v>
      </c>
      <c r="AL310" s="8" t="s">
        <v>4736</v>
      </c>
      <c r="AM310" s="8" t="s">
        <v>2612</v>
      </c>
    </row>
    <row r="311" ht="14.25" customHeight="1">
      <c r="A311" s="8">
        <v>171.0</v>
      </c>
      <c r="B311" s="8" t="s">
        <v>1331</v>
      </c>
      <c r="C311" s="8"/>
      <c r="D311" s="8" t="s">
        <v>4737</v>
      </c>
      <c r="E311" s="8" t="s">
        <v>4738</v>
      </c>
      <c r="F311" s="8" t="s">
        <v>4739</v>
      </c>
      <c r="G311" s="8"/>
      <c r="H311" s="7">
        <v>42570.0</v>
      </c>
      <c r="I311" s="7">
        <v>42590.0</v>
      </c>
      <c r="J311" s="8" t="s">
        <v>4740</v>
      </c>
      <c r="K311" s="8" t="s">
        <v>3728</v>
      </c>
      <c r="L311" s="8">
        <v>2016.0</v>
      </c>
      <c r="M311" s="8">
        <v>26.0</v>
      </c>
      <c r="N311" s="8">
        <v>6.0</v>
      </c>
      <c r="O311" s="8">
        <v>657.0</v>
      </c>
      <c r="P311" s="8">
        <v>664.0</v>
      </c>
      <c r="Q311" s="9">
        <v>42583.0</v>
      </c>
      <c r="R311" s="8" t="s">
        <v>2075</v>
      </c>
      <c r="S311" s="8"/>
      <c r="T311" s="8"/>
      <c r="U311" s="8"/>
      <c r="V311" s="8"/>
      <c r="W311" s="8" t="s">
        <v>3729</v>
      </c>
      <c r="X311" s="8"/>
      <c r="Y311" s="8" t="s">
        <v>4741</v>
      </c>
      <c r="Z311" s="8" t="s">
        <v>4742</v>
      </c>
      <c r="AA311" s="8"/>
      <c r="AB311" s="8"/>
      <c r="AC311" s="8"/>
      <c r="AD311" s="8" t="s">
        <v>2080</v>
      </c>
      <c r="AE311" s="8" t="s">
        <v>2080</v>
      </c>
      <c r="AF311" s="8">
        <v>2.0160517174E10</v>
      </c>
      <c r="AG311" s="8">
        <v>2.7388213E7</v>
      </c>
      <c r="AH311" s="8" t="s">
        <v>4743</v>
      </c>
      <c r="AI311" s="8" t="s">
        <v>1335</v>
      </c>
      <c r="AJ311" s="8" t="s">
        <v>4744</v>
      </c>
      <c r="AK311" s="8" t="s">
        <v>4745</v>
      </c>
      <c r="AL311" s="8" t="s">
        <v>4746</v>
      </c>
      <c r="AM311" s="8" t="s">
        <v>2572</v>
      </c>
    </row>
    <row r="312" ht="14.25" customHeight="1">
      <c r="A312" s="8">
        <v>172.0</v>
      </c>
      <c r="B312" s="8" t="s">
        <v>281</v>
      </c>
      <c r="C312" s="8"/>
      <c r="D312" s="8" t="s">
        <v>2613</v>
      </c>
      <c r="E312" s="8" t="s">
        <v>2614</v>
      </c>
      <c r="F312" s="8"/>
      <c r="G312" s="8"/>
      <c r="H312" s="8"/>
      <c r="I312" s="7">
        <v>43035.0</v>
      </c>
      <c r="J312" s="8" t="s">
        <v>2615</v>
      </c>
      <c r="K312" s="8" t="s">
        <v>2128</v>
      </c>
      <c r="L312" s="8">
        <v>2016.0</v>
      </c>
      <c r="M312" s="8">
        <v>44.0</v>
      </c>
      <c r="N312" s="8">
        <v>7.0</v>
      </c>
      <c r="O312" s="8">
        <v>1660.0</v>
      </c>
      <c r="P312" s="8">
        <v>1670.0</v>
      </c>
      <c r="Q312" s="9">
        <v>42552.0</v>
      </c>
      <c r="R312" s="8" t="s">
        <v>2075</v>
      </c>
      <c r="S312" s="8"/>
      <c r="T312" s="8"/>
      <c r="U312" s="8"/>
      <c r="V312" s="8"/>
      <c r="W312" s="8" t="s">
        <v>2129</v>
      </c>
      <c r="X312" s="8"/>
      <c r="Y312" s="8"/>
      <c r="Z312" s="8" t="s">
        <v>2616</v>
      </c>
      <c r="AA312" s="8"/>
      <c r="AB312" s="8"/>
      <c r="AC312" s="8" t="s">
        <v>2617</v>
      </c>
      <c r="AD312" s="8" t="s">
        <v>2080</v>
      </c>
      <c r="AE312" s="8" t="s">
        <v>2080</v>
      </c>
      <c r="AF312" s="8"/>
      <c r="AG312" s="8">
        <v>2.7159308E7</v>
      </c>
      <c r="AH312" s="8" t="s">
        <v>2618</v>
      </c>
      <c r="AI312" s="8" t="s">
        <v>287</v>
      </c>
      <c r="AJ312" s="8" t="s">
        <v>2619</v>
      </c>
      <c r="AK312" s="8" t="s">
        <v>2620</v>
      </c>
      <c r="AL312" s="8" t="s">
        <v>2621</v>
      </c>
      <c r="AM312" s="8" t="s">
        <v>2612</v>
      </c>
    </row>
    <row r="313" ht="14.25" customHeight="1">
      <c r="A313" s="8">
        <v>173.0</v>
      </c>
      <c r="B313" s="8" t="s">
        <v>1346</v>
      </c>
      <c r="C313" s="8"/>
      <c r="D313" s="8" t="s">
        <v>4747</v>
      </c>
      <c r="E313" s="8" t="s">
        <v>4748</v>
      </c>
      <c r="F313" s="8"/>
      <c r="G313" s="8"/>
      <c r="H313" s="8"/>
      <c r="I313" s="7">
        <v>43024.0</v>
      </c>
      <c r="J313" s="8" t="s">
        <v>4749</v>
      </c>
      <c r="K313" s="8" t="s">
        <v>2128</v>
      </c>
      <c r="L313" s="8">
        <v>2016.0</v>
      </c>
      <c r="M313" s="8">
        <v>44.0</v>
      </c>
      <c r="N313" s="8">
        <v>6.0</v>
      </c>
      <c r="O313" s="8">
        <v>1482.0</v>
      </c>
      <c r="P313" s="8">
        <v>1486.0</v>
      </c>
      <c r="Q313" s="9">
        <v>42522.0</v>
      </c>
      <c r="R313" s="8" t="s">
        <v>2075</v>
      </c>
      <c r="S313" s="8"/>
      <c r="T313" s="8"/>
      <c r="U313" s="8"/>
      <c r="V313" s="8"/>
      <c r="W313" s="8" t="s">
        <v>2129</v>
      </c>
      <c r="X313" s="8"/>
      <c r="Y313" s="8"/>
      <c r="Z313" s="8" t="s">
        <v>4750</v>
      </c>
      <c r="AA313" s="8"/>
      <c r="AB313" s="8"/>
      <c r="AC313" s="8"/>
      <c r="AD313" s="8" t="s">
        <v>2080</v>
      </c>
      <c r="AE313" s="8" t="s">
        <v>2080</v>
      </c>
      <c r="AF313" s="8"/>
      <c r="AG313" s="8">
        <v>2.6980844E7</v>
      </c>
      <c r="AH313" s="8" t="s">
        <v>4751</v>
      </c>
      <c r="AI313" s="8" t="s">
        <v>1350</v>
      </c>
      <c r="AJ313" s="8" t="s">
        <v>4752</v>
      </c>
      <c r="AK313" s="8" t="s">
        <v>4753</v>
      </c>
      <c r="AL313" s="8" t="s">
        <v>4754</v>
      </c>
      <c r="AM313" s="8" t="s">
        <v>2612</v>
      </c>
    </row>
    <row r="314" ht="14.25" customHeight="1">
      <c r="A314" s="8">
        <v>174.0</v>
      </c>
      <c r="B314" s="8" t="s">
        <v>1351</v>
      </c>
      <c r="C314" s="8"/>
      <c r="D314" s="8" t="s">
        <v>4755</v>
      </c>
      <c r="E314" s="8" t="s">
        <v>4756</v>
      </c>
      <c r="F314" s="8"/>
      <c r="G314" s="8"/>
      <c r="H314" s="8"/>
      <c r="I314" s="7">
        <v>43032.0</v>
      </c>
      <c r="J314" s="8" t="s">
        <v>4757</v>
      </c>
      <c r="K314" s="8" t="s">
        <v>2128</v>
      </c>
      <c r="L314" s="8">
        <v>2016.0</v>
      </c>
      <c r="M314" s="8">
        <v>44.0</v>
      </c>
      <c r="N314" s="8">
        <v>5.0</v>
      </c>
      <c r="O314" s="8">
        <v>1225.0</v>
      </c>
      <c r="P314" s="8">
        <v>1236.0</v>
      </c>
      <c r="Q314" s="9">
        <v>42491.0</v>
      </c>
      <c r="R314" s="8" t="s">
        <v>2075</v>
      </c>
      <c r="S314" s="8"/>
      <c r="T314" s="8"/>
      <c r="U314" s="8"/>
      <c r="V314" s="8"/>
      <c r="W314" s="8" t="s">
        <v>2129</v>
      </c>
      <c r="X314" s="8"/>
      <c r="Y314" s="8"/>
      <c r="Z314" s="8" t="s">
        <v>4758</v>
      </c>
      <c r="AA314" s="8"/>
      <c r="AB314" s="8"/>
      <c r="AC314" s="8"/>
      <c r="AD314" s="8" t="s">
        <v>2080</v>
      </c>
      <c r="AE314" s="8" t="s">
        <v>2080</v>
      </c>
      <c r="AF314" s="8"/>
      <c r="AG314" s="8">
        <v>2.6948548E7</v>
      </c>
      <c r="AH314" s="8" t="s">
        <v>4759</v>
      </c>
      <c r="AI314" s="8" t="s">
        <v>1355</v>
      </c>
      <c r="AJ314" s="8" t="s">
        <v>4760</v>
      </c>
      <c r="AK314" s="8" t="s">
        <v>4761</v>
      </c>
      <c r="AL314" s="8" t="s">
        <v>4762</v>
      </c>
      <c r="AM314" s="8" t="s">
        <v>2612</v>
      </c>
    </row>
    <row r="315" ht="14.25" customHeight="1">
      <c r="A315" s="8">
        <v>175.0</v>
      </c>
      <c r="B315" s="8" t="s">
        <v>293</v>
      </c>
      <c r="C315" s="8"/>
      <c r="D315" s="8" t="s">
        <v>2622</v>
      </c>
      <c r="E315" s="8" t="s">
        <v>2623</v>
      </c>
      <c r="F315" s="8" t="s">
        <v>2624</v>
      </c>
      <c r="G315" s="8"/>
      <c r="H315" s="7">
        <v>42377.0</v>
      </c>
      <c r="I315" s="7">
        <v>42465.0</v>
      </c>
      <c r="J315" s="8" t="s">
        <v>2625</v>
      </c>
      <c r="K315" s="8" t="s">
        <v>2369</v>
      </c>
      <c r="L315" s="8">
        <v>2016.0</v>
      </c>
      <c r="M315" s="8">
        <v>136.0</v>
      </c>
      <c r="N315" s="8">
        <v>4.0</v>
      </c>
      <c r="O315" s="8">
        <v>521.0</v>
      </c>
      <c r="P315" s="8">
        <v>525.0</v>
      </c>
      <c r="Q315" s="9">
        <v>42461.0</v>
      </c>
      <c r="R315" s="8" t="s">
        <v>2075</v>
      </c>
      <c r="S315" s="8"/>
      <c r="T315" s="8"/>
      <c r="U315" s="8"/>
      <c r="V315" s="8"/>
      <c r="W315" s="8" t="s">
        <v>2370</v>
      </c>
      <c r="X315" s="8"/>
      <c r="Y315" s="8" t="s">
        <v>2577</v>
      </c>
      <c r="Z315" s="8" t="s">
        <v>2626</v>
      </c>
      <c r="AA315" s="8"/>
      <c r="AB315" s="8"/>
      <c r="AC315" s="8"/>
      <c r="AD315" s="8" t="s">
        <v>2080</v>
      </c>
      <c r="AE315" s="8" t="s">
        <v>2080</v>
      </c>
      <c r="AF315" s="8">
        <v>2.0160009128E10</v>
      </c>
      <c r="AG315" s="8">
        <v>2.672505E7</v>
      </c>
      <c r="AH315" s="8" t="s">
        <v>2627</v>
      </c>
      <c r="AI315" s="8" t="s">
        <v>297</v>
      </c>
      <c r="AJ315" s="8" t="s">
        <v>2628</v>
      </c>
      <c r="AK315" s="8" t="s">
        <v>2629</v>
      </c>
      <c r="AL315" s="8" t="s">
        <v>2630</v>
      </c>
      <c r="AM315" s="8" t="s">
        <v>2572</v>
      </c>
    </row>
    <row r="316" ht="14.25" customHeight="1">
      <c r="A316" s="8">
        <v>176.0</v>
      </c>
      <c r="B316" s="8" t="s">
        <v>288</v>
      </c>
      <c r="C316" s="8"/>
      <c r="D316" s="8" t="s">
        <v>2631</v>
      </c>
      <c r="E316" s="8" t="s">
        <v>2632</v>
      </c>
      <c r="F316" s="8"/>
      <c r="G316" s="8"/>
      <c r="H316" s="8"/>
      <c r="I316" s="7">
        <v>42872.0</v>
      </c>
      <c r="J316" s="8" t="s">
        <v>2633</v>
      </c>
      <c r="K316" s="8" t="s">
        <v>2128</v>
      </c>
      <c r="L316" s="8">
        <v>2016.0</v>
      </c>
      <c r="M316" s="8">
        <v>44.0</v>
      </c>
      <c r="N316" s="8">
        <v>4.0</v>
      </c>
      <c r="O316" s="8">
        <v>855.0</v>
      </c>
      <c r="P316" s="8">
        <v>864.0</v>
      </c>
      <c r="Q316" s="9">
        <v>42461.0</v>
      </c>
      <c r="R316" s="8" t="s">
        <v>2075</v>
      </c>
      <c r="S316" s="8"/>
      <c r="T316" s="8"/>
      <c r="U316" s="8"/>
      <c r="V316" s="8"/>
      <c r="W316" s="8" t="s">
        <v>2129</v>
      </c>
      <c r="X316" s="8"/>
      <c r="Y316" s="8"/>
      <c r="Z316" s="8" t="s">
        <v>2634</v>
      </c>
      <c r="AA316" s="8"/>
      <c r="AB316" s="8"/>
      <c r="AC316" s="8"/>
      <c r="AD316" s="8" t="s">
        <v>2080</v>
      </c>
      <c r="AE316" s="8" t="s">
        <v>2080</v>
      </c>
      <c r="AF316" s="8"/>
      <c r="AG316" s="8">
        <v>2.6838934E7</v>
      </c>
      <c r="AH316" s="8" t="s">
        <v>2635</v>
      </c>
      <c r="AI316" s="8" t="s">
        <v>292</v>
      </c>
      <c r="AJ316" s="8" t="s">
        <v>2636</v>
      </c>
      <c r="AK316" s="8" t="s">
        <v>2637</v>
      </c>
      <c r="AL316" s="8" t="s">
        <v>2638</v>
      </c>
      <c r="AM316" s="8" t="s">
        <v>2612</v>
      </c>
    </row>
    <row r="317" ht="14.25" customHeight="1">
      <c r="A317" s="8">
        <v>177.0</v>
      </c>
      <c r="B317" s="8" t="s">
        <v>4763</v>
      </c>
      <c r="C317" s="8"/>
      <c r="D317" s="8" t="s">
        <v>4764</v>
      </c>
      <c r="E317" s="8" t="s">
        <v>4765</v>
      </c>
      <c r="F317" s="8" t="s">
        <v>4766</v>
      </c>
      <c r="G317" s="8"/>
      <c r="H317" s="7">
        <v>42249.0</v>
      </c>
      <c r="I317" s="7">
        <v>42480.0</v>
      </c>
      <c r="J317" s="8" t="s">
        <v>4767</v>
      </c>
      <c r="K317" s="8" t="s">
        <v>2241</v>
      </c>
      <c r="L317" s="8">
        <v>2016.0</v>
      </c>
      <c r="M317" s="8">
        <v>32.0</v>
      </c>
      <c r="N317" s="8">
        <v>1.0</v>
      </c>
      <c r="O317" s="8">
        <v>34.0</v>
      </c>
      <c r="P317" s="8">
        <v>42.0</v>
      </c>
      <c r="Q317" s="8">
        <v>2016.0</v>
      </c>
      <c r="R317" s="8" t="s">
        <v>2075</v>
      </c>
      <c r="S317" s="8"/>
      <c r="T317" s="8"/>
      <c r="U317" s="8"/>
      <c r="V317" s="8"/>
      <c r="W317" s="8" t="s">
        <v>2242</v>
      </c>
      <c r="X317" s="8"/>
      <c r="Y317" s="8" t="s">
        <v>2243</v>
      </c>
      <c r="Z317" s="8" t="s">
        <v>4768</v>
      </c>
      <c r="AA317" s="8"/>
      <c r="AB317" s="8"/>
      <c r="AC317" s="8"/>
      <c r="AD317" s="8" t="s">
        <v>2080</v>
      </c>
      <c r="AE317" s="8" t="s">
        <v>2080</v>
      </c>
      <c r="AF317" s="8">
        <v>2.015331795E9</v>
      </c>
      <c r="AG317" s="8">
        <v>2.6321112E7</v>
      </c>
      <c r="AH317" s="8" t="s">
        <v>4769</v>
      </c>
      <c r="AI317" s="8" t="s">
        <v>1364</v>
      </c>
      <c r="AJ317" s="8" t="s">
        <v>4770</v>
      </c>
      <c r="AK317" s="8" t="s">
        <v>4771</v>
      </c>
      <c r="AL317" s="8" t="s">
        <v>4772</v>
      </c>
      <c r="AM317" s="8" t="s">
        <v>2603</v>
      </c>
    </row>
    <row r="318" ht="14.25" customHeight="1">
      <c r="A318" s="8">
        <v>178.0</v>
      </c>
      <c r="B318" s="8" t="s">
        <v>2639</v>
      </c>
      <c r="C318" s="8"/>
      <c r="D318" s="8" t="s">
        <v>2640</v>
      </c>
      <c r="E318" s="8" t="s">
        <v>2641</v>
      </c>
      <c r="F318" s="8" t="s">
        <v>2642</v>
      </c>
      <c r="G318" s="8"/>
      <c r="H318" s="7">
        <v>42445.0</v>
      </c>
      <c r="I318" s="7">
        <v>42459.0</v>
      </c>
      <c r="J318" s="8" t="s">
        <v>2643</v>
      </c>
      <c r="K318" s="8" t="s">
        <v>2644</v>
      </c>
      <c r="L318" s="8">
        <v>2016.0</v>
      </c>
      <c r="M318" s="8">
        <v>26.0</v>
      </c>
      <c r="N318" s="8">
        <v>2.0</v>
      </c>
      <c r="O318" s="8">
        <v>96.0</v>
      </c>
      <c r="P318" s="8">
        <v>107.0</v>
      </c>
      <c r="Q318" s="8">
        <v>2016.0</v>
      </c>
      <c r="R318" s="8" t="s">
        <v>2075</v>
      </c>
      <c r="S318" s="8"/>
      <c r="T318" s="8"/>
      <c r="U318" s="8"/>
      <c r="V318" s="8"/>
      <c r="W318" s="8" t="s">
        <v>2645</v>
      </c>
      <c r="X318" s="8"/>
      <c r="Y318" s="8" t="s">
        <v>2646</v>
      </c>
      <c r="Z318" s="8" t="s">
        <v>2647</v>
      </c>
      <c r="AA318" s="8"/>
      <c r="AB318" s="8"/>
      <c r="AC318" s="8" t="s">
        <v>2451</v>
      </c>
      <c r="AD318" s="8" t="s">
        <v>2080</v>
      </c>
      <c r="AE318" s="8" t="s">
        <v>2080</v>
      </c>
      <c r="AF318" s="8">
        <v>2.0160205638E10</v>
      </c>
      <c r="AG318" s="8">
        <v>2.6164058E7</v>
      </c>
      <c r="AH318" s="8" t="s">
        <v>2648</v>
      </c>
      <c r="AI318" s="8" t="s">
        <v>308</v>
      </c>
      <c r="AJ318" s="8" t="s">
        <v>2649</v>
      </c>
      <c r="AK318" s="8" t="s">
        <v>2650</v>
      </c>
      <c r="AL318" s="8" t="s">
        <v>2651</v>
      </c>
      <c r="AM318" s="8" t="s">
        <v>2603</v>
      </c>
    </row>
    <row r="319" ht="14.25" customHeight="1">
      <c r="A319" s="8">
        <v>179.0</v>
      </c>
      <c r="B319" s="8" t="s">
        <v>298</v>
      </c>
      <c r="C319" s="8"/>
      <c r="D319" s="8" t="s">
        <v>2652</v>
      </c>
      <c r="E319" s="8" t="s">
        <v>2653</v>
      </c>
      <c r="F319" s="8"/>
      <c r="G319" s="8"/>
      <c r="H319" s="8"/>
      <c r="I319" s="7">
        <v>42584.0</v>
      </c>
      <c r="J319" s="8" t="s">
        <v>2654</v>
      </c>
      <c r="K319" s="8" t="s">
        <v>2128</v>
      </c>
      <c r="L319" s="8">
        <v>2016.0</v>
      </c>
      <c r="M319" s="8">
        <v>44.0</v>
      </c>
      <c r="N319" s="8">
        <v>1.0</v>
      </c>
      <c r="O319" s="8">
        <v>83.0</v>
      </c>
      <c r="P319" s="8">
        <v>90.0</v>
      </c>
      <c r="Q319" s="9">
        <v>42370.0</v>
      </c>
      <c r="R319" s="8" t="s">
        <v>2075</v>
      </c>
      <c r="S319" s="8"/>
      <c r="T319" s="8"/>
      <c r="U319" s="8"/>
      <c r="V319" s="8"/>
      <c r="W319" s="8" t="s">
        <v>2129</v>
      </c>
      <c r="X319" s="8"/>
      <c r="Y319" s="8"/>
      <c r="Z319" s="8" t="s">
        <v>2655</v>
      </c>
      <c r="AA319" s="8"/>
      <c r="AB319" s="8"/>
      <c r="AC319" s="8"/>
      <c r="AD319" s="8" t="s">
        <v>2080</v>
      </c>
      <c r="AE319" s="8" t="s">
        <v>2080</v>
      </c>
      <c r="AF319" s="8"/>
      <c r="AG319" s="8">
        <v>2.6578718E7</v>
      </c>
      <c r="AH319" s="8" t="s">
        <v>2656</v>
      </c>
      <c r="AI319" s="8" t="s">
        <v>302</v>
      </c>
      <c r="AJ319" s="8" t="s">
        <v>2657</v>
      </c>
      <c r="AK319" s="8" t="s">
        <v>2658</v>
      </c>
      <c r="AL319" s="8" t="s">
        <v>2659</v>
      </c>
      <c r="AM319" s="8" t="s">
        <v>2660</v>
      </c>
    </row>
    <row r="320" ht="14.25" customHeight="1">
      <c r="A320" s="8">
        <v>180.0</v>
      </c>
      <c r="B320" s="8"/>
      <c r="C320" s="8" t="s">
        <v>4773</v>
      </c>
      <c r="D320" s="8" t="s">
        <v>4774</v>
      </c>
      <c r="E320" s="8" t="s">
        <v>4775</v>
      </c>
      <c r="F320" s="8"/>
      <c r="G320" s="8"/>
      <c r="H320" s="7">
        <v>42942.0</v>
      </c>
      <c r="I320" s="7">
        <v>42947.0</v>
      </c>
      <c r="J320" s="8" t="s">
        <v>4776</v>
      </c>
      <c r="K320" s="8" t="s">
        <v>4777</v>
      </c>
      <c r="L320" s="8">
        <v>2016.0</v>
      </c>
      <c r="M320" s="8">
        <v>20.0</v>
      </c>
      <c r="N320" s="8">
        <v>15.0</v>
      </c>
      <c r="O320" s="8">
        <v>2190.0</v>
      </c>
      <c r="P320" s="8">
        <v>2196.0</v>
      </c>
      <c r="Q320" s="8">
        <v>2016.0</v>
      </c>
      <c r="R320" s="8" t="s">
        <v>2075</v>
      </c>
      <c r="S320" s="8"/>
      <c r="T320" s="8"/>
      <c r="U320" s="8"/>
      <c r="V320" s="8"/>
      <c r="W320" s="8" t="s">
        <v>4778</v>
      </c>
      <c r="X320" s="8"/>
      <c r="Y320" s="8" t="s">
        <v>4779</v>
      </c>
      <c r="Z320" s="8" t="s">
        <v>4780</v>
      </c>
      <c r="AA320" s="8"/>
      <c r="AB320" s="8"/>
      <c r="AC320" s="8"/>
      <c r="AD320" s="8" t="s">
        <v>3695</v>
      </c>
      <c r="AE320" s="8" t="s">
        <v>4781</v>
      </c>
      <c r="AF320" s="8">
        <v>2.0170525562E10</v>
      </c>
      <c r="AG320" s="8"/>
      <c r="AH320" s="8" t="s">
        <v>4782</v>
      </c>
      <c r="AI320" s="8" t="s">
        <v>4783</v>
      </c>
      <c r="AJ320" s="8" t="s">
        <v>4784</v>
      </c>
      <c r="AK320" s="8" t="s">
        <v>4785</v>
      </c>
      <c r="AL320" s="8" t="s">
        <v>4786</v>
      </c>
      <c r="AM320" s="8" t="s">
        <v>2572</v>
      </c>
    </row>
    <row r="321" ht="14.25" customHeight="1">
      <c r="A321" s="8">
        <v>181.0</v>
      </c>
      <c r="B321" s="8" t="s">
        <v>4787</v>
      </c>
      <c r="C321" s="8"/>
      <c r="D321" s="8"/>
      <c r="E321" s="8"/>
      <c r="F321" s="8"/>
      <c r="G321" s="8"/>
      <c r="H321" s="7">
        <v>45800.0</v>
      </c>
      <c r="I321" s="7">
        <v>45800.0</v>
      </c>
      <c r="J321" s="8" t="s">
        <v>4788</v>
      </c>
      <c r="K321" s="8" t="s">
        <v>2089</v>
      </c>
      <c r="L321" s="8">
        <v>2015.0</v>
      </c>
      <c r="M321" s="8"/>
      <c r="N321" s="8"/>
      <c r="O321" s="8"/>
      <c r="P321" s="8"/>
      <c r="Q321" s="9">
        <v>42345.0</v>
      </c>
      <c r="R321" s="8" t="s">
        <v>2090</v>
      </c>
      <c r="S321" s="8"/>
      <c r="T321" s="8"/>
      <c r="U321" s="8"/>
      <c r="V321" s="8"/>
      <c r="W321" s="8"/>
      <c r="X321" s="8"/>
      <c r="Y321" s="8" t="s">
        <v>2089</v>
      </c>
      <c r="Z321" s="8" t="s">
        <v>4789</v>
      </c>
      <c r="AA321" s="8"/>
      <c r="AB321" s="8"/>
      <c r="AC321" s="8"/>
      <c r="AD321" s="8" t="s">
        <v>2080</v>
      </c>
      <c r="AE321" s="8" t="s">
        <v>2080</v>
      </c>
      <c r="AF321" s="8"/>
      <c r="AG321" s="8"/>
      <c r="AH321" s="8" t="s">
        <v>4790</v>
      </c>
      <c r="AI321" s="8"/>
      <c r="AJ321" s="8" t="s">
        <v>4791</v>
      </c>
      <c r="AK321" s="8" t="s">
        <v>4792</v>
      </c>
      <c r="AL321" s="8"/>
      <c r="AM321" s="8" t="s">
        <v>2095</v>
      </c>
    </row>
    <row r="322" ht="14.25" customHeight="1">
      <c r="A322" s="8">
        <v>182.0</v>
      </c>
      <c r="B322" s="8" t="s">
        <v>1375</v>
      </c>
      <c r="C322" s="8"/>
      <c r="D322" s="8" t="s">
        <v>4793</v>
      </c>
      <c r="E322" s="8" t="s">
        <v>4794</v>
      </c>
      <c r="F322" s="8" t="s">
        <v>4795</v>
      </c>
      <c r="G322" s="8"/>
      <c r="H322" s="7">
        <v>42164.0</v>
      </c>
      <c r="I322" s="7">
        <v>42545.0</v>
      </c>
      <c r="J322" s="8" t="s">
        <v>4796</v>
      </c>
      <c r="K322" s="8" t="s">
        <v>180</v>
      </c>
      <c r="L322" s="8">
        <v>2015.0</v>
      </c>
      <c r="M322" s="8">
        <v>22.0</v>
      </c>
      <c r="N322" s="8">
        <v>6.0</v>
      </c>
      <c r="O322" s="8">
        <v>559.0</v>
      </c>
      <c r="P322" s="8">
        <v>564.0</v>
      </c>
      <c r="Q322" s="9">
        <v>42339.0</v>
      </c>
      <c r="R322" s="8" t="s">
        <v>2075</v>
      </c>
      <c r="S322" s="8"/>
      <c r="T322" s="8"/>
      <c r="U322" s="8"/>
      <c r="V322" s="8"/>
      <c r="W322" s="8" t="s">
        <v>2254</v>
      </c>
      <c r="X322" s="8"/>
      <c r="Y322" s="8" t="s">
        <v>4797</v>
      </c>
      <c r="Z322" s="8" t="s">
        <v>4798</v>
      </c>
      <c r="AA322" s="8"/>
      <c r="AB322" s="8"/>
      <c r="AC322" s="8"/>
      <c r="AD322" s="8" t="s">
        <v>2080</v>
      </c>
      <c r="AE322" s="8" t="s">
        <v>2080</v>
      </c>
      <c r="AF322" s="8">
        <v>2.015094933E9</v>
      </c>
      <c r="AG322" s="8">
        <v>2.6051483E7</v>
      </c>
      <c r="AH322" s="8" t="s">
        <v>4799</v>
      </c>
      <c r="AI322" s="8" t="s">
        <v>1379</v>
      </c>
      <c r="AJ322" s="8" t="s">
        <v>4800</v>
      </c>
      <c r="AK322" s="8" t="s">
        <v>4801</v>
      </c>
      <c r="AL322" s="8" t="s">
        <v>4802</v>
      </c>
      <c r="AM322" s="8" t="s">
        <v>2603</v>
      </c>
    </row>
    <row r="323" ht="14.25" customHeight="1">
      <c r="A323" s="8">
        <v>183.0</v>
      </c>
      <c r="B323" s="8" t="s">
        <v>4803</v>
      </c>
      <c r="C323" s="8"/>
      <c r="D323" s="8" t="s">
        <v>4804</v>
      </c>
      <c r="E323" s="8" t="s">
        <v>4805</v>
      </c>
      <c r="F323" s="8" t="s">
        <v>4806</v>
      </c>
      <c r="G323" s="8"/>
      <c r="H323" s="7">
        <v>42110.0</v>
      </c>
      <c r="I323" s="7">
        <v>43263.0</v>
      </c>
      <c r="J323" s="8" t="s">
        <v>4807</v>
      </c>
      <c r="K323" s="8" t="s">
        <v>2369</v>
      </c>
      <c r="L323" s="8">
        <v>2015.0</v>
      </c>
      <c r="M323" s="8">
        <v>135.0</v>
      </c>
      <c r="N323" s="8">
        <v>1.0</v>
      </c>
      <c r="O323" s="8">
        <v>95.0</v>
      </c>
      <c r="P323" s="8">
        <v>102.0</v>
      </c>
      <c r="Q323" s="9">
        <v>42317.0</v>
      </c>
      <c r="R323" s="8" t="s">
        <v>2075</v>
      </c>
      <c r="S323" s="8"/>
      <c r="T323" s="8"/>
      <c r="U323" s="8"/>
      <c r="V323" s="8"/>
      <c r="W323" s="8" t="s">
        <v>2370</v>
      </c>
      <c r="X323" s="8"/>
      <c r="Y323" s="8" t="s">
        <v>2577</v>
      </c>
      <c r="Z323" s="8" t="s">
        <v>4808</v>
      </c>
      <c r="AA323" s="8"/>
      <c r="AB323" s="8"/>
      <c r="AC323" s="8"/>
      <c r="AD323" s="8" t="s">
        <v>2080</v>
      </c>
      <c r="AE323" s="8" t="s">
        <v>2080</v>
      </c>
      <c r="AF323" s="8">
        <v>2.01590686E9</v>
      </c>
      <c r="AG323" s="8">
        <v>2.5381471E7</v>
      </c>
      <c r="AH323" s="8" t="s">
        <v>4809</v>
      </c>
      <c r="AI323" s="8" t="s">
        <v>1404</v>
      </c>
      <c r="AJ323" s="8" t="s">
        <v>4810</v>
      </c>
      <c r="AK323" s="8" t="s">
        <v>4811</v>
      </c>
      <c r="AL323" s="8" t="s">
        <v>4812</v>
      </c>
      <c r="AM323" s="8" t="s">
        <v>2504</v>
      </c>
    </row>
    <row r="324" ht="14.25" customHeight="1">
      <c r="A324" s="8">
        <v>184.0</v>
      </c>
      <c r="B324" s="8" t="s">
        <v>1370</v>
      </c>
      <c r="C324" s="8"/>
      <c r="D324" s="8" t="s">
        <v>4813</v>
      </c>
      <c r="E324" s="8" t="s">
        <v>4814</v>
      </c>
      <c r="F324" s="8"/>
      <c r="G324" s="8"/>
      <c r="H324" s="8"/>
      <c r="I324" s="7">
        <v>42629.0</v>
      </c>
      <c r="J324" s="8" t="s">
        <v>4815</v>
      </c>
      <c r="K324" s="8" t="s">
        <v>2128</v>
      </c>
      <c r="L324" s="8">
        <v>2015.0</v>
      </c>
      <c r="M324" s="8">
        <v>43.0</v>
      </c>
      <c r="N324" s="8">
        <v>8.0</v>
      </c>
      <c r="O324" s="8">
        <v>1893.0</v>
      </c>
      <c r="P324" s="8">
        <v>1901.0</v>
      </c>
      <c r="Q324" s="9">
        <v>42217.0</v>
      </c>
      <c r="R324" s="8" t="s">
        <v>2075</v>
      </c>
      <c r="S324" s="8"/>
      <c r="T324" s="8"/>
      <c r="U324" s="8"/>
      <c r="V324" s="8"/>
      <c r="W324" s="8" t="s">
        <v>2129</v>
      </c>
      <c r="X324" s="8"/>
      <c r="Y324" s="8"/>
      <c r="Z324" s="8" t="s">
        <v>4816</v>
      </c>
      <c r="AA324" s="8" t="s">
        <v>4817</v>
      </c>
      <c r="AB324" s="8"/>
      <c r="AC324" s="8"/>
      <c r="AD324" s="8" t="s">
        <v>2080</v>
      </c>
      <c r="AE324" s="8" t="s">
        <v>2080</v>
      </c>
      <c r="AF324" s="8"/>
      <c r="AG324" s="8">
        <v>2.6109611E7</v>
      </c>
      <c r="AH324" s="8" t="s">
        <v>4818</v>
      </c>
      <c r="AI324" s="8" t="s">
        <v>1374</v>
      </c>
      <c r="AJ324" s="8" t="s">
        <v>4819</v>
      </c>
      <c r="AK324" s="8" t="s">
        <v>4820</v>
      </c>
      <c r="AL324" s="8" t="s">
        <v>4821</v>
      </c>
      <c r="AM324" s="8" t="s">
        <v>2660</v>
      </c>
    </row>
    <row r="325" ht="14.25" customHeight="1">
      <c r="A325" s="8">
        <v>185.0</v>
      </c>
      <c r="B325" s="8" t="s">
        <v>4822</v>
      </c>
      <c r="C325" s="8"/>
      <c r="D325" s="8" t="s">
        <v>4823</v>
      </c>
      <c r="E325" s="8" t="s">
        <v>4824</v>
      </c>
      <c r="F325" s="8" t="s">
        <v>4825</v>
      </c>
      <c r="G325" s="8"/>
      <c r="H325" s="7">
        <v>42276.0</v>
      </c>
      <c r="I325" s="7">
        <v>42279.0</v>
      </c>
      <c r="J325" s="8" t="s">
        <v>4826</v>
      </c>
      <c r="K325" s="8" t="s">
        <v>4777</v>
      </c>
      <c r="L325" s="8">
        <v>2015.0</v>
      </c>
      <c r="M325" s="8">
        <v>19.0</v>
      </c>
      <c r="N325" s="8">
        <v>29.0</v>
      </c>
      <c r="O325" s="8">
        <v>4640.0</v>
      </c>
      <c r="P325" s="8">
        <v>4644.0</v>
      </c>
      <c r="Q325" s="9">
        <v>42194.0</v>
      </c>
      <c r="R325" s="8" t="s">
        <v>2075</v>
      </c>
      <c r="S325" s="8"/>
      <c r="T325" s="8"/>
      <c r="U325" s="8"/>
      <c r="V325" s="8"/>
      <c r="W325" s="8" t="s">
        <v>4778</v>
      </c>
      <c r="X325" s="8"/>
      <c r="Y325" s="8" t="s">
        <v>4779</v>
      </c>
      <c r="Z325" s="8" t="s">
        <v>4827</v>
      </c>
      <c r="AA325" s="8"/>
      <c r="AB325" s="8"/>
      <c r="AC325" s="8"/>
      <c r="AD325" s="8" t="s">
        <v>3695</v>
      </c>
      <c r="AE325" s="8" t="s">
        <v>2080</v>
      </c>
      <c r="AF325" s="8">
        <v>2.015398771E9</v>
      </c>
      <c r="AG325" s="8"/>
      <c r="AH325" s="8" t="s">
        <v>4828</v>
      </c>
      <c r="AI325" s="8" t="s">
        <v>4829</v>
      </c>
      <c r="AJ325" s="8" t="s">
        <v>4830</v>
      </c>
      <c r="AK325" s="8" t="s">
        <v>4831</v>
      </c>
      <c r="AL325" s="8" t="s">
        <v>4832</v>
      </c>
      <c r="AM325" s="8" t="s">
        <v>2603</v>
      </c>
    </row>
    <row r="326" ht="14.25" customHeight="1">
      <c r="A326" s="8">
        <v>186.0</v>
      </c>
      <c r="B326" s="8" t="s">
        <v>314</v>
      </c>
      <c r="C326" s="8"/>
      <c r="D326" s="8" t="s">
        <v>2661</v>
      </c>
      <c r="E326" s="8" t="s">
        <v>2662</v>
      </c>
      <c r="F326" s="8" t="s">
        <v>2663</v>
      </c>
      <c r="G326" s="8"/>
      <c r="H326" s="7">
        <v>41997.0</v>
      </c>
      <c r="I326" s="7">
        <v>42202.0</v>
      </c>
      <c r="J326" s="8" t="s">
        <v>2664</v>
      </c>
      <c r="K326" s="8" t="s">
        <v>2644</v>
      </c>
      <c r="L326" s="8">
        <v>2015.0</v>
      </c>
      <c r="M326" s="8">
        <v>25.0</v>
      </c>
      <c r="N326" s="8">
        <v>4.0</v>
      </c>
      <c r="O326" s="8">
        <v>321.0</v>
      </c>
      <c r="P326" s="8">
        <v>331.0</v>
      </c>
      <c r="Q326" s="9">
        <v>42193.0</v>
      </c>
      <c r="R326" s="8" t="s">
        <v>2075</v>
      </c>
      <c r="S326" s="8"/>
      <c r="T326" s="8"/>
      <c r="U326" s="8"/>
      <c r="V326" s="8"/>
      <c r="W326" s="8" t="s">
        <v>2645</v>
      </c>
      <c r="X326" s="8"/>
      <c r="Y326" s="8" t="s">
        <v>2646</v>
      </c>
      <c r="Z326" s="8" t="s">
        <v>2665</v>
      </c>
      <c r="AA326" s="8"/>
      <c r="AB326" s="8"/>
      <c r="AC326" s="8"/>
      <c r="AD326" s="8" t="s">
        <v>2080</v>
      </c>
      <c r="AE326" s="8" t="s">
        <v>2080</v>
      </c>
      <c r="AF326" s="8">
        <v>2.014981038E9</v>
      </c>
      <c r="AG326" s="8">
        <v>2.5514139E7</v>
      </c>
      <c r="AH326" s="8" t="s">
        <v>2666</v>
      </c>
      <c r="AI326" s="8" t="s">
        <v>317</v>
      </c>
      <c r="AJ326" s="8" t="s">
        <v>2667</v>
      </c>
      <c r="AK326" s="8" t="s">
        <v>2668</v>
      </c>
      <c r="AL326" s="8" t="s">
        <v>2669</v>
      </c>
      <c r="AM326" s="8" t="s">
        <v>2603</v>
      </c>
    </row>
    <row r="327" ht="14.25" customHeight="1">
      <c r="A327" s="8">
        <v>187.0</v>
      </c>
      <c r="B327" s="8" t="s">
        <v>1391</v>
      </c>
      <c r="C327" s="8"/>
      <c r="D327" s="8" t="s">
        <v>4833</v>
      </c>
      <c r="E327" s="8" t="s">
        <v>4834</v>
      </c>
      <c r="F327" s="8"/>
      <c r="G327" s="8"/>
      <c r="H327" s="8"/>
      <c r="I327" s="7">
        <v>42381.0</v>
      </c>
      <c r="J327" s="8" t="s">
        <v>4835</v>
      </c>
      <c r="K327" s="8" t="s">
        <v>2128</v>
      </c>
      <c r="L327" s="8">
        <v>2015.0</v>
      </c>
      <c r="M327" s="8">
        <v>43.0</v>
      </c>
      <c r="N327" s="8">
        <v>5.0</v>
      </c>
      <c r="O327" s="8">
        <v>1157.0</v>
      </c>
      <c r="P327" s="8">
        <v>1164.0</v>
      </c>
      <c r="Q327" s="9">
        <v>42125.0</v>
      </c>
      <c r="R327" s="8" t="s">
        <v>2075</v>
      </c>
      <c r="S327" s="8"/>
      <c r="T327" s="8"/>
      <c r="U327" s="8"/>
      <c r="V327" s="8"/>
      <c r="W327" s="8" t="s">
        <v>2129</v>
      </c>
      <c r="X327" s="8"/>
      <c r="Y327" s="8"/>
      <c r="Z327" s="8" t="s">
        <v>4836</v>
      </c>
      <c r="AA327" s="8"/>
      <c r="AB327" s="8"/>
      <c r="AC327" s="8"/>
      <c r="AD327" s="8" t="s">
        <v>2080</v>
      </c>
      <c r="AE327" s="8" t="s">
        <v>2080</v>
      </c>
      <c r="AF327" s="8"/>
      <c r="AG327" s="8">
        <v>2.5646363E7</v>
      </c>
      <c r="AH327" s="8" t="s">
        <v>4837</v>
      </c>
      <c r="AI327" s="8" t="s">
        <v>1395</v>
      </c>
      <c r="AJ327" s="8" t="s">
        <v>4838</v>
      </c>
      <c r="AK327" s="8" t="s">
        <v>4839</v>
      </c>
      <c r="AL327" s="8" t="s">
        <v>4840</v>
      </c>
      <c r="AM327" s="8" t="s">
        <v>2660</v>
      </c>
    </row>
    <row r="328" ht="14.25" customHeight="1">
      <c r="A328" s="8">
        <v>188.0</v>
      </c>
      <c r="B328" s="8" t="s">
        <v>1432</v>
      </c>
      <c r="C328" s="8"/>
      <c r="D328" s="8" t="s">
        <v>4841</v>
      </c>
      <c r="E328" s="8" t="s">
        <v>4842</v>
      </c>
      <c r="F328" s="8"/>
      <c r="G328" s="8"/>
      <c r="H328" s="8"/>
      <c r="I328" s="7">
        <v>42291.0</v>
      </c>
      <c r="J328" s="8" t="s">
        <v>4843</v>
      </c>
      <c r="K328" s="8" t="s">
        <v>2550</v>
      </c>
      <c r="L328" s="8">
        <v>2015.0</v>
      </c>
      <c r="M328" s="8">
        <v>23.0</v>
      </c>
      <c r="N328" s="8">
        <v>4.0</v>
      </c>
      <c r="O328" s="8">
        <v>1086.0</v>
      </c>
      <c r="P328" s="8">
        <v>1091.0</v>
      </c>
      <c r="Q328" s="9">
        <v>42095.0</v>
      </c>
      <c r="R328" s="8" t="s">
        <v>2075</v>
      </c>
      <c r="S328" s="8"/>
      <c r="T328" s="8"/>
      <c r="U328" s="8"/>
      <c r="V328" s="8"/>
      <c r="W328" s="8" t="s">
        <v>2551</v>
      </c>
      <c r="X328" s="8"/>
      <c r="Y328" s="8"/>
      <c r="Z328" s="8" t="s">
        <v>4844</v>
      </c>
      <c r="AA328" s="8"/>
      <c r="AB328" s="8"/>
      <c r="AC328" s="8"/>
      <c r="AD328" s="8" t="s">
        <v>2080</v>
      </c>
      <c r="AE328" s="8" t="s">
        <v>2080</v>
      </c>
      <c r="AF328" s="8"/>
      <c r="AG328" s="8">
        <v>2.4531357E7</v>
      </c>
      <c r="AH328" s="8" t="s">
        <v>4845</v>
      </c>
      <c r="AI328" s="8" t="s">
        <v>1436</v>
      </c>
      <c r="AJ328" s="8" t="s">
        <v>4846</v>
      </c>
      <c r="AK328" s="8" t="s">
        <v>4847</v>
      </c>
      <c r="AL328" s="8" t="s">
        <v>4848</v>
      </c>
      <c r="AM328" s="8" t="s">
        <v>2688</v>
      </c>
    </row>
    <row r="329" ht="14.25" customHeight="1">
      <c r="A329" s="8">
        <v>189.0</v>
      </c>
      <c r="B329" s="8" t="s">
        <v>324</v>
      </c>
      <c r="C329" s="8"/>
      <c r="D329" s="8" t="s">
        <v>2670</v>
      </c>
      <c r="E329" s="8" t="s">
        <v>2671</v>
      </c>
      <c r="F329" s="8" t="s">
        <v>2672</v>
      </c>
      <c r="G329" s="8"/>
      <c r="H329" s="7">
        <v>42075.0</v>
      </c>
      <c r="I329" s="7">
        <v>44404.0</v>
      </c>
      <c r="J329" s="8" t="s">
        <v>2673</v>
      </c>
      <c r="K329" s="8" t="s">
        <v>2594</v>
      </c>
      <c r="L329" s="8">
        <v>2015.0</v>
      </c>
      <c r="M329" s="8">
        <v>39.0</v>
      </c>
      <c r="N329" s="8">
        <v>3.0</v>
      </c>
      <c r="O329" s="8">
        <v>527.0</v>
      </c>
      <c r="P329" s="8">
        <v>534.0</v>
      </c>
      <c r="Q329" s="9">
        <v>42064.0</v>
      </c>
      <c r="R329" s="8" t="s">
        <v>2075</v>
      </c>
      <c r="S329" s="8"/>
      <c r="T329" s="8"/>
      <c r="U329" s="8"/>
      <c r="V329" s="8"/>
      <c r="W329" s="8" t="s">
        <v>2595</v>
      </c>
      <c r="X329" s="8"/>
      <c r="Y329" s="8" t="s">
        <v>2674</v>
      </c>
      <c r="Z329" s="8" t="s">
        <v>2675</v>
      </c>
      <c r="AA329" s="8"/>
      <c r="AB329" s="8"/>
      <c r="AC329" s="8"/>
      <c r="AD329" s="8" t="s">
        <v>2080</v>
      </c>
      <c r="AE329" s="8" t="s">
        <v>2080</v>
      </c>
      <c r="AF329" s="8"/>
      <c r="AG329" s="8">
        <v>2.5192689E7</v>
      </c>
      <c r="AH329" s="8" t="s">
        <v>2676</v>
      </c>
      <c r="AI329" s="8" t="s">
        <v>329</v>
      </c>
      <c r="AJ329" s="8" t="s">
        <v>2677</v>
      </c>
      <c r="AK329" s="8" t="s">
        <v>2678</v>
      </c>
      <c r="AL329" s="8" t="s">
        <v>2679</v>
      </c>
      <c r="AM329" s="8" t="s">
        <v>2349</v>
      </c>
    </row>
    <row r="330" ht="14.25" customHeight="1">
      <c r="A330" s="8">
        <v>190.0</v>
      </c>
      <c r="B330" s="8" t="s">
        <v>4849</v>
      </c>
      <c r="C330" s="8"/>
      <c r="D330" s="8" t="s">
        <v>4833</v>
      </c>
      <c r="E330" s="8" t="s">
        <v>4850</v>
      </c>
      <c r="F330" s="8" t="s">
        <v>4851</v>
      </c>
      <c r="G330" s="8"/>
      <c r="H330" s="7">
        <v>42045.0</v>
      </c>
      <c r="I330" s="7">
        <v>42048.0</v>
      </c>
      <c r="J330" s="8" t="s">
        <v>4852</v>
      </c>
      <c r="K330" s="8" t="s">
        <v>2241</v>
      </c>
      <c r="L330" s="8">
        <v>2015.0</v>
      </c>
      <c r="M330" s="8">
        <v>31.0</v>
      </c>
      <c r="N330" s="8">
        <v>1.0</v>
      </c>
      <c r="O330" s="8">
        <v>69.0</v>
      </c>
      <c r="P330" s="8">
        <v>76.0</v>
      </c>
      <c r="Q330" s="9">
        <v>42005.0</v>
      </c>
      <c r="R330" s="8" t="s">
        <v>2075</v>
      </c>
      <c r="S330" s="8"/>
      <c r="T330" s="8"/>
      <c r="U330" s="8"/>
      <c r="V330" s="8"/>
      <c r="W330" s="8" t="s">
        <v>2242</v>
      </c>
      <c r="X330" s="8"/>
      <c r="Y330" s="8" t="s">
        <v>2243</v>
      </c>
      <c r="Z330" s="8" t="s">
        <v>4853</v>
      </c>
      <c r="AA330" s="8"/>
      <c r="AB330" s="8"/>
      <c r="AC330" s="8"/>
      <c r="AD330" s="8" t="s">
        <v>2080</v>
      </c>
      <c r="AE330" s="8" t="s">
        <v>2080</v>
      </c>
      <c r="AF330" s="8">
        <v>2.015713633E9</v>
      </c>
      <c r="AG330" s="8">
        <v>2.5242512E7</v>
      </c>
      <c r="AH330" s="8" t="s">
        <v>4854</v>
      </c>
      <c r="AI330" s="8" t="s">
        <v>1411</v>
      </c>
      <c r="AJ330" s="8" t="s">
        <v>4855</v>
      </c>
      <c r="AK330" s="8" t="s">
        <v>4856</v>
      </c>
      <c r="AL330" s="8" t="s">
        <v>4857</v>
      </c>
      <c r="AM330" s="8" t="s">
        <v>2750</v>
      </c>
    </row>
    <row r="331" ht="14.25" customHeight="1">
      <c r="A331" s="8">
        <v>191.0</v>
      </c>
      <c r="B331" s="8" t="s">
        <v>1405</v>
      </c>
      <c r="C331" s="8"/>
      <c r="D331" s="8" t="s">
        <v>4858</v>
      </c>
      <c r="E331" s="8" t="s">
        <v>4859</v>
      </c>
      <c r="F331" s="8"/>
      <c r="G331" s="8"/>
      <c r="H331" s="8"/>
      <c r="I331" s="7">
        <v>42157.0</v>
      </c>
      <c r="J331" s="8" t="s">
        <v>4860</v>
      </c>
      <c r="K331" s="8" t="s">
        <v>2128</v>
      </c>
      <c r="L331" s="8">
        <v>2015.0</v>
      </c>
      <c r="M331" s="8">
        <v>43.0</v>
      </c>
      <c r="N331" s="8">
        <v>1.0</v>
      </c>
      <c r="O331" s="8">
        <v>161.0</v>
      </c>
      <c r="P331" s="8">
        <v>168.0</v>
      </c>
      <c r="Q331" s="9">
        <v>42005.0</v>
      </c>
      <c r="R331" s="8" t="s">
        <v>2075</v>
      </c>
      <c r="S331" s="8"/>
      <c r="T331" s="8"/>
      <c r="U331" s="8"/>
      <c r="V331" s="8"/>
      <c r="W331" s="8" t="s">
        <v>2129</v>
      </c>
      <c r="X331" s="8"/>
      <c r="Y331" s="8"/>
      <c r="Z331" s="8" t="s">
        <v>4861</v>
      </c>
      <c r="AA331" s="8"/>
      <c r="AB331" s="8"/>
      <c r="AC331" s="8"/>
      <c r="AD331" s="8" t="s">
        <v>2080</v>
      </c>
      <c r="AE331" s="8" t="s">
        <v>2080</v>
      </c>
      <c r="AF331" s="8"/>
      <c r="AG331" s="8">
        <v>2.5349264E7</v>
      </c>
      <c r="AH331" s="8" t="s">
        <v>4862</v>
      </c>
      <c r="AI331" s="8" t="s">
        <v>1408</v>
      </c>
      <c r="AJ331" s="8" t="s">
        <v>4863</v>
      </c>
      <c r="AK331" s="8" t="s">
        <v>4864</v>
      </c>
      <c r="AL331" s="8" t="s">
        <v>4865</v>
      </c>
      <c r="AM331" s="8" t="s">
        <v>2688</v>
      </c>
    </row>
    <row r="332" ht="14.25" customHeight="1">
      <c r="A332" s="8">
        <v>192.0</v>
      </c>
      <c r="B332" s="8" t="s">
        <v>4866</v>
      </c>
      <c r="C332" s="8"/>
      <c r="D332" s="8" t="s">
        <v>4867</v>
      </c>
      <c r="E332" s="8" t="s">
        <v>4868</v>
      </c>
      <c r="F332" s="8" t="s">
        <v>4869</v>
      </c>
      <c r="G332" s="8"/>
      <c r="H332" s="7">
        <v>42584.0</v>
      </c>
      <c r="I332" s="7">
        <v>43599.0</v>
      </c>
      <c r="J332" s="8" t="s">
        <v>4870</v>
      </c>
      <c r="K332" s="8" t="s">
        <v>4871</v>
      </c>
      <c r="L332" s="8">
        <v>2015.0</v>
      </c>
      <c r="M332" s="8">
        <v>62.0</v>
      </c>
      <c r="N332" s="10">
        <v>46085.0</v>
      </c>
      <c r="O332" s="8">
        <v>53.0</v>
      </c>
      <c r="P332" s="8">
        <v>58.0</v>
      </c>
      <c r="Q332" s="8">
        <v>2015.0</v>
      </c>
      <c r="R332" s="8" t="s">
        <v>2075</v>
      </c>
      <c r="S332" s="8"/>
      <c r="T332" s="8"/>
      <c r="U332" s="8"/>
      <c r="V332" s="8"/>
      <c r="W332" s="8" t="s">
        <v>4872</v>
      </c>
      <c r="X332" s="8"/>
      <c r="Y332" s="8" t="s">
        <v>4873</v>
      </c>
      <c r="Z332" s="8" t="s">
        <v>4874</v>
      </c>
      <c r="AA332" s="8"/>
      <c r="AB332" s="8"/>
      <c r="AC332" s="8"/>
      <c r="AD332" s="8" t="s">
        <v>2080</v>
      </c>
      <c r="AE332" s="8" t="s">
        <v>2080</v>
      </c>
      <c r="AF332" s="8"/>
      <c r="AG332" s="8">
        <v>2.7237935E7</v>
      </c>
      <c r="AH332" s="8" t="s">
        <v>4875</v>
      </c>
      <c r="AI332" s="8" t="s">
        <v>4876</v>
      </c>
      <c r="AJ332" s="8" t="s">
        <v>4877</v>
      </c>
      <c r="AK332" s="8" t="s">
        <v>4878</v>
      </c>
      <c r="AL332" s="8" t="s">
        <v>4879</v>
      </c>
      <c r="AM332" s="8" t="s">
        <v>2456</v>
      </c>
    </row>
    <row r="333" ht="14.25" customHeight="1">
      <c r="A333" s="8">
        <v>193.0</v>
      </c>
      <c r="B333" s="8" t="s">
        <v>4880</v>
      </c>
      <c r="C333" s="8"/>
      <c r="D333" s="8" t="s">
        <v>4881</v>
      </c>
      <c r="E333" s="8" t="s">
        <v>4882</v>
      </c>
      <c r="F333" s="8" t="s">
        <v>4883</v>
      </c>
      <c r="G333" s="8"/>
      <c r="H333" s="7">
        <v>42276.0</v>
      </c>
      <c r="I333" s="7">
        <v>42278.0</v>
      </c>
      <c r="J333" s="8" t="s">
        <v>4884</v>
      </c>
      <c r="K333" s="8" t="s">
        <v>4777</v>
      </c>
      <c r="L333" s="8">
        <v>2014.0</v>
      </c>
      <c r="M333" s="8">
        <v>18.0</v>
      </c>
      <c r="N333" s="8">
        <v>51.0</v>
      </c>
      <c r="O333" s="8">
        <v>8320.0</v>
      </c>
      <c r="P333" s="8">
        <v>8324.0</v>
      </c>
      <c r="Q333" s="9">
        <v>41983.0</v>
      </c>
      <c r="R333" s="8" t="s">
        <v>2075</v>
      </c>
      <c r="S333" s="8"/>
      <c r="T333" s="8"/>
      <c r="U333" s="8"/>
      <c r="V333" s="8"/>
      <c r="W333" s="8" t="s">
        <v>4778</v>
      </c>
      <c r="X333" s="8"/>
      <c r="Y333" s="8" t="s">
        <v>4779</v>
      </c>
      <c r="Z333" s="8" t="s">
        <v>4885</v>
      </c>
      <c r="AA333" s="8"/>
      <c r="AB333" s="8"/>
      <c r="AC333" s="8"/>
      <c r="AD333" s="8" t="s">
        <v>3695</v>
      </c>
      <c r="AE333" s="8" t="s">
        <v>4781</v>
      </c>
      <c r="AF333" s="8">
        <v>2.015399103E9</v>
      </c>
      <c r="AG333" s="8"/>
      <c r="AH333" s="8" t="s">
        <v>4886</v>
      </c>
      <c r="AI333" s="8" t="s">
        <v>4887</v>
      </c>
      <c r="AJ333" s="8" t="s">
        <v>4888</v>
      </c>
      <c r="AK333" s="8" t="s">
        <v>4889</v>
      </c>
      <c r="AL333" s="8" t="s">
        <v>4890</v>
      </c>
      <c r="AM333" s="8" t="s">
        <v>2603</v>
      </c>
    </row>
    <row r="334" ht="14.25" customHeight="1">
      <c r="A334" s="8">
        <v>194.0</v>
      </c>
      <c r="B334" s="8" t="s">
        <v>4891</v>
      </c>
      <c r="C334" s="8"/>
      <c r="D334" s="8"/>
      <c r="E334" s="8"/>
      <c r="F334" s="8"/>
      <c r="G334" s="8"/>
      <c r="H334" s="7">
        <v>45810.0</v>
      </c>
      <c r="I334" s="7">
        <v>45810.0</v>
      </c>
      <c r="J334" s="8" t="s">
        <v>4892</v>
      </c>
      <c r="K334" s="8" t="s">
        <v>2089</v>
      </c>
      <c r="L334" s="8">
        <v>2014.0</v>
      </c>
      <c r="M334" s="8"/>
      <c r="N334" s="8"/>
      <c r="O334" s="8"/>
      <c r="P334" s="8"/>
      <c r="Q334" s="9">
        <v>41974.0</v>
      </c>
      <c r="R334" s="8" t="s">
        <v>2090</v>
      </c>
      <c r="S334" s="8"/>
      <c r="T334" s="8"/>
      <c r="U334" s="8"/>
      <c r="V334" s="8"/>
      <c r="W334" s="8"/>
      <c r="X334" s="8"/>
      <c r="Y334" s="8" t="s">
        <v>2089</v>
      </c>
      <c r="Z334" s="8" t="s">
        <v>4893</v>
      </c>
      <c r="AA334" s="8"/>
      <c r="AB334" s="8"/>
      <c r="AC334" s="8"/>
      <c r="AD334" s="8" t="s">
        <v>2080</v>
      </c>
      <c r="AE334" s="8" t="s">
        <v>2080</v>
      </c>
      <c r="AF334" s="8"/>
      <c r="AG334" s="8"/>
      <c r="AH334" s="8" t="s">
        <v>4894</v>
      </c>
      <c r="AI334" s="8"/>
      <c r="AJ334" s="8" t="s">
        <v>4895</v>
      </c>
      <c r="AK334" s="8" t="s">
        <v>4896</v>
      </c>
      <c r="AL334" s="8"/>
      <c r="AM334" s="8" t="s">
        <v>2095</v>
      </c>
    </row>
    <row r="335" ht="14.25" customHeight="1">
      <c r="A335" s="8">
        <v>195.0</v>
      </c>
      <c r="B335" s="8" t="s">
        <v>1437</v>
      </c>
      <c r="C335" s="8"/>
      <c r="D335" s="8" t="s">
        <v>4897</v>
      </c>
      <c r="E335" s="8" t="s">
        <v>4898</v>
      </c>
      <c r="F335" s="8"/>
      <c r="G335" s="8"/>
      <c r="H335" s="8"/>
      <c r="I335" s="7">
        <v>42102.0</v>
      </c>
      <c r="J335" s="8" t="s">
        <v>4899</v>
      </c>
      <c r="K335" s="8" t="s">
        <v>2550</v>
      </c>
      <c r="L335" s="8">
        <v>2014.0</v>
      </c>
      <c r="M335" s="8">
        <v>22.0</v>
      </c>
      <c r="N335" s="8">
        <v>9.0</v>
      </c>
      <c r="O335" s="8">
        <v>2153.0</v>
      </c>
      <c r="P335" s="8">
        <v>2162.0</v>
      </c>
      <c r="Q335" s="9">
        <v>41883.0</v>
      </c>
      <c r="R335" s="8" t="s">
        <v>2075</v>
      </c>
      <c r="S335" s="8"/>
      <c r="T335" s="8"/>
      <c r="U335" s="8"/>
      <c r="V335" s="8"/>
      <c r="W335" s="8" t="s">
        <v>2551</v>
      </c>
      <c r="X335" s="8"/>
      <c r="Y335" s="8"/>
      <c r="Z335" s="8" t="s">
        <v>4900</v>
      </c>
      <c r="AA335" s="8"/>
      <c r="AB335" s="8"/>
      <c r="AC335" s="8"/>
      <c r="AD335" s="8" t="s">
        <v>2080</v>
      </c>
      <c r="AE335" s="8" t="s">
        <v>2080</v>
      </c>
      <c r="AF335" s="8"/>
      <c r="AG335" s="8">
        <v>2.4005332E7</v>
      </c>
      <c r="AH335" s="8" t="s">
        <v>4901</v>
      </c>
      <c r="AI335" s="8" t="s">
        <v>1440</v>
      </c>
      <c r="AJ335" s="8" t="s">
        <v>4902</v>
      </c>
      <c r="AK335" s="8" t="s">
        <v>4903</v>
      </c>
      <c r="AL335" s="8" t="s">
        <v>4904</v>
      </c>
      <c r="AM335" s="8" t="s">
        <v>2688</v>
      </c>
    </row>
    <row r="336" ht="14.25" customHeight="1">
      <c r="A336" s="8">
        <v>196.0</v>
      </c>
      <c r="B336" s="8" t="s">
        <v>1426</v>
      </c>
      <c r="C336" s="8"/>
      <c r="D336" s="8" t="s">
        <v>4905</v>
      </c>
      <c r="E336" s="8" t="s">
        <v>4906</v>
      </c>
      <c r="F336" s="8" t="s">
        <v>4907</v>
      </c>
      <c r="G336" s="8"/>
      <c r="H336" s="7">
        <v>41694.0</v>
      </c>
      <c r="I336" s="7">
        <v>41744.0</v>
      </c>
      <c r="J336" s="8" t="s">
        <v>4908</v>
      </c>
      <c r="K336" s="8" t="s">
        <v>4909</v>
      </c>
      <c r="L336" s="8">
        <v>2014.0</v>
      </c>
      <c r="M336" s="8">
        <v>188.0</v>
      </c>
      <c r="N336" s="8">
        <v>1.0</v>
      </c>
      <c r="O336" s="8">
        <v>110.0</v>
      </c>
      <c r="P336" s="8">
        <v>118.0</v>
      </c>
      <c r="Q336" s="9">
        <v>41760.0</v>
      </c>
      <c r="R336" s="8" t="s">
        <v>2075</v>
      </c>
      <c r="S336" s="8"/>
      <c r="T336" s="8"/>
      <c r="U336" s="8"/>
      <c r="V336" s="8"/>
      <c r="W336" s="8" t="s">
        <v>4910</v>
      </c>
      <c r="X336" s="8"/>
      <c r="Y336" s="8" t="s">
        <v>4911</v>
      </c>
      <c r="Z336" s="8" t="s">
        <v>4912</v>
      </c>
      <c r="AA336" s="8"/>
      <c r="AB336" s="8"/>
      <c r="AC336" s="8"/>
      <c r="AD336" s="8" t="s">
        <v>2080</v>
      </c>
      <c r="AE336" s="8" t="s">
        <v>2080</v>
      </c>
      <c r="AF336" s="8">
        <v>2.014224132E9</v>
      </c>
      <c r="AG336" s="8">
        <v>2.456035E7</v>
      </c>
      <c r="AH336" s="8" t="s">
        <v>4913</v>
      </c>
      <c r="AI336" s="8" t="s">
        <v>1431</v>
      </c>
      <c r="AJ336" s="8" t="s">
        <v>4914</v>
      </c>
      <c r="AK336" s="8" t="s">
        <v>4915</v>
      </c>
      <c r="AL336" s="8" t="s">
        <v>4916</v>
      </c>
      <c r="AM336" s="8" t="s">
        <v>2603</v>
      </c>
    </row>
    <row r="337" ht="14.25" customHeight="1">
      <c r="A337" s="8">
        <v>197.0</v>
      </c>
      <c r="B337" s="8" t="s">
        <v>4917</v>
      </c>
      <c r="C337" s="8"/>
      <c r="D337" s="8" t="s">
        <v>4918</v>
      </c>
      <c r="E337" s="8" t="s">
        <v>4919</v>
      </c>
      <c r="F337" s="8" t="s">
        <v>4920</v>
      </c>
      <c r="G337" s="8"/>
      <c r="H337" s="8"/>
      <c r="I337" s="7">
        <v>41967.0</v>
      </c>
      <c r="J337" s="8" t="s">
        <v>4921</v>
      </c>
      <c r="K337" s="8" t="s">
        <v>2755</v>
      </c>
      <c r="L337" s="8">
        <v>2014.0</v>
      </c>
      <c r="M337" s="8">
        <v>22.0</v>
      </c>
      <c r="N337" s="8">
        <v>1.0</v>
      </c>
      <c r="O337" s="8">
        <v>166.0</v>
      </c>
      <c r="P337" s="8">
        <v>173.0</v>
      </c>
      <c r="Q337" s="10">
        <v>46036.0</v>
      </c>
      <c r="R337" s="8" t="s">
        <v>2075</v>
      </c>
      <c r="S337" s="8"/>
      <c r="T337" s="8"/>
      <c r="U337" s="8"/>
      <c r="V337" s="8"/>
      <c r="W337" s="8" t="s">
        <v>2769</v>
      </c>
      <c r="X337" s="8"/>
      <c r="Y337" s="8"/>
      <c r="Z337" s="8" t="s">
        <v>4922</v>
      </c>
      <c r="AA337" s="8"/>
      <c r="AB337" s="8"/>
      <c r="AC337" s="8"/>
      <c r="AD337" s="8" t="s">
        <v>2080</v>
      </c>
      <c r="AE337" s="8" t="s">
        <v>2080</v>
      </c>
      <c r="AF337" s="8"/>
      <c r="AG337" s="8">
        <v>2.3242378E7</v>
      </c>
      <c r="AH337" s="8" t="s">
        <v>4923</v>
      </c>
      <c r="AI337" s="8" t="s">
        <v>1499</v>
      </c>
      <c r="AJ337" s="8" t="s">
        <v>4924</v>
      </c>
      <c r="AK337" s="8" t="s">
        <v>4925</v>
      </c>
      <c r="AL337" s="8" t="s">
        <v>4926</v>
      </c>
      <c r="AM337" s="8" t="s">
        <v>2715</v>
      </c>
    </row>
    <row r="338" ht="14.25" customHeight="1">
      <c r="A338" s="8">
        <v>198.0</v>
      </c>
      <c r="B338" s="8" t="s">
        <v>4927</v>
      </c>
      <c r="C338" s="8" t="s">
        <v>4928</v>
      </c>
      <c r="D338" s="8" t="s">
        <v>4929</v>
      </c>
      <c r="E338" s="8" t="s">
        <v>4930</v>
      </c>
      <c r="F338" s="8"/>
      <c r="G338" s="8"/>
      <c r="H338" s="7">
        <v>41744.0</v>
      </c>
      <c r="I338" s="7">
        <v>45621.0</v>
      </c>
      <c r="J338" s="8" t="s">
        <v>4931</v>
      </c>
      <c r="K338" s="8" t="s">
        <v>4078</v>
      </c>
      <c r="L338" s="8">
        <v>2014.0</v>
      </c>
      <c r="M338" s="8">
        <v>81.0</v>
      </c>
      <c r="N338" s="8">
        <v>1.0</v>
      </c>
      <c r="O338" s="8">
        <v>40.0</v>
      </c>
      <c r="P338" s="8">
        <v>50.0</v>
      </c>
      <c r="Q338" s="8">
        <v>2014.0</v>
      </c>
      <c r="R338" s="8" t="s">
        <v>2075</v>
      </c>
      <c r="S338" s="8"/>
      <c r="T338" s="8"/>
      <c r="U338" s="8"/>
      <c r="V338" s="8"/>
      <c r="W338" s="8" t="s">
        <v>4079</v>
      </c>
      <c r="X338" s="8"/>
      <c r="Y338" s="8" t="s">
        <v>4080</v>
      </c>
      <c r="Z338" s="8" t="s">
        <v>4932</v>
      </c>
      <c r="AA338" s="8"/>
      <c r="AB338" s="8"/>
      <c r="AC338" s="8"/>
      <c r="AD338" s="8" t="s">
        <v>4933</v>
      </c>
      <c r="AE338" s="8" t="s">
        <v>2080</v>
      </c>
      <c r="AF338" s="8"/>
      <c r="AG338" s="8">
        <v>2.4755056E7</v>
      </c>
      <c r="AH338" s="8" t="s">
        <v>4934</v>
      </c>
      <c r="AI338" s="8" t="s">
        <v>4935</v>
      </c>
      <c r="AJ338" s="8" t="s">
        <v>4936</v>
      </c>
      <c r="AK338" s="8" t="s">
        <v>4937</v>
      </c>
      <c r="AL338" s="8" t="s">
        <v>4938</v>
      </c>
      <c r="AM338" s="8" t="s">
        <v>3660</v>
      </c>
    </row>
    <row r="339" ht="14.25" customHeight="1">
      <c r="A339" s="8">
        <v>199.0</v>
      </c>
      <c r="B339" s="8" t="s">
        <v>4939</v>
      </c>
      <c r="C339" s="8"/>
      <c r="D339" s="8" t="s">
        <v>4940</v>
      </c>
      <c r="E339" s="8" t="s">
        <v>4941</v>
      </c>
      <c r="F339" s="8" t="s">
        <v>4942</v>
      </c>
      <c r="G339" s="8"/>
      <c r="H339" s="7">
        <v>41754.0</v>
      </c>
      <c r="I339" s="7">
        <v>41760.0</v>
      </c>
      <c r="J339" s="8" t="s">
        <v>4943</v>
      </c>
      <c r="K339" s="8" t="s">
        <v>3844</v>
      </c>
      <c r="L339" s="8">
        <v>2014.0</v>
      </c>
      <c r="M339" s="8">
        <v>8.0</v>
      </c>
      <c r="N339" s="8">
        <v>4.0</v>
      </c>
      <c r="O339" s="8"/>
      <c r="P339" s="8"/>
      <c r="Q339" s="10">
        <v>46126.0</v>
      </c>
      <c r="R339" s="8" t="s">
        <v>2075</v>
      </c>
      <c r="S339" s="8"/>
      <c r="T339" s="8"/>
      <c r="U339" s="8"/>
      <c r="V339" s="8"/>
      <c r="W339" s="8" t="s">
        <v>3847</v>
      </c>
      <c r="X339" s="8"/>
      <c r="Y339" s="8" t="s">
        <v>4944</v>
      </c>
      <c r="Z339" s="8" t="s">
        <v>4945</v>
      </c>
      <c r="AA339" s="8"/>
      <c r="AB339" s="8"/>
      <c r="AC339" s="8"/>
      <c r="AD339" s="8" t="s">
        <v>2080</v>
      </c>
      <c r="AE339" s="8" t="s">
        <v>2080</v>
      </c>
      <c r="AF339" s="8">
        <v>2.014262092E9</v>
      </c>
      <c r="AG339" s="8"/>
      <c r="AH339" s="8" t="s">
        <v>4946</v>
      </c>
      <c r="AI339" s="8" t="s">
        <v>4947</v>
      </c>
      <c r="AJ339" s="8" t="s">
        <v>4948</v>
      </c>
      <c r="AK339" s="8" t="s">
        <v>4949</v>
      </c>
      <c r="AL339" s="8" t="s">
        <v>4950</v>
      </c>
      <c r="AM339" s="8" t="s">
        <v>2726</v>
      </c>
    </row>
    <row r="340" ht="14.25" customHeight="1">
      <c r="A340" s="8">
        <v>200.0</v>
      </c>
      <c r="B340" s="8" t="s">
        <v>4951</v>
      </c>
      <c r="C340" s="8"/>
      <c r="D340" s="8" t="s">
        <v>4952</v>
      </c>
      <c r="E340" s="8" t="s">
        <v>4953</v>
      </c>
      <c r="F340" s="8" t="s">
        <v>4954</v>
      </c>
      <c r="G340" s="8"/>
      <c r="H340" s="7">
        <v>41885.0</v>
      </c>
      <c r="I340" s="7">
        <v>41888.0</v>
      </c>
      <c r="J340" s="8" t="s">
        <v>4955</v>
      </c>
      <c r="K340" s="8" t="s">
        <v>4956</v>
      </c>
      <c r="L340" s="8">
        <v>2014.0</v>
      </c>
      <c r="M340" s="8">
        <v>5.0</v>
      </c>
      <c r="N340" s="8">
        <v>3.0</v>
      </c>
      <c r="O340" s="8">
        <v>247.0</v>
      </c>
      <c r="P340" s="8">
        <v>252.0</v>
      </c>
      <c r="Q340" s="10">
        <v>46279.0</v>
      </c>
      <c r="R340" s="8" t="s">
        <v>2075</v>
      </c>
      <c r="S340" s="8"/>
      <c r="T340" s="8"/>
      <c r="U340" s="8"/>
      <c r="V340" s="8"/>
      <c r="W340" s="8" t="s">
        <v>4957</v>
      </c>
      <c r="X340" s="8"/>
      <c r="Y340" s="8" t="s">
        <v>2577</v>
      </c>
      <c r="Z340" s="8" t="s">
        <v>4958</v>
      </c>
      <c r="AA340" s="8"/>
      <c r="AB340" s="8"/>
      <c r="AC340" s="8"/>
      <c r="AD340" s="8" t="s">
        <v>2080</v>
      </c>
      <c r="AE340" s="8" t="s">
        <v>2080</v>
      </c>
      <c r="AF340" s="8">
        <v>2.014561207E9</v>
      </c>
      <c r="AG340" s="8"/>
      <c r="AH340" s="8" t="s">
        <v>4959</v>
      </c>
      <c r="AI340" s="8" t="s">
        <v>4960</v>
      </c>
      <c r="AJ340" s="8" t="s">
        <v>4961</v>
      </c>
      <c r="AK340" s="8" t="s">
        <v>4962</v>
      </c>
      <c r="AL340" s="8" t="s">
        <v>4963</v>
      </c>
      <c r="AM340" s="8" t="s">
        <v>2726</v>
      </c>
    </row>
    <row r="341" ht="14.25" customHeight="1">
      <c r="A341" s="8">
        <v>201.0</v>
      </c>
      <c r="B341" s="8" t="s">
        <v>2706</v>
      </c>
      <c r="C341" s="8"/>
      <c r="D341" s="8" t="s">
        <v>2707</v>
      </c>
      <c r="E341" s="8" t="s">
        <v>2708</v>
      </c>
      <c r="F341" s="8" t="s">
        <v>2709</v>
      </c>
      <c r="G341" s="8"/>
      <c r="H341" s="8"/>
      <c r="I341" s="7">
        <v>41950.0</v>
      </c>
      <c r="J341" s="8" t="s">
        <v>2710</v>
      </c>
      <c r="K341" s="8" t="s">
        <v>2128</v>
      </c>
      <c r="L341" s="8">
        <v>2014.0</v>
      </c>
      <c r="M341" s="8">
        <v>42.0</v>
      </c>
      <c r="N341" s="8">
        <v>5.0</v>
      </c>
      <c r="O341" s="8">
        <v>1049.0</v>
      </c>
      <c r="P341" s="8">
        <v>1057.0</v>
      </c>
      <c r="Q341" s="10">
        <v>46156.0</v>
      </c>
      <c r="R341" s="8" t="s">
        <v>2075</v>
      </c>
      <c r="S341" s="8"/>
      <c r="T341" s="8"/>
      <c r="U341" s="8"/>
      <c r="V341" s="8"/>
      <c r="W341" s="8" t="s">
        <v>2129</v>
      </c>
      <c r="X341" s="8"/>
      <c r="Y341" s="8"/>
      <c r="Z341" s="8" t="s">
        <v>2711</v>
      </c>
      <c r="AA341" s="8"/>
      <c r="AB341" s="8"/>
      <c r="AC341" s="8"/>
      <c r="AD341" s="8" t="s">
        <v>2080</v>
      </c>
      <c r="AE341" s="8"/>
      <c r="AF341" s="8"/>
      <c r="AG341" s="8">
        <v>2.4644301E7</v>
      </c>
      <c r="AH341" s="8" t="s">
        <v>2712</v>
      </c>
      <c r="AI341" s="8"/>
      <c r="AJ341" s="8"/>
      <c r="AK341" s="8" t="s">
        <v>2713</v>
      </c>
      <c r="AL341" s="8" t="s">
        <v>2714</v>
      </c>
      <c r="AM341" s="8" t="s">
        <v>2715</v>
      </c>
    </row>
    <row r="342" ht="14.25" customHeight="1">
      <c r="A342" s="8">
        <v>202.0</v>
      </c>
      <c r="B342" s="8" t="s">
        <v>4964</v>
      </c>
      <c r="C342" s="8"/>
      <c r="D342" s="8" t="s">
        <v>4965</v>
      </c>
      <c r="E342" s="8" t="s">
        <v>4966</v>
      </c>
      <c r="F342" s="8" t="s">
        <v>4967</v>
      </c>
      <c r="G342" s="8"/>
      <c r="H342" s="7">
        <v>41701.0</v>
      </c>
      <c r="I342" s="7">
        <v>41744.0</v>
      </c>
      <c r="J342" s="8" t="s">
        <v>4968</v>
      </c>
      <c r="K342" s="8" t="s">
        <v>2241</v>
      </c>
      <c r="L342" s="8">
        <v>2014.0</v>
      </c>
      <c r="M342" s="8">
        <v>30.0</v>
      </c>
      <c r="N342" s="8">
        <v>4.0</v>
      </c>
      <c r="O342" s="8">
        <v>468.0</v>
      </c>
      <c r="P342" s="8">
        <v>474.0</v>
      </c>
      <c r="Q342" s="10">
        <v>46126.0</v>
      </c>
      <c r="R342" s="8" t="s">
        <v>2075</v>
      </c>
      <c r="S342" s="8"/>
      <c r="T342" s="8"/>
      <c r="U342" s="8"/>
      <c r="V342" s="8"/>
      <c r="W342" s="8" t="s">
        <v>2242</v>
      </c>
      <c r="X342" s="8"/>
      <c r="Y342" s="8" t="s">
        <v>2243</v>
      </c>
      <c r="Z342" s="8" t="s">
        <v>4969</v>
      </c>
      <c r="AA342" s="8"/>
      <c r="AB342" s="8"/>
      <c r="AC342" s="8"/>
      <c r="AD342" s="8" t="s">
        <v>2080</v>
      </c>
      <c r="AE342" s="8" t="s">
        <v>2080</v>
      </c>
      <c r="AF342" s="8">
        <v>2.014224012E9</v>
      </c>
      <c r="AG342" s="8">
        <v>2.4582053E7</v>
      </c>
      <c r="AH342" s="8" t="s">
        <v>4970</v>
      </c>
      <c r="AI342" s="8" t="s">
        <v>1425</v>
      </c>
      <c r="AJ342" s="8" t="s">
        <v>4971</v>
      </c>
      <c r="AK342" s="8" t="s">
        <v>4972</v>
      </c>
      <c r="AL342" s="8" t="s">
        <v>4973</v>
      </c>
      <c r="AM342" s="8" t="s">
        <v>2603</v>
      </c>
    </row>
    <row r="343" ht="14.25" customHeight="1">
      <c r="A343" s="8">
        <v>203.0</v>
      </c>
      <c r="B343" s="8" t="s">
        <v>1412</v>
      </c>
      <c r="C343" s="8"/>
      <c r="D343" s="8" t="s">
        <v>4974</v>
      </c>
      <c r="E343" s="8" t="s">
        <v>4975</v>
      </c>
      <c r="F343" s="8"/>
      <c r="G343" s="8"/>
      <c r="H343" s="8"/>
      <c r="I343" s="7">
        <v>42220.0</v>
      </c>
      <c r="J343" s="8" t="s">
        <v>4976</v>
      </c>
      <c r="K343" s="8" t="s">
        <v>4707</v>
      </c>
      <c r="L343" s="8">
        <v>2014.0</v>
      </c>
      <c r="M343" s="8">
        <v>48.0</v>
      </c>
      <c r="N343" s="8">
        <v>3.0</v>
      </c>
      <c r="O343" s="8">
        <v>283.0</v>
      </c>
      <c r="P343" s="8">
        <v>289.0</v>
      </c>
      <c r="Q343" s="8">
        <v>2014.0</v>
      </c>
      <c r="R343" s="8" t="s">
        <v>2075</v>
      </c>
      <c r="S343" s="8"/>
      <c r="T343" s="8"/>
      <c r="U343" s="8"/>
      <c r="V343" s="8"/>
      <c r="W343" s="8" t="s">
        <v>4708</v>
      </c>
      <c r="X343" s="8"/>
      <c r="Y343" s="8"/>
      <c r="Z343" s="8" t="s">
        <v>4977</v>
      </c>
      <c r="AA343" s="8"/>
      <c r="AB343" s="8"/>
      <c r="AC343" s="8"/>
      <c r="AD343" s="8" t="s">
        <v>2080</v>
      </c>
      <c r="AE343" s="8" t="s">
        <v>2080</v>
      </c>
      <c r="AF343" s="8"/>
      <c r="AG343" s="8">
        <v>2.4901918E7</v>
      </c>
      <c r="AH343" s="8" t="s">
        <v>4978</v>
      </c>
      <c r="AI343" s="8" t="s">
        <v>1416</v>
      </c>
      <c r="AJ343" s="8" t="s">
        <v>4979</v>
      </c>
      <c r="AK343" s="8" t="s">
        <v>4980</v>
      </c>
      <c r="AL343" s="8" t="s">
        <v>4981</v>
      </c>
      <c r="AM343" s="8" t="s">
        <v>2688</v>
      </c>
    </row>
    <row r="344" ht="14.25" customHeight="1">
      <c r="A344" s="8">
        <v>204.0</v>
      </c>
      <c r="B344" s="8" t="s">
        <v>4982</v>
      </c>
      <c r="C344" s="8"/>
      <c r="D344" s="8" t="s">
        <v>4983</v>
      </c>
      <c r="E344" s="8" t="s">
        <v>4984</v>
      </c>
      <c r="F344" s="8"/>
      <c r="G344" s="8"/>
      <c r="H344" s="7">
        <v>42615.0</v>
      </c>
      <c r="I344" s="7">
        <v>42621.0</v>
      </c>
      <c r="J344" s="8" t="s">
        <v>4985</v>
      </c>
      <c r="K344" s="8" t="s">
        <v>2101</v>
      </c>
      <c r="L344" s="8">
        <v>2014.0</v>
      </c>
      <c r="M344" s="8">
        <v>2.0</v>
      </c>
      <c r="N344" s="8">
        <v>11.0</v>
      </c>
      <c r="O344" s="8"/>
      <c r="P344" s="8"/>
      <c r="Q344" s="8">
        <v>2014.0</v>
      </c>
      <c r="R344" s="8" t="s">
        <v>2075</v>
      </c>
      <c r="S344" s="8"/>
      <c r="T344" s="8"/>
      <c r="U344" s="8"/>
      <c r="V344" s="8"/>
      <c r="W344" s="8" t="s">
        <v>2102</v>
      </c>
      <c r="X344" s="8"/>
      <c r="Y344" s="8" t="s">
        <v>2497</v>
      </c>
      <c r="Z344" s="8" t="s">
        <v>4986</v>
      </c>
      <c r="AA344" s="8"/>
      <c r="AB344" s="8"/>
      <c r="AC344" s="8"/>
      <c r="AD344" s="8" t="s">
        <v>2080</v>
      </c>
      <c r="AE344" s="8" t="s">
        <v>2080</v>
      </c>
      <c r="AF344" s="8">
        <v>2.0160626932E10</v>
      </c>
      <c r="AG344" s="8"/>
      <c r="AH344" s="8" t="s">
        <v>4987</v>
      </c>
      <c r="AI344" s="8" t="s">
        <v>4988</v>
      </c>
      <c r="AJ344" s="8" t="s">
        <v>4989</v>
      </c>
      <c r="AK344" s="8" t="s">
        <v>4990</v>
      </c>
      <c r="AL344" s="8" t="s">
        <v>4991</v>
      </c>
      <c r="AM344" s="8" t="s">
        <v>2603</v>
      </c>
    </row>
    <row r="345" ht="14.25" customHeight="1">
      <c r="A345" s="8">
        <v>205.0</v>
      </c>
      <c r="B345" s="8" t="s">
        <v>4992</v>
      </c>
      <c r="C345" s="8"/>
      <c r="D345" s="8" t="s">
        <v>4993</v>
      </c>
      <c r="E345" s="8" t="s">
        <v>4994</v>
      </c>
      <c r="F345" s="8" t="s">
        <v>4995</v>
      </c>
      <c r="G345" s="8"/>
      <c r="H345" s="8"/>
      <c r="I345" s="7">
        <v>41730.0</v>
      </c>
      <c r="J345" s="8" t="s">
        <v>4996</v>
      </c>
      <c r="K345" s="8" t="s">
        <v>3457</v>
      </c>
      <c r="L345" s="8">
        <v>2013.0</v>
      </c>
      <c r="M345" s="8">
        <v>22.0</v>
      </c>
      <c r="N345" s="8">
        <v>3.0</v>
      </c>
      <c r="O345" s="8">
        <v>191.0</v>
      </c>
      <c r="P345" s="8">
        <v>201.0</v>
      </c>
      <c r="Q345" s="10">
        <v>46247.0</v>
      </c>
      <c r="R345" s="8" t="s">
        <v>2075</v>
      </c>
      <c r="S345" s="8"/>
      <c r="T345" s="8"/>
      <c r="U345" s="8"/>
      <c r="V345" s="8"/>
      <c r="W345" s="8" t="s">
        <v>4997</v>
      </c>
      <c r="X345" s="8"/>
      <c r="Y345" s="8" t="s">
        <v>4998</v>
      </c>
      <c r="Z345" s="8" t="s">
        <v>4999</v>
      </c>
      <c r="AA345" s="8"/>
      <c r="AB345" s="8"/>
      <c r="AC345" s="8"/>
      <c r="AD345" s="8" t="s">
        <v>2080</v>
      </c>
      <c r="AE345" s="8" t="s">
        <v>2080</v>
      </c>
      <c r="AF345" s="8"/>
      <c r="AG345" s="8">
        <v>2.3579334E7</v>
      </c>
      <c r="AH345" s="8" t="s">
        <v>5000</v>
      </c>
      <c r="AI345" s="8" t="s">
        <v>1464</v>
      </c>
      <c r="AJ345" s="8" t="s">
        <v>5001</v>
      </c>
      <c r="AK345" s="8" t="s">
        <v>5002</v>
      </c>
      <c r="AL345" s="8" t="s">
        <v>5003</v>
      </c>
      <c r="AM345" s="8" t="s">
        <v>2763</v>
      </c>
    </row>
    <row r="346" ht="14.25" customHeight="1">
      <c r="A346" s="8">
        <v>206.0</v>
      </c>
      <c r="B346" s="8" t="s">
        <v>393</v>
      </c>
      <c r="C346" s="8"/>
      <c r="D346" s="8" t="s">
        <v>2751</v>
      </c>
      <c r="E346" s="8" t="s">
        <v>2752</v>
      </c>
      <c r="F346" s="8" t="s">
        <v>2753</v>
      </c>
      <c r="G346" s="8"/>
      <c r="H346" s="8"/>
      <c r="I346" s="7">
        <v>41451.0</v>
      </c>
      <c r="J346" s="8" t="s">
        <v>2754</v>
      </c>
      <c r="K346" s="8" t="s">
        <v>2755</v>
      </c>
      <c r="L346" s="8">
        <v>2013.0</v>
      </c>
      <c r="M346" s="8">
        <v>21.0</v>
      </c>
      <c r="N346" s="8">
        <v>3.0</v>
      </c>
      <c r="O346" s="8">
        <v>576.0</v>
      </c>
      <c r="P346" s="8">
        <v>583.0</v>
      </c>
      <c r="Q346" s="8">
        <v>2013.0</v>
      </c>
      <c r="R346" s="8" t="s">
        <v>2075</v>
      </c>
      <c r="S346" s="8"/>
      <c r="T346" s="8"/>
      <c r="U346" s="8"/>
      <c r="V346" s="8"/>
      <c r="W346" s="8" t="s">
        <v>2756</v>
      </c>
      <c r="X346" s="8"/>
      <c r="Y346" s="8" t="s">
        <v>2757</v>
      </c>
      <c r="Z346" s="8" t="s">
        <v>2758</v>
      </c>
      <c r="AA346" s="8"/>
      <c r="AB346" s="8"/>
      <c r="AC346" s="8"/>
      <c r="AD346" s="8" t="s">
        <v>2080</v>
      </c>
      <c r="AE346" s="8" t="s">
        <v>2080</v>
      </c>
      <c r="AF346" s="8"/>
      <c r="AG346" s="8">
        <v>2.2407182E7</v>
      </c>
      <c r="AH346" s="8" t="s">
        <v>2759</v>
      </c>
      <c r="AI346" s="8" t="s">
        <v>397</v>
      </c>
      <c r="AJ346" s="8" t="s">
        <v>2760</v>
      </c>
      <c r="AK346" s="8" t="s">
        <v>2761</v>
      </c>
      <c r="AL346" s="8" t="s">
        <v>2762</v>
      </c>
      <c r="AM346" s="8" t="s">
        <v>2763</v>
      </c>
    </row>
    <row r="347" ht="14.25" customHeight="1">
      <c r="A347" s="8">
        <v>207.0</v>
      </c>
      <c r="B347" s="8" t="s">
        <v>5004</v>
      </c>
      <c r="C347" s="8"/>
      <c r="D347" s="8" t="s">
        <v>5005</v>
      </c>
      <c r="E347" s="8" t="s">
        <v>5006</v>
      </c>
      <c r="F347" s="8" t="s">
        <v>5007</v>
      </c>
      <c r="G347" s="8"/>
      <c r="H347" s="8"/>
      <c r="I347" s="7">
        <v>41656.0</v>
      </c>
      <c r="J347" s="8" t="s">
        <v>5008</v>
      </c>
      <c r="K347" s="8" t="s">
        <v>2128</v>
      </c>
      <c r="L347" s="8">
        <v>2013.0</v>
      </c>
      <c r="M347" s="8">
        <v>41.0</v>
      </c>
      <c r="N347" s="8">
        <v>4.0</v>
      </c>
      <c r="O347" s="8">
        <v>788.0</v>
      </c>
      <c r="P347" s="8">
        <v>794.0</v>
      </c>
      <c r="Q347" s="10">
        <v>46125.0</v>
      </c>
      <c r="R347" s="8" t="s">
        <v>2075</v>
      </c>
      <c r="S347" s="8"/>
      <c r="T347" s="8"/>
      <c r="U347" s="8"/>
      <c r="V347" s="8"/>
      <c r="W347" s="8" t="s">
        <v>2129</v>
      </c>
      <c r="X347" s="8"/>
      <c r="Y347" s="8"/>
      <c r="Z347" s="8" t="s">
        <v>5009</v>
      </c>
      <c r="AA347" s="8"/>
      <c r="AB347" s="8"/>
      <c r="AC347" s="8"/>
      <c r="AD347" s="8" t="s">
        <v>2080</v>
      </c>
      <c r="AE347" s="8"/>
      <c r="AF347" s="8"/>
      <c r="AG347" s="8">
        <v>2.3423316E7</v>
      </c>
      <c r="AH347" s="8" t="s">
        <v>5010</v>
      </c>
      <c r="AI347" s="8"/>
      <c r="AJ347" s="8"/>
      <c r="AK347" s="8" t="s">
        <v>5011</v>
      </c>
      <c r="AL347" s="8" t="s">
        <v>5012</v>
      </c>
      <c r="AM347" s="8" t="s">
        <v>2763</v>
      </c>
    </row>
    <row r="348" ht="14.25" customHeight="1">
      <c r="A348" s="8">
        <v>208.0</v>
      </c>
      <c r="B348" s="8" t="s">
        <v>5013</v>
      </c>
      <c r="C348" s="8"/>
      <c r="D348" s="8" t="s">
        <v>5014</v>
      </c>
      <c r="E348" s="8" t="s">
        <v>5015</v>
      </c>
      <c r="F348" s="8" t="s">
        <v>5016</v>
      </c>
      <c r="G348" s="8"/>
      <c r="H348" s="8"/>
      <c r="I348" s="7">
        <v>41656.0</v>
      </c>
      <c r="J348" s="8" t="s">
        <v>5017</v>
      </c>
      <c r="K348" s="8" t="s">
        <v>2128</v>
      </c>
      <c r="L348" s="8">
        <v>2013.0</v>
      </c>
      <c r="M348" s="8">
        <v>41.0</v>
      </c>
      <c r="N348" s="8">
        <v>4.0</v>
      </c>
      <c r="O348" s="8">
        <v>804.0</v>
      </c>
      <c r="P348" s="8">
        <v>814.0</v>
      </c>
      <c r="Q348" s="10">
        <v>46125.0</v>
      </c>
      <c r="R348" s="8" t="s">
        <v>2075</v>
      </c>
      <c r="S348" s="8"/>
      <c r="T348" s="8"/>
      <c r="U348" s="8"/>
      <c r="V348" s="8"/>
      <c r="W348" s="8" t="s">
        <v>2129</v>
      </c>
      <c r="X348" s="8"/>
      <c r="Y348" s="8"/>
      <c r="Z348" s="8" t="s">
        <v>5018</v>
      </c>
      <c r="AA348" s="8"/>
      <c r="AB348" s="8"/>
      <c r="AC348" s="8"/>
      <c r="AD348" s="8" t="s">
        <v>2080</v>
      </c>
      <c r="AE348" s="8"/>
      <c r="AF348" s="8"/>
      <c r="AG348" s="8">
        <v>2.3460328E7</v>
      </c>
      <c r="AH348" s="8" t="s">
        <v>5019</v>
      </c>
      <c r="AI348" s="8"/>
      <c r="AJ348" s="8"/>
      <c r="AK348" s="8" t="s">
        <v>5020</v>
      </c>
      <c r="AL348" s="8" t="s">
        <v>5021</v>
      </c>
      <c r="AM348" s="8" t="s">
        <v>2763</v>
      </c>
    </row>
    <row r="349" ht="14.25" customHeight="1">
      <c r="A349" s="8">
        <v>209.0</v>
      </c>
      <c r="B349" s="8" t="s">
        <v>1470</v>
      </c>
      <c r="C349" s="8"/>
      <c r="D349" s="8" t="s">
        <v>5022</v>
      </c>
      <c r="E349" s="8" t="s">
        <v>5023</v>
      </c>
      <c r="F349" s="8"/>
      <c r="G349" s="8"/>
      <c r="H349" s="8"/>
      <c r="I349" s="7">
        <v>42452.0</v>
      </c>
      <c r="J349" s="8" t="s">
        <v>5024</v>
      </c>
      <c r="K349" s="8" t="s">
        <v>2128</v>
      </c>
      <c r="L349" s="8">
        <v>2013.0</v>
      </c>
      <c r="M349" s="8">
        <v>41.0</v>
      </c>
      <c r="N349" s="8">
        <v>4.0</v>
      </c>
      <c r="O349" s="8">
        <v>788.0</v>
      </c>
      <c r="P349" s="8">
        <v>794.0</v>
      </c>
      <c r="Q349" s="9">
        <v>41365.0</v>
      </c>
      <c r="R349" s="8" t="s">
        <v>2075</v>
      </c>
      <c r="S349" s="8"/>
      <c r="T349" s="8"/>
      <c r="U349" s="8"/>
      <c r="V349" s="8"/>
      <c r="W349" s="8" t="s">
        <v>2129</v>
      </c>
      <c r="X349" s="8"/>
      <c r="Y349" s="8"/>
      <c r="Z349" s="8" t="s">
        <v>5025</v>
      </c>
      <c r="AA349" s="8"/>
      <c r="AB349" s="8"/>
      <c r="AC349" s="8"/>
      <c r="AD349" s="8" t="s">
        <v>2080</v>
      </c>
      <c r="AE349" s="8" t="s">
        <v>2080</v>
      </c>
      <c r="AF349" s="8"/>
      <c r="AG349" s="8">
        <v>2.3423316E7</v>
      </c>
      <c r="AH349" s="8" t="s">
        <v>5026</v>
      </c>
      <c r="AI349" s="8" t="s">
        <v>1474</v>
      </c>
      <c r="AJ349" s="8" t="s">
        <v>5027</v>
      </c>
      <c r="AK349" s="8" t="s">
        <v>5028</v>
      </c>
      <c r="AL349" s="8" t="s">
        <v>5029</v>
      </c>
      <c r="AM349" s="8" t="s">
        <v>2660</v>
      </c>
    </row>
    <row r="350" ht="14.25" customHeight="1">
      <c r="A350" s="8">
        <v>210.0</v>
      </c>
      <c r="B350" s="8" t="s">
        <v>1465</v>
      </c>
      <c r="C350" s="8"/>
      <c r="D350" s="8" t="s">
        <v>5014</v>
      </c>
      <c r="E350" s="8" t="s">
        <v>5030</v>
      </c>
      <c r="F350" s="8"/>
      <c r="G350" s="8"/>
      <c r="H350" s="8"/>
      <c r="I350" s="7">
        <v>42452.0</v>
      </c>
      <c r="J350" s="8" t="s">
        <v>5031</v>
      </c>
      <c r="K350" s="8" t="s">
        <v>2128</v>
      </c>
      <c r="L350" s="8">
        <v>2013.0</v>
      </c>
      <c r="M350" s="8">
        <v>41.0</v>
      </c>
      <c r="N350" s="8">
        <v>4.0</v>
      </c>
      <c r="O350" s="8">
        <v>804.0</v>
      </c>
      <c r="P350" s="8">
        <v>814.0</v>
      </c>
      <c r="Q350" s="9">
        <v>41365.0</v>
      </c>
      <c r="R350" s="8" t="s">
        <v>2075</v>
      </c>
      <c r="S350" s="8"/>
      <c r="T350" s="8"/>
      <c r="U350" s="8"/>
      <c r="V350" s="8"/>
      <c r="W350" s="8" t="s">
        <v>2129</v>
      </c>
      <c r="X350" s="8"/>
      <c r="Y350" s="8"/>
      <c r="Z350" s="8" t="s">
        <v>5032</v>
      </c>
      <c r="AA350" s="8"/>
      <c r="AB350" s="8"/>
      <c r="AC350" s="8"/>
      <c r="AD350" s="8" t="s">
        <v>2080</v>
      </c>
      <c r="AE350" s="8" t="s">
        <v>2080</v>
      </c>
      <c r="AF350" s="8"/>
      <c r="AG350" s="8">
        <v>2.3460328E7</v>
      </c>
      <c r="AH350" s="8" t="s">
        <v>5033</v>
      </c>
      <c r="AI350" s="8" t="s">
        <v>1469</v>
      </c>
      <c r="AJ350" s="8" t="s">
        <v>5034</v>
      </c>
      <c r="AK350" s="8" t="s">
        <v>5035</v>
      </c>
      <c r="AL350" s="8" t="s">
        <v>5036</v>
      </c>
      <c r="AM350" s="8" t="s">
        <v>2660</v>
      </c>
    </row>
    <row r="351" ht="14.25" customHeight="1">
      <c r="A351" s="8">
        <v>211.0</v>
      </c>
      <c r="B351" s="8" t="s">
        <v>1481</v>
      </c>
      <c r="C351" s="8"/>
      <c r="D351" s="8" t="s">
        <v>5037</v>
      </c>
      <c r="E351" s="8" t="s">
        <v>5038</v>
      </c>
      <c r="F351" s="8" t="s">
        <v>5039</v>
      </c>
      <c r="G351" s="8"/>
      <c r="H351" s="7">
        <v>41284.0</v>
      </c>
      <c r="I351" s="7">
        <v>41292.0</v>
      </c>
      <c r="J351" s="8" t="s">
        <v>5040</v>
      </c>
      <c r="K351" s="8" t="s">
        <v>2241</v>
      </c>
      <c r="L351" s="8">
        <v>2013.0</v>
      </c>
      <c r="M351" s="8">
        <v>29.0</v>
      </c>
      <c r="N351" s="8">
        <v>1.0</v>
      </c>
      <c r="O351" s="8">
        <v>83.0</v>
      </c>
      <c r="P351" s="8">
        <v>88.0</v>
      </c>
      <c r="Q351" s="10">
        <v>46035.0</v>
      </c>
      <c r="R351" s="8" t="s">
        <v>2075</v>
      </c>
      <c r="S351" s="8"/>
      <c r="T351" s="8"/>
      <c r="U351" s="8"/>
      <c r="V351" s="8"/>
      <c r="W351" s="8" t="s">
        <v>5041</v>
      </c>
      <c r="X351" s="8"/>
      <c r="Y351" s="8" t="s">
        <v>2822</v>
      </c>
      <c r="Z351" s="8" t="s">
        <v>5042</v>
      </c>
      <c r="AA351" s="8"/>
      <c r="AB351" s="8"/>
      <c r="AC351" s="8"/>
      <c r="AD351" s="8" t="s">
        <v>2080</v>
      </c>
      <c r="AE351" s="8" t="s">
        <v>2080</v>
      </c>
      <c r="AF351" s="8">
        <v>2.013013798E9</v>
      </c>
      <c r="AG351" s="8">
        <v>2.3276416E7</v>
      </c>
      <c r="AH351" s="8" t="s">
        <v>5043</v>
      </c>
      <c r="AI351" s="8" t="s">
        <v>1485</v>
      </c>
      <c r="AJ351" s="8" t="s">
        <v>5044</v>
      </c>
      <c r="AK351" s="8" t="s">
        <v>5045</v>
      </c>
      <c r="AL351" s="8" t="s">
        <v>5046</v>
      </c>
      <c r="AM351" s="8" t="s">
        <v>2796</v>
      </c>
    </row>
    <row r="352" ht="14.25" customHeight="1">
      <c r="A352" s="8">
        <v>212.0</v>
      </c>
      <c r="B352" s="8" t="s">
        <v>5047</v>
      </c>
      <c r="C352" s="8"/>
      <c r="D352" s="8" t="s">
        <v>5048</v>
      </c>
      <c r="E352" s="8" t="s">
        <v>5049</v>
      </c>
      <c r="F352" s="8" t="s">
        <v>5050</v>
      </c>
      <c r="G352" s="8"/>
      <c r="H352" s="7">
        <v>41284.0</v>
      </c>
      <c r="I352" s="7">
        <v>41292.0</v>
      </c>
      <c r="J352" s="8" t="s">
        <v>5051</v>
      </c>
      <c r="K352" s="8" t="s">
        <v>2241</v>
      </c>
      <c r="L352" s="8">
        <v>2013.0</v>
      </c>
      <c r="M352" s="8">
        <v>29.0</v>
      </c>
      <c r="N352" s="8">
        <v>1.0</v>
      </c>
      <c r="O352" s="8">
        <v>74.0</v>
      </c>
      <c r="P352" s="8">
        <v>82.0</v>
      </c>
      <c r="Q352" s="10">
        <v>46035.0</v>
      </c>
      <c r="R352" s="8" t="s">
        <v>2075</v>
      </c>
      <c r="S352" s="8"/>
      <c r="T352" s="8"/>
      <c r="U352" s="8"/>
      <c r="V352" s="8"/>
      <c r="W352" s="8" t="s">
        <v>5041</v>
      </c>
      <c r="X352" s="8"/>
      <c r="Y352" s="8" t="s">
        <v>2822</v>
      </c>
      <c r="Z352" s="8" t="s">
        <v>5052</v>
      </c>
      <c r="AA352" s="8"/>
      <c r="AB352" s="8"/>
      <c r="AC352" s="8"/>
      <c r="AD352" s="8" t="s">
        <v>2080</v>
      </c>
      <c r="AE352" s="8" t="s">
        <v>2080</v>
      </c>
      <c r="AF352" s="8">
        <v>2.013013809E9</v>
      </c>
      <c r="AG352" s="8">
        <v>2.3276415E7</v>
      </c>
      <c r="AH352" s="8" t="s">
        <v>5053</v>
      </c>
      <c r="AI352" s="8" t="s">
        <v>1490</v>
      </c>
      <c r="AJ352" s="8" t="s">
        <v>5054</v>
      </c>
      <c r="AK352" s="8" t="s">
        <v>5055</v>
      </c>
      <c r="AL352" s="8" t="s">
        <v>5056</v>
      </c>
      <c r="AM352" s="8" t="s">
        <v>2796</v>
      </c>
    </row>
    <row r="353" ht="14.25" customHeight="1">
      <c r="A353" s="8">
        <v>213.0</v>
      </c>
      <c r="B353" s="8" t="s">
        <v>5057</v>
      </c>
      <c r="C353" s="8"/>
      <c r="D353" s="8" t="s">
        <v>5058</v>
      </c>
      <c r="E353" s="8" t="s">
        <v>5059</v>
      </c>
      <c r="F353" s="8" t="s">
        <v>5060</v>
      </c>
      <c r="G353" s="8"/>
      <c r="H353" s="7">
        <v>41332.0</v>
      </c>
      <c r="I353" s="7">
        <v>41341.0</v>
      </c>
      <c r="J353" s="8" t="s">
        <v>5061</v>
      </c>
      <c r="K353" s="8" t="s">
        <v>3201</v>
      </c>
      <c r="L353" s="8">
        <v>2013.0</v>
      </c>
      <c r="M353" s="8" t="s">
        <v>5062</v>
      </c>
      <c r="N353" s="8">
        <v>1.0</v>
      </c>
      <c r="O353" s="8">
        <v>65.0</v>
      </c>
      <c r="P353" s="8">
        <v>69.0</v>
      </c>
      <c r="Q353" s="10">
        <v>46035.0</v>
      </c>
      <c r="R353" s="8" t="s">
        <v>2075</v>
      </c>
      <c r="S353" s="8"/>
      <c r="T353" s="8"/>
      <c r="U353" s="8"/>
      <c r="V353" s="8"/>
      <c r="W353" s="8" t="s">
        <v>3202</v>
      </c>
      <c r="X353" s="8"/>
      <c r="Y353" s="8" t="s">
        <v>3203</v>
      </c>
      <c r="Z353" s="8" t="s">
        <v>5063</v>
      </c>
      <c r="AA353" s="8"/>
      <c r="AB353" s="8"/>
      <c r="AC353" s="8"/>
      <c r="AD353" s="8" t="s">
        <v>2080</v>
      </c>
      <c r="AE353" s="8" t="s">
        <v>2080</v>
      </c>
      <c r="AF353" s="8">
        <v>2.013119923E9</v>
      </c>
      <c r="AG353" s="8">
        <v>2.3307675E7</v>
      </c>
      <c r="AH353" s="8" t="s">
        <v>5064</v>
      </c>
      <c r="AI353" s="8" t="s">
        <v>1480</v>
      </c>
      <c r="AJ353" s="8" t="s">
        <v>5065</v>
      </c>
      <c r="AK353" s="8" t="s">
        <v>5066</v>
      </c>
      <c r="AL353" s="8" t="s">
        <v>5067</v>
      </c>
      <c r="AM353" s="8" t="s">
        <v>2796</v>
      </c>
    </row>
    <row r="354" ht="14.25" customHeight="1">
      <c r="A354" s="8">
        <v>214.0</v>
      </c>
      <c r="B354" s="8" t="s">
        <v>5068</v>
      </c>
      <c r="C354" s="8"/>
      <c r="D354" s="8" t="s">
        <v>5069</v>
      </c>
      <c r="E354" s="8" t="s">
        <v>5070</v>
      </c>
      <c r="F354" s="8" t="s">
        <v>5071</v>
      </c>
      <c r="G354" s="8"/>
      <c r="H354" s="8"/>
      <c r="I354" s="7">
        <v>42053.0</v>
      </c>
      <c r="J354" s="8" t="s">
        <v>5072</v>
      </c>
      <c r="K354" s="8" t="s">
        <v>2128</v>
      </c>
      <c r="L354" s="8">
        <v>2013.0</v>
      </c>
      <c r="M354" s="8">
        <v>41.0</v>
      </c>
      <c r="N354" s="8">
        <v>11.0</v>
      </c>
      <c r="O354" s="8">
        <v>2484.0</v>
      </c>
      <c r="P354" s="8">
        <v>2491.0</v>
      </c>
      <c r="Q354" s="10">
        <v>46339.0</v>
      </c>
      <c r="R354" s="8" t="s">
        <v>2075</v>
      </c>
      <c r="S354" s="8"/>
      <c r="T354" s="8"/>
      <c r="U354" s="8"/>
      <c r="V354" s="8"/>
      <c r="W354" s="8" t="s">
        <v>2129</v>
      </c>
      <c r="X354" s="8"/>
      <c r="Y354" s="8"/>
      <c r="Z354" s="8" t="s">
        <v>5073</v>
      </c>
      <c r="AA354" s="8"/>
      <c r="AB354" s="8"/>
      <c r="AC354" s="8"/>
      <c r="AD354" s="8" t="s">
        <v>2080</v>
      </c>
      <c r="AE354" s="8"/>
      <c r="AF354" s="8"/>
      <c r="AG354" s="8">
        <v>2.3921339E7</v>
      </c>
      <c r="AH354" s="8" t="s">
        <v>5074</v>
      </c>
      <c r="AI354" s="8"/>
      <c r="AJ354" s="8"/>
      <c r="AK354" s="8" t="s">
        <v>5075</v>
      </c>
      <c r="AL354" s="8" t="s">
        <v>5076</v>
      </c>
      <c r="AM354" s="8" t="s">
        <v>2688</v>
      </c>
    </row>
    <row r="355" ht="14.25" customHeight="1">
      <c r="A355" s="8">
        <v>215.0</v>
      </c>
      <c r="B355" s="8" t="s">
        <v>2775</v>
      </c>
      <c r="C355" s="8"/>
      <c r="D355" s="8" t="s">
        <v>2776</v>
      </c>
      <c r="E355" s="8" t="s">
        <v>2777</v>
      </c>
      <c r="F355" s="8" t="s">
        <v>2778</v>
      </c>
      <c r="G355" s="8"/>
      <c r="H355" s="8"/>
      <c r="I355" s="7">
        <v>42053.0</v>
      </c>
      <c r="J355" s="8" t="s">
        <v>2779</v>
      </c>
      <c r="K355" s="8" t="s">
        <v>2128</v>
      </c>
      <c r="L355" s="8">
        <v>2013.0</v>
      </c>
      <c r="M355" s="8">
        <v>41.0</v>
      </c>
      <c r="N355" s="8">
        <v>11.0</v>
      </c>
      <c r="O355" s="8">
        <v>2492.0</v>
      </c>
      <c r="P355" s="8">
        <v>2499.0</v>
      </c>
      <c r="Q355" s="10">
        <v>46339.0</v>
      </c>
      <c r="R355" s="8" t="s">
        <v>2075</v>
      </c>
      <c r="S355" s="8"/>
      <c r="T355" s="8"/>
      <c r="U355" s="8"/>
      <c r="V355" s="8"/>
      <c r="W355" s="8" t="s">
        <v>2129</v>
      </c>
      <c r="X355" s="8"/>
      <c r="Y355" s="8"/>
      <c r="Z355" s="8" t="s">
        <v>2780</v>
      </c>
      <c r="AA355" s="8"/>
      <c r="AB355" s="8"/>
      <c r="AC355" s="8"/>
      <c r="AD355" s="8" t="s">
        <v>2080</v>
      </c>
      <c r="AE355" s="8"/>
      <c r="AF355" s="8"/>
      <c r="AG355" s="8">
        <v>2.4001575E7</v>
      </c>
      <c r="AH355" s="8" t="s">
        <v>2781</v>
      </c>
      <c r="AI355" s="8"/>
      <c r="AJ355" s="8"/>
      <c r="AK355" s="8" t="s">
        <v>2782</v>
      </c>
      <c r="AL355" s="8" t="s">
        <v>2783</v>
      </c>
      <c r="AM355" s="8" t="s">
        <v>2688</v>
      </c>
    </row>
    <row r="356" ht="14.25" customHeight="1">
      <c r="A356" s="8">
        <v>216.0</v>
      </c>
      <c r="B356" s="8" t="s">
        <v>5077</v>
      </c>
      <c r="C356" s="8"/>
      <c r="D356" s="8"/>
      <c r="E356" s="8"/>
      <c r="F356" s="8"/>
      <c r="G356" s="8"/>
      <c r="H356" s="7">
        <v>45785.0</v>
      </c>
      <c r="I356" s="7">
        <v>45785.0</v>
      </c>
      <c r="J356" s="8" t="s">
        <v>5078</v>
      </c>
      <c r="K356" s="8" t="s">
        <v>2089</v>
      </c>
      <c r="L356" s="8">
        <v>2012.0</v>
      </c>
      <c r="M356" s="8"/>
      <c r="N356" s="8"/>
      <c r="O356" s="8"/>
      <c r="P356" s="8"/>
      <c r="Q356" s="9">
        <v>41247.0</v>
      </c>
      <c r="R356" s="8" t="s">
        <v>2090</v>
      </c>
      <c r="S356" s="8"/>
      <c r="T356" s="8"/>
      <c r="U356" s="8"/>
      <c r="V356" s="8"/>
      <c r="W356" s="8"/>
      <c r="X356" s="8"/>
      <c r="Y356" s="8" t="s">
        <v>2089</v>
      </c>
      <c r="Z356" s="8" t="s">
        <v>5079</v>
      </c>
      <c r="AA356" s="8"/>
      <c r="AB356" s="8"/>
      <c r="AC356" s="8"/>
      <c r="AD356" s="8" t="s">
        <v>2080</v>
      </c>
      <c r="AE356" s="8" t="s">
        <v>2080</v>
      </c>
      <c r="AF356" s="8"/>
      <c r="AG356" s="8"/>
      <c r="AH356" s="8" t="s">
        <v>5080</v>
      </c>
      <c r="AI356" s="8"/>
      <c r="AJ356" s="8" t="s">
        <v>5081</v>
      </c>
      <c r="AK356" s="8" t="s">
        <v>5082</v>
      </c>
      <c r="AL356" s="8"/>
      <c r="AM356" s="8" t="s">
        <v>2095</v>
      </c>
    </row>
    <row r="357" ht="14.25" customHeight="1">
      <c r="A357" s="8">
        <v>217.0</v>
      </c>
      <c r="B357" s="8" t="s">
        <v>1491</v>
      </c>
      <c r="C357" s="8"/>
      <c r="D357" s="8" t="s">
        <v>1492</v>
      </c>
      <c r="E357" s="8" t="s">
        <v>5083</v>
      </c>
      <c r="F357" s="8" t="s">
        <v>5084</v>
      </c>
      <c r="G357" s="8"/>
      <c r="H357" s="8"/>
      <c r="I357" s="7">
        <v>41437.0</v>
      </c>
      <c r="J357" s="8" t="s">
        <v>5085</v>
      </c>
      <c r="K357" s="8" t="s">
        <v>5086</v>
      </c>
      <c r="L357" s="8">
        <v>2012.0</v>
      </c>
      <c r="M357" s="8">
        <v>46.0</v>
      </c>
      <c r="N357" s="10">
        <v>46148.0</v>
      </c>
      <c r="O357" s="8">
        <v>361.0</v>
      </c>
      <c r="P357" s="8">
        <v>366.0</v>
      </c>
      <c r="Q357" s="8">
        <v>2012.0</v>
      </c>
      <c r="R357" s="8" t="s">
        <v>2075</v>
      </c>
      <c r="S357" s="8"/>
      <c r="T357" s="8"/>
      <c r="U357" s="8"/>
      <c r="V357" s="8"/>
      <c r="W357" s="8" t="s">
        <v>4708</v>
      </c>
      <c r="X357" s="8"/>
      <c r="Y357" s="8" t="s">
        <v>5087</v>
      </c>
      <c r="Z357" s="8" t="s">
        <v>5088</v>
      </c>
      <c r="AA357" s="8"/>
      <c r="AB357" s="8"/>
      <c r="AC357" s="8"/>
      <c r="AD357" s="8" t="s">
        <v>2080</v>
      </c>
      <c r="AE357" s="8" t="s">
        <v>2080</v>
      </c>
      <c r="AF357" s="8"/>
      <c r="AG357" s="8">
        <v>2.3268821E7</v>
      </c>
      <c r="AH357" s="8" t="s">
        <v>5089</v>
      </c>
      <c r="AI357" s="8" t="s">
        <v>5090</v>
      </c>
      <c r="AJ357" s="8" t="s">
        <v>5091</v>
      </c>
      <c r="AK357" s="8" t="s">
        <v>5092</v>
      </c>
      <c r="AL357" s="8" t="s">
        <v>5093</v>
      </c>
      <c r="AM357" s="8" t="s">
        <v>2763</v>
      </c>
    </row>
    <row r="358" ht="14.25" customHeight="1">
      <c r="A358" s="8">
        <v>218.0</v>
      </c>
      <c r="B358" s="8" t="s">
        <v>388</v>
      </c>
      <c r="C358" s="8"/>
      <c r="D358" s="8" t="s">
        <v>2784</v>
      </c>
      <c r="E358" s="8" t="s">
        <v>2785</v>
      </c>
      <c r="F358" s="8" t="s">
        <v>2786</v>
      </c>
      <c r="G358" s="8"/>
      <c r="H358" s="7">
        <v>40987.0</v>
      </c>
      <c r="I358" s="7">
        <v>41229.0</v>
      </c>
      <c r="J358" s="8" t="s">
        <v>2787</v>
      </c>
      <c r="K358" s="8" t="s">
        <v>180</v>
      </c>
      <c r="L358" s="8">
        <v>2012.0</v>
      </c>
      <c r="M358" s="8">
        <v>19.0</v>
      </c>
      <c r="N358" s="8">
        <v>6.0</v>
      </c>
      <c r="O358" s="8">
        <v>779.0</v>
      </c>
      <c r="P358" s="8">
        <v>785.0</v>
      </c>
      <c r="Q358" s="10">
        <v>46368.0</v>
      </c>
      <c r="R358" s="8" t="s">
        <v>2075</v>
      </c>
      <c r="S358" s="8"/>
      <c r="T358" s="8"/>
      <c r="U358" s="8"/>
      <c r="V358" s="8"/>
      <c r="W358" s="8" t="s">
        <v>2788</v>
      </c>
      <c r="X358" s="8"/>
      <c r="Y358" s="8" t="s">
        <v>2789</v>
      </c>
      <c r="Z358" s="8" t="s">
        <v>2790</v>
      </c>
      <c r="AA358" s="8"/>
      <c r="AB358" s="8"/>
      <c r="AC358" s="8" t="s">
        <v>2791</v>
      </c>
      <c r="AD358" s="8" t="s">
        <v>2080</v>
      </c>
      <c r="AE358" s="8" t="s">
        <v>2080</v>
      </c>
      <c r="AF358" s="8">
        <v>2.012640306E9</v>
      </c>
      <c r="AG358" s="8">
        <v>2.2425308E7</v>
      </c>
      <c r="AH358" s="8" t="s">
        <v>2792</v>
      </c>
      <c r="AI358" s="8" t="s">
        <v>392</v>
      </c>
      <c r="AJ358" s="8" t="s">
        <v>2793</v>
      </c>
      <c r="AK358" s="8" t="s">
        <v>2794</v>
      </c>
      <c r="AL358" s="8" t="s">
        <v>2795</v>
      </c>
      <c r="AM358" s="8" t="s">
        <v>2796</v>
      </c>
    </row>
    <row r="359" ht="14.25" customHeight="1">
      <c r="A359" s="8">
        <v>219.0</v>
      </c>
      <c r="B359" s="8" t="s">
        <v>5094</v>
      </c>
      <c r="C359" s="8"/>
      <c r="D359" s="8"/>
      <c r="E359" s="8"/>
      <c r="F359" s="8"/>
      <c r="G359" s="8"/>
      <c r="H359" s="7">
        <v>45785.0</v>
      </c>
      <c r="I359" s="7">
        <v>45785.0</v>
      </c>
      <c r="J359" s="8" t="s">
        <v>5095</v>
      </c>
      <c r="K359" s="8" t="s">
        <v>2089</v>
      </c>
      <c r="L359" s="8">
        <v>2012.0</v>
      </c>
      <c r="M359" s="8"/>
      <c r="N359" s="8"/>
      <c r="O359" s="8"/>
      <c r="P359" s="8"/>
      <c r="Q359" s="9">
        <v>41220.0</v>
      </c>
      <c r="R359" s="8" t="s">
        <v>2090</v>
      </c>
      <c r="S359" s="8"/>
      <c r="T359" s="8"/>
      <c r="U359" s="8"/>
      <c r="V359" s="8"/>
      <c r="W359" s="8"/>
      <c r="X359" s="8"/>
      <c r="Y359" s="8" t="s">
        <v>2089</v>
      </c>
      <c r="Z359" s="8" t="s">
        <v>5096</v>
      </c>
      <c r="AA359" s="8"/>
      <c r="AB359" s="8"/>
      <c r="AC359" s="8"/>
      <c r="AD359" s="8" t="s">
        <v>2080</v>
      </c>
      <c r="AE359" s="8" t="s">
        <v>2080</v>
      </c>
      <c r="AF359" s="8"/>
      <c r="AG359" s="8"/>
      <c r="AH359" s="8" t="s">
        <v>5097</v>
      </c>
      <c r="AI359" s="8"/>
      <c r="AJ359" s="8" t="s">
        <v>5098</v>
      </c>
      <c r="AK359" s="8" t="s">
        <v>5099</v>
      </c>
      <c r="AL359" s="8"/>
      <c r="AM359" s="8" t="s">
        <v>2095</v>
      </c>
    </row>
    <row r="360" ht="14.25" customHeight="1">
      <c r="A360" s="8">
        <v>220.0</v>
      </c>
      <c r="B360" s="8" t="s">
        <v>5100</v>
      </c>
      <c r="C360" s="8"/>
      <c r="D360" s="8" t="s">
        <v>5101</v>
      </c>
      <c r="E360" s="8" t="s">
        <v>5102</v>
      </c>
      <c r="F360" s="8" t="s">
        <v>5103</v>
      </c>
      <c r="G360" s="8"/>
      <c r="H360" s="8"/>
      <c r="I360" s="7">
        <v>41284.0</v>
      </c>
      <c r="J360" s="8" t="s">
        <v>5104</v>
      </c>
      <c r="K360" s="8" t="s">
        <v>2128</v>
      </c>
      <c r="L360" s="8">
        <v>2012.0</v>
      </c>
      <c r="M360" s="8">
        <v>40.0</v>
      </c>
      <c r="N360" s="8">
        <v>8.0</v>
      </c>
      <c r="O360" s="8">
        <v>1772.0</v>
      </c>
      <c r="P360" s="8">
        <v>1780.0</v>
      </c>
      <c r="Q360" s="10">
        <v>46246.0</v>
      </c>
      <c r="R360" s="8" t="s">
        <v>2075</v>
      </c>
      <c r="S360" s="8"/>
      <c r="T360" s="8"/>
      <c r="U360" s="8"/>
      <c r="V360" s="8"/>
      <c r="W360" s="8" t="s">
        <v>2129</v>
      </c>
      <c r="X360" s="8"/>
      <c r="Y360" s="8"/>
      <c r="Z360" s="8" t="s">
        <v>5105</v>
      </c>
      <c r="AA360" s="8" t="s">
        <v>5106</v>
      </c>
      <c r="AB360" s="8"/>
      <c r="AC360" s="8"/>
      <c r="AD360" s="8" t="s">
        <v>2080</v>
      </c>
      <c r="AE360" s="8"/>
      <c r="AF360" s="8"/>
      <c r="AG360" s="8">
        <v>2.2713551E7</v>
      </c>
      <c r="AH360" s="8" t="s">
        <v>5107</v>
      </c>
      <c r="AI360" s="8"/>
      <c r="AJ360" s="8"/>
      <c r="AK360" s="8" t="s">
        <v>5108</v>
      </c>
      <c r="AL360" s="8" t="s">
        <v>5109</v>
      </c>
      <c r="AM360" s="8" t="s">
        <v>2763</v>
      </c>
    </row>
    <row r="361" ht="14.25" customHeight="1">
      <c r="A361" s="8">
        <v>221.0</v>
      </c>
      <c r="B361" s="8" t="s">
        <v>5110</v>
      </c>
      <c r="C361" s="8"/>
      <c r="D361" s="8" t="s">
        <v>5111</v>
      </c>
      <c r="E361" s="8" t="s">
        <v>5112</v>
      </c>
      <c r="F361" s="8" t="s">
        <v>5113</v>
      </c>
      <c r="G361" s="8"/>
      <c r="H361" s="8"/>
      <c r="I361" s="7">
        <v>41227.0</v>
      </c>
      <c r="J361" s="8" t="s">
        <v>5114</v>
      </c>
      <c r="K361" s="8" t="s">
        <v>2128</v>
      </c>
      <c r="L361" s="8">
        <v>2012.0</v>
      </c>
      <c r="M361" s="8">
        <v>40.0</v>
      </c>
      <c r="N361" s="8">
        <v>7.0</v>
      </c>
      <c r="O361" s="8">
        <v>1511.0</v>
      </c>
      <c r="P361" s="8">
        <v>1518.0</v>
      </c>
      <c r="Q361" s="10">
        <v>46215.0</v>
      </c>
      <c r="R361" s="8" t="s">
        <v>2075</v>
      </c>
      <c r="S361" s="8"/>
      <c r="T361" s="8"/>
      <c r="U361" s="8"/>
      <c r="V361" s="8"/>
      <c r="W361" s="8" t="s">
        <v>2129</v>
      </c>
      <c r="X361" s="8"/>
      <c r="Y361" s="8"/>
      <c r="Z361" s="8" t="s">
        <v>5115</v>
      </c>
      <c r="AA361" s="8"/>
      <c r="AB361" s="8"/>
      <c r="AC361" s="8"/>
      <c r="AD361" s="8" t="s">
        <v>2080</v>
      </c>
      <c r="AE361" s="8"/>
      <c r="AF361" s="8"/>
      <c r="AG361" s="8">
        <v>2.2691456E7</v>
      </c>
      <c r="AH361" s="8" t="s">
        <v>5116</v>
      </c>
      <c r="AI361" s="8"/>
      <c r="AJ361" s="8"/>
      <c r="AK361" s="8" t="s">
        <v>5117</v>
      </c>
      <c r="AL361" s="8" t="s">
        <v>5118</v>
      </c>
      <c r="AM361" s="8" t="s">
        <v>2763</v>
      </c>
    </row>
    <row r="362" ht="14.25" customHeight="1">
      <c r="A362" s="8">
        <v>222.0</v>
      </c>
      <c r="B362" s="8" t="s">
        <v>5119</v>
      </c>
      <c r="C362" s="8"/>
      <c r="D362" s="8"/>
      <c r="E362" s="8"/>
      <c r="F362" s="8"/>
      <c r="G362" s="8"/>
      <c r="H362" s="7">
        <v>45804.0</v>
      </c>
      <c r="I362" s="7">
        <v>45804.0</v>
      </c>
      <c r="J362" s="8" t="s">
        <v>5120</v>
      </c>
      <c r="K362" s="8" t="s">
        <v>2089</v>
      </c>
      <c r="L362" s="8">
        <v>2012.0</v>
      </c>
      <c r="M362" s="8"/>
      <c r="N362" s="8"/>
      <c r="O362" s="8"/>
      <c r="P362" s="8"/>
      <c r="Q362" s="9">
        <v>41082.0</v>
      </c>
      <c r="R362" s="8" t="s">
        <v>2090</v>
      </c>
      <c r="S362" s="8"/>
      <c r="T362" s="8"/>
      <c r="U362" s="8"/>
      <c r="V362" s="8"/>
      <c r="W362" s="8"/>
      <c r="X362" s="8"/>
      <c r="Y362" s="8" t="s">
        <v>2089</v>
      </c>
      <c r="Z362" s="8" t="s">
        <v>5121</v>
      </c>
      <c r="AA362" s="8"/>
      <c r="AB362" s="8"/>
      <c r="AC362" s="8"/>
      <c r="AD362" s="8" t="s">
        <v>2080</v>
      </c>
      <c r="AE362" s="8" t="s">
        <v>2080</v>
      </c>
      <c r="AF362" s="8"/>
      <c r="AG362" s="8"/>
      <c r="AH362" s="8" t="s">
        <v>5122</v>
      </c>
      <c r="AI362" s="8"/>
      <c r="AJ362" s="8" t="s">
        <v>5123</v>
      </c>
      <c r="AK362" s="8" t="s">
        <v>5124</v>
      </c>
      <c r="AL362" s="8"/>
      <c r="AM362" s="8" t="s">
        <v>2095</v>
      </c>
    </row>
    <row r="363" ht="14.25" customHeight="1">
      <c r="A363" s="8">
        <v>223.0</v>
      </c>
      <c r="B363" s="8" t="s">
        <v>5125</v>
      </c>
      <c r="C363" s="8"/>
      <c r="D363" s="8" t="s">
        <v>5126</v>
      </c>
      <c r="E363" s="8" t="s">
        <v>5127</v>
      </c>
      <c r="F363" s="8" t="s">
        <v>5128</v>
      </c>
      <c r="G363" s="8"/>
      <c r="H363" s="8"/>
      <c r="I363" s="7">
        <v>41129.0</v>
      </c>
      <c r="J363" s="8" t="s">
        <v>5129</v>
      </c>
      <c r="K363" s="8" t="s">
        <v>2755</v>
      </c>
      <c r="L363" s="8">
        <v>2012.0</v>
      </c>
      <c r="M363" s="8">
        <v>20.0</v>
      </c>
      <c r="N363" s="8">
        <v>4.0</v>
      </c>
      <c r="O363" s="8">
        <v>752.0</v>
      </c>
      <c r="P363" s="8">
        <v>761.0</v>
      </c>
      <c r="Q363" s="10">
        <v>46124.0</v>
      </c>
      <c r="R363" s="8" t="s">
        <v>2075</v>
      </c>
      <c r="S363" s="8"/>
      <c r="T363" s="8"/>
      <c r="U363" s="8"/>
      <c r="V363" s="8"/>
      <c r="W363" s="8" t="s">
        <v>2756</v>
      </c>
      <c r="X363" s="8"/>
      <c r="Y363" s="8" t="s">
        <v>2757</v>
      </c>
      <c r="Z363" s="8" t="s">
        <v>5130</v>
      </c>
      <c r="AA363" s="8"/>
      <c r="AB363" s="8"/>
      <c r="AC363" s="8"/>
      <c r="AD363" s="8" t="s">
        <v>2080</v>
      </c>
      <c r="AE363" s="8" t="s">
        <v>2080</v>
      </c>
      <c r="AF363" s="8"/>
      <c r="AG363" s="8">
        <v>2.2273781E7</v>
      </c>
      <c r="AH363" s="8" t="s">
        <v>5131</v>
      </c>
      <c r="AI363" s="8" t="s">
        <v>1539</v>
      </c>
      <c r="AJ363" s="8" t="s">
        <v>5132</v>
      </c>
      <c r="AK363" s="8" t="s">
        <v>5133</v>
      </c>
      <c r="AL363" s="8" t="s">
        <v>5134</v>
      </c>
      <c r="AM363" s="8" t="s">
        <v>2763</v>
      </c>
    </row>
    <row r="364" ht="14.25" customHeight="1">
      <c r="A364" s="8">
        <v>224.0</v>
      </c>
      <c r="B364" s="8" t="s">
        <v>5135</v>
      </c>
      <c r="C364" s="8"/>
      <c r="D364" s="8" t="s">
        <v>5136</v>
      </c>
      <c r="E364" s="8" t="s">
        <v>5137</v>
      </c>
      <c r="F364" s="8" t="s">
        <v>5138</v>
      </c>
      <c r="G364" s="8"/>
      <c r="H364" s="8"/>
      <c r="I364" s="7">
        <v>41109.0</v>
      </c>
      <c r="J364" s="8" t="s">
        <v>5139</v>
      </c>
      <c r="K364" s="8" t="s">
        <v>2128</v>
      </c>
      <c r="L364" s="8">
        <v>2012.0</v>
      </c>
      <c r="M364" s="8">
        <v>40.0</v>
      </c>
      <c r="N364" s="8">
        <v>3.0</v>
      </c>
      <c r="O364" s="8">
        <v>512.0</v>
      </c>
      <c r="P364" s="8">
        <v>520.0</v>
      </c>
      <c r="Q364" s="10">
        <v>46093.0</v>
      </c>
      <c r="R364" s="8" t="s">
        <v>2075</v>
      </c>
      <c r="S364" s="8"/>
      <c r="T364" s="8"/>
      <c r="U364" s="8"/>
      <c r="V364" s="8"/>
      <c r="W364" s="8" t="s">
        <v>2129</v>
      </c>
      <c r="X364" s="8"/>
      <c r="Y364" s="8"/>
      <c r="Z364" s="8" t="s">
        <v>5140</v>
      </c>
      <c r="AA364" s="8"/>
      <c r="AB364" s="8"/>
      <c r="AC364" s="8"/>
      <c r="AD364" s="8" t="s">
        <v>2080</v>
      </c>
      <c r="AE364" s="8"/>
      <c r="AF364" s="8"/>
      <c r="AG364" s="8">
        <v>2.2085729E7</v>
      </c>
      <c r="AH364" s="8" t="s">
        <v>5141</v>
      </c>
      <c r="AI364" s="8"/>
      <c r="AJ364" s="8"/>
      <c r="AK364" s="8" t="s">
        <v>5142</v>
      </c>
      <c r="AL364" s="8" t="s">
        <v>5143</v>
      </c>
      <c r="AM364" s="8" t="s">
        <v>2763</v>
      </c>
    </row>
    <row r="365" ht="14.25" customHeight="1">
      <c r="A365" s="8">
        <v>225.0</v>
      </c>
      <c r="B365" s="8" t="s">
        <v>5144</v>
      </c>
      <c r="C365" s="8"/>
      <c r="D365" s="8" t="s">
        <v>5145</v>
      </c>
      <c r="E365" s="8" t="s">
        <v>5146</v>
      </c>
      <c r="F365" s="8"/>
      <c r="G365" s="8"/>
      <c r="H365" s="7">
        <v>41895.0</v>
      </c>
      <c r="I365" s="7">
        <v>41901.0</v>
      </c>
      <c r="J365" s="8" t="s">
        <v>5147</v>
      </c>
      <c r="K365" s="8" t="s">
        <v>4777</v>
      </c>
      <c r="L365" s="8">
        <v>2012.0</v>
      </c>
      <c r="M365" s="8">
        <v>16.0</v>
      </c>
      <c r="N365" s="8">
        <v>53.0</v>
      </c>
      <c r="O365" s="8">
        <v>9975.0</v>
      </c>
      <c r="P365" s="8">
        <v>9979.0</v>
      </c>
      <c r="Q365" s="8">
        <v>2012.0</v>
      </c>
      <c r="R365" s="8" t="s">
        <v>2075</v>
      </c>
      <c r="S365" s="8"/>
      <c r="T365" s="8"/>
      <c r="U365" s="8"/>
      <c r="V365" s="8"/>
      <c r="W365" s="8" t="s">
        <v>4778</v>
      </c>
      <c r="X365" s="8"/>
      <c r="Y365" s="8"/>
      <c r="Z365" s="8" t="s">
        <v>5148</v>
      </c>
      <c r="AA365" s="8"/>
      <c r="AB365" s="8"/>
      <c r="AC365" s="8"/>
      <c r="AD365" s="8" t="s">
        <v>3695</v>
      </c>
      <c r="AE365" s="8" t="s">
        <v>4781</v>
      </c>
      <c r="AF365" s="8">
        <v>2.01458581E9</v>
      </c>
      <c r="AG365" s="8"/>
      <c r="AH365" s="8" t="s">
        <v>5149</v>
      </c>
      <c r="AI365" s="8" t="s">
        <v>5150</v>
      </c>
      <c r="AJ365" s="8" t="s">
        <v>5151</v>
      </c>
      <c r="AK365" s="8" t="s">
        <v>5152</v>
      </c>
      <c r="AL365" s="8" t="s">
        <v>5153</v>
      </c>
      <c r="AM365" s="8" t="s">
        <v>2726</v>
      </c>
    </row>
    <row r="366" ht="14.25" customHeight="1">
      <c r="A366" s="8">
        <v>226.0</v>
      </c>
      <c r="B366" s="8" t="s">
        <v>1505</v>
      </c>
      <c r="C366" s="8"/>
      <c r="D366" s="8" t="s">
        <v>5154</v>
      </c>
      <c r="E366" s="8" t="s">
        <v>5155</v>
      </c>
      <c r="F366" s="8"/>
      <c r="G366" s="8"/>
      <c r="H366" s="8"/>
      <c r="I366" s="7">
        <v>42664.0</v>
      </c>
      <c r="J366" s="8" t="s">
        <v>5156</v>
      </c>
      <c r="K366" s="8" t="s">
        <v>5157</v>
      </c>
      <c r="L366" s="8">
        <v>2012.0</v>
      </c>
      <c r="M366" s="8">
        <v>23.0</v>
      </c>
      <c r="N366" s="8">
        <v>3.0</v>
      </c>
      <c r="O366" s="8">
        <v>140.0</v>
      </c>
      <c r="P366" s="8">
        <v>144.0</v>
      </c>
      <c r="Q366" s="8">
        <v>2012.0</v>
      </c>
      <c r="R366" s="8" t="s">
        <v>2075</v>
      </c>
      <c r="S366" s="8"/>
      <c r="T366" s="8"/>
      <c r="U366" s="8"/>
      <c r="V366" s="8"/>
      <c r="W366" s="8" t="s">
        <v>5158</v>
      </c>
      <c r="X366" s="8"/>
      <c r="Y366" s="8"/>
      <c r="Z366" s="8" t="s">
        <v>5159</v>
      </c>
      <c r="AA366" s="8"/>
      <c r="AB366" s="8"/>
      <c r="AC366" s="8"/>
      <c r="AD366" s="8" t="s">
        <v>2080</v>
      </c>
      <c r="AE366" s="8" t="s">
        <v>2080</v>
      </c>
      <c r="AF366" s="8"/>
      <c r="AG366" s="8">
        <v>2.3145756E7</v>
      </c>
      <c r="AH366" s="8" t="s">
        <v>5160</v>
      </c>
      <c r="AI366" s="8"/>
      <c r="AJ366" s="8"/>
      <c r="AK366" s="8" t="s">
        <v>5161</v>
      </c>
      <c r="AL366" s="8" t="s">
        <v>5162</v>
      </c>
      <c r="AM366" s="8" t="s">
        <v>2660</v>
      </c>
    </row>
    <row r="367" ht="14.25" customHeight="1">
      <c r="A367" s="8">
        <v>227.0</v>
      </c>
      <c r="B367" s="8" t="s">
        <v>2797</v>
      </c>
      <c r="C367" s="8"/>
      <c r="D367" s="8" t="s">
        <v>2798</v>
      </c>
      <c r="E367" s="8" t="s">
        <v>2799</v>
      </c>
      <c r="F367" s="8" t="s">
        <v>2800</v>
      </c>
      <c r="G367" s="8"/>
      <c r="H367" s="8"/>
      <c r="I367" s="7">
        <v>40966.0</v>
      </c>
      <c r="J367" s="8" t="s">
        <v>2801</v>
      </c>
      <c r="K367" s="8" t="s">
        <v>2128</v>
      </c>
      <c r="L367" s="8">
        <v>2011.0</v>
      </c>
      <c r="M367" s="8">
        <v>39.0</v>
      </c>
      <c r="N367" s="8">
        <v>10.0</v>
      </c>
      <c r="O367" s="8">
        <v>2161.0</v>
      </c>
      <c r="P367" s="8">
        <v>2169.0</v>
      </c>
      <c r="Q367" s="10">
        <v>46306.0</v>
      </c>
      <c r="R367" s="8" t="s">
        <v>2075</v>
      </c>
      <c r="S367" s="8"/>
      <c r="T367" s="8"/>
      <c r="U367" s="8"/>
      <c r="V367" s="8"/>
      <c r="W367" s="8" t="s">
        <v>2129</v>
      </c>
      <c r="X367" s="8"/>
      <c r="Y367" s="8"/>
      <c r="Z367" s="8" t="s">
        <v>2802</v>
      </c>
      <c r="AA367" s="8"/>
      <c r="AB367" s="8"/>
      <c r="AC367" s="8"/>
      <c r="AD367" s="8" t="s">
        <v>2080</v>
      </c>
      <c r="AE367" s="8"/>
      <c r="AF367" s="8"/>
      <c r="AG367" s="8">
        <v>2.1712483E7</v>
      </c>
      <c r="AH367" s="8" t="s">
        <v>2803</v>
      </c>
      <c r="AI367" s="8"/>
      <c r="AJ367" s="8"/>
      <c r="AK367" s="8" t="s">
        <v>2804</v>
      </c>
      <c r="AL367" s="8" t="s">
        <v>2805</v>
      </c>
      <c r="AM367" s="8" t="s">
        <v>2763</v>
      </c>
    </row>
    <row r="368" ht="14.25" customHeight="1">
      <c r="A368" s="8">
        <v>228.0</v>
      </c>
      <c r="B368" s="8" t="s">
        <v>5163</v>
      </c>
      <c r="C368" s="8"/>
      <c r="D368" s="8" t="s">
        <v>5164</v>
      </c>
      <c r="E368" s="8" t="s">
        <v>5165</v>
      </c>
      <c r="F368" s="8" t="s">
        <v>5166</v>
      </c>
      <c r="G368" s="8"/>
      <c r="H368" s="8"/>
      <c r="I368" s="7">
        <v>40933.0</v>
      </c>
      <c r="J368" s="8" t="s">
        <v>5167</v>
      </c>
      <c r="K368" s="8" t="s">
        <v>2128</v>
      </c>
      <c r="L368" s="8">
        <v>2011.0</v>
      </c>
      <c r="M368" s="8">
        <v>39.0</v>
      </c>
      <c r="N368" s="8">
        <v>9.0</v>
      </c>
      <c r="O368" s="8">
        <v>1858.0</v>
      </c>
      <c r="P368" s="8">
        <v>1864.0</v>
      </c>
      <c r="Q368" s="10">
        <v>46276.0</v>
      </c>
      <c r="R368" s="8" t="s">
        <v>2075</v>
      </c>
      <c r="S368" s="8"/>
      <c r="T368" s="8"/>
      <c r="U368" s="8"/>
      <c r="V368" s="8"/>
      <c r="W368" s="8" t="s">
        <v>2129</v>
      </c>
      <c r="X368" s="8"/>
      <c r="Y368" s="8"/>
      <c r="Z368" s="8" t="s">
        <v>5168</v>
      </c>
      <c r="AA368" s="8" t="s">
        <v>5169</v>
      </c>
      <c r="AB368" s="8"/>
      <c r="AC368" s="8"/>
      <c r="AD368" s="8" t="s">
        <v>2080</v>
      </c>
      <c r="AE368" s="8"/>
      <c r="AF368" s="8"/>
      <c r="AG368" s="8">
        <v>2.1622815E7</v>
      </c>
      <c r="AH368" s="8" t="s">
        <v>5170</v>
      </c>
      <c r="AI368" s="8"/>
      <c r="AJ368" s="8"/>
      <c r="AK368" s="8" t="s">
        <v>5171</v>
      </c>
      <c r="AL368" s="8" t="s">
        <v>5172</v>
      </c>
      <c r="AM368" s="8" t="s">
        <v>2763</v>
      </c>
    </row>
    <row r="369" ht="14.25" customHeight="1">
      <c r="A369" s="8">
        <v>229.0</v>
      </c>
      <c r="B369" s="8" t="s">
        <v>5173</v>
      </c>
      <c r="C369" s="8"/>
      <c r="D369" s="8" t="s">
        <v>5174</v>
      </c>
      <c r="E369" s="8" t="s">
        <v>5175</v>
      </c>
      <c r="F369" s="8" t="s">
        <v>5176</v>
      </c>
      <c r="G369" s="8"/>
      <c r="H369" s="8"/>
      <c r="I369" s="7">
        <v>40945.0</v>
      </c>
      <c r="J369" s="8" t="s">
        <v>5177</v>
      </c>
      <c r="K369" s="8" t="s">
        <v>2128</v>
      </c>
      <c r="L369" s="8">
        <v>2011.0</v>
      </c>
      <c r="M369" s="8">
        <v>39.0</v>
      </c>
      <c r="N369" s="8">
        <v>8.0</v>
      </c>
      <c r="O369" s="8">
        <v>1615.0</v>
      </c>
      <c r="P369" s="8">
        <v>1622.0</v>
      </c>
      <c r="Q369" s="10">
        <v>46245.0</v>
      </c>
      <c r="R369" s="8" t="s">
        <v>2075</v>
      </c>
      <c r="S369" s="8"/>
      <c r="T369" s="8"/>
      <c r="U369" s="8"/>
      <c r="V369" s="8"/>
      <c r="W369" s="8" t="s">
        <v>2129</v>
      </c>
      <c r="X369" s="8"/>
      <c r="Y369" s="8"/>
      <c r="Z369" s="8" t="s">
        <v>5178</v>
      </c>
      <c r="AA369" s="8"/>
      <c r="AB369" s="8"/>
      <c r="AC369" s="8"/>
      <c r="AD369" s="8" t="s">
        <v>2080</v>
      </c>
      <c r="AE369" s="8"/>
      <c r="AF369" s="8"/>
      <c r="AG369" s="8">
        <v>2.1610263E7</v>
      </c>
      <c r="AH369" s="8" t="s">
        <v>5179</v>
      </c>
      <c r="AI369" s="8"/>
      <c r="AJ369" s="8"/>
      <c r="AK369" s="8" t="s">
        <v>5180</v>
      </c>
      <c r="AL369" s="8" t="s">
        <v>5181</v>
      </c>
      <c r="AM369" s="8" t="s">
        <v>2763</v>
      </c>
    </row>
    <row r="370" ht="14.25" customHeight="1">
      <c r="A370" s="8">
        <v>230.0</v>
      </c>
      <c r="B370" s="8" t="s">
        <v>5182</v>
      </c>
      <c r="C370" s="8"/>
      <c r="D370" s="8" t="s">
        <v>5183</v>
      </c>
      <c r="E370" s="8" t="s">
        <v>5184</v>
      </c>
      <c r="F370" s="8" t="s">
        <v>5185</v>
      </c>
      <c r="G370" s="8"/>
      <c r="H370" s="7">
        <v>40723.0</v>
      </c>
      <c r="I370" s="7">
        <v>40725.0</v>
      </c>
      <c r="J370" s="8" t="s">
        <v>5186</v>
      </c>
      <c r="K370" s="8" t="s">
        <v>2241</v>
      </c>
      <c r="L370" s="8">
        <v>2011.0</v>
      </c>
      <c r="M370" s="8">
        <v>27.0</v>
      </c>
      <c r="N370" s="8">
        <v>7.0</v>
      </c>
      <c r="O370" s="8">
        <v>906.0</v>
      </c>
      <c r="P370" s="8">
        <v>913.0</v>
      </c>
      <c r="Q370" s="10">
        <v>46214.0</v>
      </c>
      <c r="R370" s="8" t="s">
        <v>2075</v>
      </c>
      <c r="S370" s="8"/>
      <c r="T370" s="8"/>
      <c r="U370" s="8"/>
      <c r="V370" s="8"/>
      <c r="W370" s="8" t="s">
        <v>5041</v>
      </c>
      <c r="X370" s="8"/>
      <c r="Y370" s="8" t="s">
        <v>2822</v>
      </c>
      <c r="Z370" s="8" t="s">
        <v>5187</v>
      </c>
      <c r="AA370" s="8"/>
      <c r="AB370" s="8"/>
      <c r="AC370" s="8"/>
      <c r="AD370" s="8" t="s">
        <v>2080</v>
      </c>
      <c r="AE370" s="8" t="s">
        <v>2080</v>
      </c>
      <c r="AF370" s="8">
        <v>2.01134155E9</v>
      </c>
      <c r="AG370" s="8">
        <v>2.155076E7</v>
      </c>
      <c r="AH370" s="8" t="s">
        <v>5188</v>
      </c>
      <c r="AI370" s="8" t="s">
        <v>5189</v>
      </c>
      <c r="AJ370" s="8" t="s">
        <v>5190</v>
      </c>
      <c r="AK370" s="8" t="s">
        <v>5191</v>
      </c>
      <c r="AL370" s="8" t="s">
        <v>5192</v>
      </c>
      <c r="AM370" s="8" t="s">
        <v>2828</v>
      </c>
    </row>
    <row r="371" ht="14.25" customHeight="1">
      <c r="A371" s="8">
        <v>231.0</v>
      </c>
      <c r="B371" s="8" t="s">
        <v>2806</v>
      </c>
      <c r="C371" s="8"/>
      <c r="D371" s="8" t="s">
        <v>2807</v>
      </c>
      <c r="E371" s="8" t="s">
        <v>2808</v>
      </c>
      <c r="F371" s="8" t="s">
        <v>2809</v>
      </c>
      <c r="G371" s="8"/>
      <c r="H371" s="8"/>
      <c r="I371" s="7">
        <v>40723.0</v>
      </c>
      <c r="J371" s="8" t="s">
        <v>2810</v>
      </c>
      <c r="K371" s="8" t="s">
        <v>2755</v>
      </c>
      <c r="L371" s="8">
        <v>2011.0</v>
      </c>
      <c r="M371" s="8">
        <v>19.0</v>
      </c>
      <c r="N371" s="8">
        <v>3.0</v>
      </c>
      <c r="O371" s="8">
        <v>390.0</v>
      </c>
      <c r="P371" s="8">
        <v>397.0</v>
      </c>
      <c r="Q371" s="8">
        <v>2011.0</v>
      </c>
      <c r="R371" s="8" t="s">
        <v>2075</v>
      </c>
      <c r="S371" s="8"/>
      <c r="T371" s="8"/>
      <c r="U371" s="8"/>
      <c r="V371" s="8"/>
      <c r="W371" s="8" t="s">
        <v>2756</v>
      </c>
      <c r="X371" s="8"/>
      <c r="Y371" s="8" t="s">
        <v>2757</v>
      </c>
      <c r="Z371" s="8" t="s">
        <v>2811</v>
      </c>
      <c r="AA371" s="8"/>
      <c r="AB371" s="8"/>
      <c r="AC371" s="8"/>
      <c r="AD371" s="8" t="s">
        <v>2080</v>
      </c>
      <c r="AE371" s="8" t="s">
        <v>2080</v>
      </c>
      <c r="AF371" s="8"/>
      <c r="AG371" s="8">
        <v>2.0668835E7</v>
      </c>
      <c r="AH371" s="8" t="s">
        <v>2812</v>
      </c>
      <c r="AI371" s="8" t="s">
        <v>447</v>
      </c>
      <c r="AJ371" s="8" t="s">
        <v>2813</v>
      </c>
      <c r="AK371" s="8" t="s">
        <v>2814</v>
      </c>
      <c r="AL371" s="8" t="s">
        <v>2815</v>
      </c>
      <c r="AM371" s="8" t="s">
        <v>2763</v>
      </c>
    </row>
    <row r="372" ht="14.25" customHeight="1">
      <c r="A372" s="8">
        <v>232.0</v>
      </c>
      <c r="B372" s="8" t="s">
        <v>5193</v>
      </c>
      <c r="C372" s="8"/>
      <c r="D372" s="8"/>
      <c r="E372" s="8"/>
      <c r="F372" s="8"/>
      <c r="G372" s="8"/>
      <c r="H372" s="7">
        <v>45784.0</v>
      </c>
      <c r="I372" s="7">
        <v>45784.0</v>
      </c>
      <c r="J372" s="8" t="s">
        <v>5194</v>
      </c>
      <c r="K372" s="8" t="s">
        <v>2089</v>
      </c>
      <c r="L372" s="8">
        <v>2011.0</v>
      </c>
      <c r="M372" s="8"/>
      <c r="N372" s="8"/>
      <c r="O372" s="8"/>
      <c r="P372" s="8"/>
      <c r="Q372" s="9">
        <v>40667.0</v>
      </c>
      <c r="R372" s="8" t="s">
        <v>2090</v>
      </c>
      <c r="S372" s="8"/>
      <c r="T372" s="8"/>
      <c r="U372" s="8"/>
      <c r="V372" s="8"/>
      <c r="W372" s="8"/>
      <c r="X372" s="8"/>
      <c r="Y372" s="8" t="s">
        <v>2089</v>
      </c>
      <c r="Z372" s="8" t="s">
        <v>5195</v>
      </c>
      <c r="AA372" s="8"/>
      <c r="AB372" s="8"/>
      <c r="AC372" s="8"/>
      <c r="AD372" s="8" t="s">
        <v>2080</v>
      </c>
      <c r="AE372" s="8" t="s">
        <v>2080</v>
      </c>
      <c r="AF372" s="8"/>
      <c r="AG372" s="8"/>
      <c r="AH372" s="8" t="s">
        <v>5196</v>
      </c>
      <c r="AI372" s="8"/>
      <c r="AJ372" s="8" t="s">
        <v>5197</v>
      </c>
      <c r="AK372" s="8" t="s">
        <v>5198</v>
      </c>
      <c r="AL372" s="8"/>
      <c r="AM372" s="8" t="s">
        <v>2095</v>
      </c>
    </row>
    <row r="373" ht="14.25" customHeight="1">
      <c r="A373" s="8">
        <v>233.0</v>
      </c>
      <c r="B373" s="8" t="s">
        <v>2816</v>
      </c>
      <c r="C373" s="8"/>
      <c r="D373" s="8" t="s">
        <v>2817</v>
      </c>
      <c r="E373" s="8" t="s">
        <v>2818</v>
      </c>
      <c r="F373" s="8" t="s">
        <v>2819</v>
      </c>
      <c r="G373" s="8"/>
      <c r="H373" s="7">
        <v>40660.0</v>
      </c>
      <c r="I373" s="7">
        <v>40665.0</v>
      </c>
      <c r="J373" s="8" t="s">
        <v>2820</v>
      </c>
      <c r="K373" s="8" t="s">
        <v>2241</v>
      </c>
      <c r="L373" s="8">
        <v>2011.0</v>
      </c>
      <c r="M373" s="8">
        <v>27.0</v>
      </c>
      <c r="N373" s="8">
        <v>5.0</v>
      </c>
      <c r="O373" s="8">
        <v>653.0</v>
      </c>
      <c r="P373" s="8">
        <v>665.0</v>
      </c>
      <c r="Q373" s="10">
        <v>46153.0</v>
      </c>
      <c r="R373" s="8" t="s">
        <v>2075</v>
      </c>
      <c r="S373" s="8"/>
      <c r="T373" s="8"/>
      <c r="U373" s="8"/>
      <c r="V373" s="8"/>
      <c r="W373" s="8" t="s">
        <v>2821</v>
      </c>
      <c r="X373" s="8"/>
      <c r="Y373" s="8" t="s">
        <v>2822</v>
      </c>
      <c r="Z373" s="8" t="s">
        <v>2823</v>
      </c>
      <c r="AA373" s="8"/>
      <c r="AB373" s="8"/>
      <c r="AC373" s="8"/>
      <c r="AD373" s="8" t="s">
        <v>2080</v>
      </c>
      <c r="AE373" s="8" t="s">
        <v>2080</v>
      </c>
      <c r="AF373" s="8">
        <v>2.011213919E9</v>
      </c>
      <c r="AG373" s="8">
        <v>2.1663722E7</v>
      </c>
      <c r="AH373" s="8" t="s">
        <v>2824</v>
      </c>
      <c r="AI373" s="8" t="s">
        <v>421</v>
      </c>
      <c r="AJ373" s="8" t="s">
        <v>2825</v>
      </c>
      <c r="AK373" s="8" t="s">
        <v>2826</v>
      </c>
      <c r="AL373" s="8" t="s">
        <v>2827</v>
      </c>
      <c r="AM373" s="8" t="s">
        <v>2828</v>
      </c>
    </row>
    <row r="374" ht="14.25" customHeight="1">
      <c r="A374" s="8">
        <v>234.0</v>
      </c>
      <c r="B374" s="8" t="s">
        <v>5199</v>
      </c>
      <c r="C374" s="8"/>
      <c r="D374" s="8" t="s">
        <v>5200</v>
      </c>
      <c r="E374" s="8" t="s">
        <v>5201</v>
      </c>
      <c r="F374" s="8" t="s">
        <v>5202</v>
      </c>
      <c r="G374" s="8"/>
      <c r="H374" s="7">
        <v>40703.0</v>
      </c>
      <c r="I374" s="7">
        <v>40707.0</v>
      </c>
      <c r="J374" s="8" t="s">
        <v>5203</v>
      </c>
      <c r="K374" s="8" t="s">
        <v>2241</v>
      </c>
      <c r="L374" s="8">
        <v>2011.0</v>
      </c>
      <c r="M374" s="8">
        <v>27.0</v>
      </c>
      <c r="N374" s="8">
        <v>6.0</v>
      </c>
      <c r="O374" s="8">
        <v>776.0</v>
      </c>
      <c r="P374" s="8">
        <v>783.0</v>
      </c>
      <c r="Q374" s="10">
        <v>46184.0</v>
      </c>
      <c r="R374" s="8" t="s">
        <v>2075</v>
      </c>
      <c r="S374" s="8"/>
      <c r="T374" s="8"/>
      <c r="U374" s="8"/>
      <c r="V374" s="8"/>
      <c r="W374" s="8" t="s">
        <v>2242</v>
      </c>
      <c r="X374" s="8"/>
      <c r="Y374" s="8" t="s">
        <v>2243</v>
      </c>
      <c r="Z374" s="8" t="s">
        <v>5204</v>
      </c>
      <c r="AA374" s="8"/>
      <c r="AB374" s="8"/>
      <c r="AC374" s="8"/>
      <c r="AD374" s="8" t="s">
        <v>2080</v>
      </c>
      <c r="AE374" s="8" t="s">
        <v>2080</v>
      </c>
      <c r="AF374" s="8">
        <v>2.011302845E9</v>
      </c>
      <c r="AG374" s="8">
        <v>2.1624672E7</v>
      </c>
      <c r="AH374" s="8" t="s">
        <v>5205</v>
      </c>
      <c r="AI374" s="8" t="s">
        <v>1564</v>
      </c>
      <c r="AJ374" s="8" t="s">
        <v>5206</v>
      </c>
      <c r="AK374" s="8" t="s">
        <v>5207</v>
      </c>
      <c r="AL374" s="8" t="s">
        <v>5208</v>
      </c>
      <c r="AM374" s="8" t="s">
        <v>2504</v>
      </c>
    </row>
    <row r="375" ht="14.25" customHeight="1">
      <c r="A375" s="8">
        <v>235.0</v>
      </c>
      <c r="B375" s="8" t="s">
        <v>2839</v>
      </c>
      <c r="C375" s="8"/>
      <c r="D375" s="8" t="s">
        <v>2840</v>
      </c>
      <c r="E375" s="8" t="s">
        <v>2841</v>
      </c>
      <c r="F375" s="8" t="s">
        <v>2842</v>
      </c>
      <c r="G375" s="8"/>
      <c r="H375" s="8"/>
      <c r="I375" s="7">
        <v>40641.0</v>
      </c>
      <c r="J375" s="8" t="s">
        <v>2843</v>
      </c>
      <c r="K375" s="8" t="s">
        <v>2755</v>
      </c>
      <c r="L375" s="8">
        <v>2010.0</v>
      </c>
      <c r="M375" s="8">
        <v>18.0</v>
      </c>
      <c r="N375" s="8">
        <v>8.0</v>
      </c>
      <c r="O375" s="8">
        <v>1085.0</v>
      </c>
      <c r="P375" s="8">
        <v>1093.0</v>
      </c>
      <c r="Q375" s="8">
        <v>2010.0</v>
      </c>
      <c r="R375" s="8" t="s">
        <v>2075</v>
      </c>
      <c r="S375" s="8"/>
      <c r="T375" s="8"/>
      <c r="U375" s="8"/>
      <c r="V375" s="8"/>
      <c r="W375" s="8" t="s">
        <v>2756</v>
      </c>
      <c r="X375" s="8"/>
      <c r="Y375" s="8" t="s">
        <v>2757</v>
      </c>
      <c r="Z375" s="8" t="s">
        <v>2844</v>
      </c>
      <c r="AA375" s="8"/>
      <c r="AB375" s="8"/>
      <c r="AC375" s="8"/>
      <c r="AD375" s="8" t="s">
        <v>2080</v>
      </c>
      <c r="AE375" s="8" t="s">
        <v>2080</v>
      </c>
      <c r="AF375" s="8"/>
      <c r="AG375" s="8">
        <v>1.9956928E7</v>
      </c>
      <c r="AH375" s="8" t="s">
        <v>2845</v>
      </c>
      <c r="AI375" s="8" t="s">
        <v>470</v>
      </c>
      <c r="AJ375" s="8" t="s">
        <v>2846</v>
      </c>
      <c r="AK375" s="8" t="s">
        <v>2847</v>
      </c>
      <c r="AL375" s="8" t="s">
        <v>2848</v>
      </c>
      <c r="AM375" s="8" t="s">
        <v>2763</v>
      </c>
    </row>
    <row r="376" ht="14.25" customHeight="1">
      <c r="A376" s="8">
        <v>236.0</v>
      </c>
      <c r="B376" s="8" t="s">
        <v>5209</v>
      </c>
      <c r="C376" s="8"/>
      <c r="D376" s="8" t="s">
        <v>5210</v>
      </c>
      <c r="E376" s="8" t="s">
        <v>5211</v>
      </c>
      <c r="F376" s="8" t="s">
        <v>5212</v>
      </c>
      <c r="G376" s="8"/>
      <c r="H376" s="8"/>
      <c r="I376" s="7">
        <v>40919.0</v>
      </c>
      <c r="J376" s="8" t="s">
        <v>5213</v>
      </c>
      <c r="K376" s="8" t="s">
        <v>2128</v>
      </c>
      <c r="L376" s="8">
        <v>2010.0</v>
      </c>
      <c r="M376" s="8">
        <v>38.0</v>
      </c>
      <c r="N376" s="8">
        <v>8.0</v>
      </c>
      <c r="O376" s="8">
        <v>1598.0</v>
      </c>
      <c r="P376" s="8">
        <v>1605.0</v>
      </c>
      <c r="Q376" s="10">
        <v>46244.0</v>
      </c>
      <c r="R376" s="8" t="s">
        <v>2075</v>
      </c>
      <c r="S376" s="8"/>
      <c r="T376" s="8"/>
      <c r="U376" s="8"/>
      <c r="V376" s="8"/>
      <c r="W376" s="8" t="s">
        <v>2129</v>
      </c>
      <c r="X376" s="8"/>
      <c r="Y376" s="8"/>
      <c r="Z376" s="8" t="s">
        <v>5214</v>
      </c>
      <c r="AA376" s="8"/>
      <c r="AB376" s="8"/>
      <c r="AC376" s="8"/>
      <c r="AD376" s="8" t="s">
        <v>2080</v>
      </c>
      <c r="AE376" s="8"/>
      <c r="AF376" s="8"/>
      <c r="AG376" s="8">
        <v>2.039297E7</v>
      </c>
      <c r="AH376" s="8" t="s">
        <v>5215</v>
      </c>
      <c r="AI376" s="8"/>
      <c r="AJ376" s="8"/>
      <c r="AK376" s="8" t="s">
        <v>5216</v>
      </c>
      <c r="AL376" s="8" t="s">
        <v>5217</v>
      </c>
      <c r="AM376" s="8" t="s">
        <v>2763</v>
      </c>
    </row>
    <row r="377" ht="14.25" customHeight="1">
      <c r="A377" s="8">
        <v>237.0</v>
      </c>
      <c r="B377" s="8" t="s">
        <v>2860</v>
      </c>
      <c r="C377" s="8"/>
      <c r="D377" s="8" t="s">
        <v>2861</v>
      </c>
      <c r="E377" s="8" t="s">
        <v>2862</v>
      </c>
      <c r="F377" s="8" t="s">
        <v>2863</v>
      </c>
      <c r="G377" s="8"/>
      <c r="H377" s="8"/>
      <c r="I377" s="7">
        <v>40919.0</v>
      </c>
      <c r="J377" s="8" t="s">
        <v>2864</v>
      </c>
      <c r="K377" s="8" t="s">
        <v>2128</v>
      </c>
      <c r="L377" s="8">
        <v>2010.0</v>
      </c>
      <c r="M377" s="8">
        <v>38.0</v>
      </c>
      <c r="N377" s="8">
        <v>8.0</v>
      </c>
      <c r="O377" s="8">
        <v>1533.0</v>
      </c>
      <c r="P377" s="8">
        <v>1541.0</v>
      </c>
      <c r="Q377" s="10">
        <v>46244.0</v>
      </c>
      <c r="R377" s="8" t="s">
        <v>2075</v>
      </c>
      <c r="S377" s="8"/>
      <c r="T377" s="8"/>
      <c r="U377" s="8"/>
      <c r="V377" s="8"/>
      <c r="W377" s="8" t="s">
        <v>2129</v>
      </c>
      <c r="X377" s="8"/>
      <c r="Y377" s="8"/>
      <c r="Z377" s="8" t="s">
        <v>2865</v>
      </c>
      <c r="AA377" s="8"/>
      <c r="AB377" s="8"/>
      <c r="AC377" s="8"/>
      <c r="AD377" s="8" t="s">
        <v>2080</v>
      </c>
      <c r="AE377" s="8"/>
      <c r="AF377" s="8"/>
      <c r="AG377" s="8">
        <v>2.0566719E7</v>
      </c>
      <c r="AH377" s="8" t="s">
        <v>2866</v>
      </c>
      <c r="AI377" s="8"/>
      <c r="AJ377" s="8"/>
      <c r="AK377" s="8" t="s">
        <v>2867</v>
      </c>
      <c r="AL377" s="8" t="s">
        <v>2868</v>
      </c>
      <c r="AM377" s="8" t="s">
        <v>2763</v>
      </c>
    </row>
    <row r="378" ht="14.25" customHeight="1">
      <c r="A378" s="8">
        <v>238.0</v>
      </c>
      <c r="B378" s="8" t="s">
        <v>5218</v>
      </c>
      <c r="C378" s="8"/>
      <c r="D378" s="8"/>
      <c r="E378" s="8"/>
      <c r="F378" s="8"/>
      <c r="G378" s="8"/>
      <c r="H378" s="7">
        <v>45805.0</v>
      </c>
      <c r="I378" s="7">
        <v>45805.0</v>
      </c>
      <c r="J378" s="8" t="s">
        <v>5219</v>
      </c>
      <c r="K378" s="8" t="s">
        <v>2089</v>
      </c>
      <c r="L378" s="8">
        <v>2010.0</v>
      </c>
      <c r="M378" s="8"/>
      <c r="N378" s="8"/>
      <c r="O378" s="8"/>
      <c r="P378" s="8"/>
      <c r="Q378" s="9">
        <v>40382.0</v>
      </c>
      <c r="R378" s="8" t="s">
        <v>2090</v>
      </c>
      <c r="S378" s="8"/>
      <c r="T378" s="8"/>
      <c r="U378" s="8"/>
      <c r="V378" s="8"/>
      <c r="W378" s="8"/>
      <c r="X378" s="8"/>
      <c r="Y378" s="8" t="s">
        <v>2089</v>
      </c>
      <c r="Z378" s="8" t="s">
        <v>5220</v>
      </c>
      <c r="AA378" s="8"/>
      <c r="AB378" s="8"/>
      <c r="AC378" s="8"/>
      <c r="AD378" s="8" t="s">
        <v>2080</v>
      </c>
      <c r="AE378" s="8" t="s">
        <v>2080</v>
      </c>
      <c r="AF378" s="8"/>
      <c r="AG378" s="8"/>
      <c r="AH378" s="8" t="s">
        <v>5221</v>
      </c>
      <c r="AI378" s="8"/>
      <c r="AJ378" s="8" t="s">
        <v>5222</v>
      </c>
      <c r="AK378" s="8" t="s">
        <v>5223</v>
      </c>
      <c r="AL378" s="8"/>
      <c r="AM378" s="8" t="s">
        <v>2095</v>
      </c>
    </row>
    <row r="379" ht="14.25" customHeight="1">
      <c r="A379" s="8">
        <v>239.0</v>
      </c>
      <c r="B379" s="8" t="s">
        <v>5224</v>
      </c>
      <c r="C379" s="8"/>
      <c r="D379" s="8" t="s">
        <v>5225</v>
      </c>
      <c r="E379" s="8" t="s">
        <v>5226</v>
      </c>
      <c r="F379" s="8" t="s">
        <v>5227</v>
      </c>
      <c r="G379" s="8"/>
      <c r="H379" s="7">
        <v>40410.0</v>
      </c>
      <c r="I379" s="7">
        <v>40422.0</v>
      </c>
      <c r="J379" s="8" t="s">
        <v>5228</v>
      </c>
      <c r="K379" s="8" t="s">
        <v>5229</v>
      </c>
      <c r="L379" s="8">
        <v>2010.0</v>
      </c>
      <c r="M379" s="8">
        <v>122.0</v>
      </c>
      <c r="N379" s="8" t="s">
        <v>5230</v>
      </c>
      <c r="O379" s="8">
        <v>91.0</v>
      </c>
      <c r="P379" s="8">
        <v>95.0</v>
      </c>
      <c r="Q379" s="10">
        <v>46152.0</v>
      </c>
      <c r="R379" s="8" t="s">
        <v>2075</v>
      </c>
      <c r="S379" s="8"/>
      <c r="T379" s="8"/>
      <c r="U379" s="8"/>
      <c r="V379" s="8"/>
      <c r="W379" s="8" t="s">
        <v>5231</v>
      </c>
      <c r="X379" s="8"/>
      <c r="Y379" s="8" t="s">
        <v>5232</v>
      </c>
      <c r="Z379" s="8" t="s">
        <v>5233</v>
      </c>
      <c r="AA379" s="8" t="s">
        <v>5234</v>
      </c>
      <c r="AB379" s="8"/>
      <c r="AC379" s="8"/>
      <c r="AD379" s="8" t="s">
        <v>2080</v>
      </c>
      <c r="AE379" s="8" t="s">
        <v>2080</v>
      </c>
      <c r="AF379" s="8">
        <v>2.010437696E9</v>
      </c>
      <c r="AG379" s="8">
        <v>2.051768E7</v>
      </c>
      <c r="AH379" s="8" t="s">
        <v>5235</v>
      </c>
      <c r="AI379" s="8" t="s">
        <v>1603</v>
      </c>
      <c r="AJ379" s="8" t="s">
        <v>5236</v>
      </c>
      <c r="AK379" s="8" t="s">
        <v>5237</v>
      </c>
      <c r="AL379" s="8" t="s">
        <v>5238</v>
      </c>
      <c r="AM379" s="8" t="s">
        <v>2828</v>
      </c>
    </row>
    <row r="380" ht="14.25" customHeight="1">
      <c r="A380" s="8">
        <v>240.0</v>
      </c>
      <c r="B380" s="8" t="s">
        <v>1609</v>
      </c>
      <c r="C380" s="8"/>
      <c r="D380" s="8" t="s">
        <v>5239</v>
      </c>
      <c r="E380" s="8" t="s">
        <v>5240</v>
      </c>
      <c r="F380" s="8" t="s">
        <v>5241</v>
      </c>
      <c r="G380" s="8"/>
      <c r="H380" s="7">
        <v>40287.0</v>
      </c>
      <c r="I380" s="7">
        <v>40323.0</v>
      </c>
      <c r="J380" s="8" t="s">
        <v>5242</v>
      </c>
      <c r="K380" s="8" t="s">
        <v>3201</v>
      </c>
      <c r="L380" s="8">
        <v>2010.0</v>
      </c>
      <c r="M380" s="8">
        <v>92.0</v>
      </c>
      <c r="N380" s="8">
        <v>4.0</v>
      </c>
      <c r="O380" s="8">
        <v>521.0</v>
      </c>
      <c r="P380" s="8">
        <v>526.0</v>
      </c>
      <c r="Q380" s="10">
        <v>46122.0</v>
      </c>
      <c r="R380" s="8" t="s">
        <v>2075</v>
      </c>
      <c r="S380" s="8"/>
      <c r="T380" s="8"/>
      <c r="U380" s="8"/>
      <c r="V380" s="8"/>
      <c r="W380" s="8" t="s">
        <v>3202</v>
      </c>
      <c r="X380" s="8"/>
      <c r="Y380" s="8" t="s">
        <v>3203</v>
      </c>
      <c r="Z380" s="8" t="s">
        <v>5243</v>
      </c>
      <c r="AA380" s="8"/>
      <c r="AB380" s="8"/>
      <c r="AC380" s="8"/>
      <c r="AD380" s="8" t="s">
        <v>2080</v>
      </c>
      <c r="AE380" s="8" t="s">
        <v>2080</v>
      </c>
      <c r="AF380" s="8">
        <v>2.010213748E9</v>
      </c>
      <c r="AG380" s="8">
        <v>2.0357328E7</v>
      </c>
      <c r="AH380" s="8" t="s">
        <v>5244</v>
      </c>
      <c r="AI380" s="8" t="s">
        <v>1613</v>
      </c>
      <c r="AJ380" s="8" t="s">
        <v>5245</v>
      </c>
      <c r="AK380" s="8" t="s">
        <v>5246</v>
      </c>
      <c r="AL380" s="8" t="s">
        <v>5247</v>
      </c>
      <c r="AM380" s="8" t="s">
        <v>2900</v>
      </c>
    </row>
    <row r="381" ht="14.25" customHeight="1">
      <c r="A381" s="8">
        <v>241.0</v>
      </c>
      <c r="B381" s="8" t="s">
        <v>1593</v>
      </c>
      <c r="C381" s="8"/>
      <c r="D381" s="8" t="s">
        <v>5248</v>
      </c>
      <c r="E381" s="8" t="s">
        <v>5249</v>
      </c>
      <c r="F381" s="8" t="s">
        <v>5250</v>
      </c>
      <c r="G381" s="8"/>
      <c r="H381" s="8"/>
      <c r="I381" s="7">
        <v>40472.0</v>
      </c>
      <c r="J381" s="8" t="s">
        <v>5251</v>
      </c>
      <c r="K381" s="8" t="s">
        <v>5252</v>
      </c>
      <c r="L381" s="8">
        <v>2010.0</v>
      </c>
      <c r="M381" s="8">
        <v>80.0</v>
      </c>
      <c r="N381" s="8">
        <v>3.0</v>
      </c>
      <c r="O381" s="8">
        <v>162.0</v>
      </c>
      <c r="P381" s="8">
        <v>165.0</v>
      </c>
      <c r="Q381" s="10">
        <v>46091.0</v>
      </c>
      <c r="R381" s="8" t="s">
        <v>2075</v>
      </c>
      <c r="S381" s="8"/>
      <c r="T381" s="8"/>
      <c r="U381" s="8"/>
      <c r="V381" s="8"/>
      <c r="W381" s="8" t="s">
        <v>5253</v>
      </c>
      <c r="X381" s="8"/>
      <c r="Y381" s="8" t="s">
        <v>5254</v>
      </c>
      <c r="Z381" s="8" t="s">
        <v>5255</v>
      </c>
      <c r="AA381" s="8"/>
      <c r="AB381" s="8"/>
      <c r="AC381" s="8"/>
      <c r="AD381" s="8" t="s">
        <v>2080</v>
      </c>
      <c r="AE381" s="8" t="s">
        <v>2080</v>
      </c>
      <c r="AF381" s="8"/>
      <c r="AG381" s="8">
        <v>2.0575918E7</v>
      </c>
      <c r="AH381" s="8" t="s">
        <v>5256</v>
      </c>
      <c r="AI381" s="8" t="s">
        <v>1598</v>
      </c>
      <c r="AJ381" s="8" t="s">
        <v>5257</v>
      </c>
      <c r="AK381" s="8" t="s">
        <v>5258</v>
      </c>
      <c r="AL381" s="8" t="s">
        <v>5259</v>
      </c>
      <c r="AM381" s="8" t="s">
        <v>2763</v>
      </c>
    </row>
    <row r="382" ht="14.25" customHeight="1">
      <c r="A382" s="8">
        <v>242.0</v>
      </c>
      <c r="B382" s="8" t="s">
        <v>5260</v>
      </c>
      <c r="C382" s="8"/>
      <c r="D382" s="8" t="s">
        <v>5261</v>
      </c>
      <c r="E382" s="8" t="s">
        <v>5262</v>
      </c>
      <c r="F382" s="8" t="s">
        <v>5263</v>
      </c>
      <c r="G382" s="8"/>
      <c r="H382" s="8"/>
      <c r="I382" s="7">
        <v>40347.0</v>
      </c>
      <c r="J382" s="8" t="s">
        <v>5264</v>
      </c>
      <c r="K382" s="8" t="s">
        <v>2128</v>
      </c>
      <c r="L382" s="8">
        <v>2010.0</v>
      </c>
      <c r="M382" s="8">
        <v>38.0</v>
      </c>
      <c r="N382" s="8">
        <v>3.0</v>
      </c>
      <c r="O382" s="8">
        <v>501.0</v>
      </c>
      <c r="P382" s="8">
        <v>508.0</v>
      </c>
      <c r="Q382" s="10">
        <v>46091.0</v>
      </c>
      <c r="R382" s="8" t="s">
        <v>2075</v>
      </c>
      <c r="S382" s="8"/>
      <c r="T382" s="8"/>
      <c r="U382" s="8"/>
      <c r="V382" s="8"/>
      <c r="W382" s="8" t="s">
        <v>2129</v>
      </c>
      <c r="X382" s="8"/>
      <c r="Y382" s="8"/>
      <c r="Z382" s="8" t="s">
        <v>5265</v>
      </c>
      <c r="AA382" s="8"/>
      <c r="AB382" s="8"/>
      <c r="AC382" s="8"/>
      <c r="AD382" s="8" t="s">
        <v>2080</v>
      </c>
      <c r="AE382" s="8"/>
      <c r="AF382" s="8"/>
      <c r="AG382" s="8">
        <v>2.0044497E7</v>
      </c>
      <c r="AH382" s="8" t="s">
        <v>5266</v>
      </c>
      <c r="AI382" s="8"/>
      <c r="AJ382" s="8"/>
      <c r="AK382" s="8" t="s">
        <v>5267</v>
      </c>
      <c r="AL382" s="8" t="s">
        <v>5268</v>
      </c>
      <c r="AM382" s="8" t="s">
        <v>2763</v>
      </c>
    </row>
    <row r="383" ht="14.25" customHeight="1">
      <c r="A383" s="8">
        <v>243.0</v>
      </c>
      <c r="B383" s="8" t="s">
        <v>2869</v>
      </c>
      <c r="C383" s="8"/>
      <c r="D383" s="8" t="s">
        <v>2870</v>
      </c>
      <c r="E383" s="8" t="s">
        <v>2871</v>
      </c>
      <c r="F383" s="8" t="s">
        <v>2872</v>
      </c>
      <c r="G383" s="8"/>
      <c r="H383" s="8"/>
      <c r="I383" s="7">
        <v>40347.0</v>
      </c>
      <c r="J383" s="8" t="s">
        <v>2873</v>
      </c>
      <c r="K383" s="8" t="s">
        <v>2128</v>
      </c>
      <c r="L383" s="8">
        <v>2010.0</v>
      </c>
      <c r="M383" s="8">
        <v>38.0</v>
      </c>
      <c r="N383" s="8">
        <v>3.0</v>
      </c>
      <c r="O383" s="8">
        <v>448.0</v>
      </c>
      <c r="P383" s="8">
        <v>454.0</v>
      </c>
      <c r="Q383" s="10">
        <v>46091.0</v>
      </c>
      <c r="R383" s="8" t="s">
        <v>2075</v>
      </c>
      <c r="S383" s="8"/>
      <c r="T383" s="8"/>
      <c r="U383" s="8"/>
      <c r="V383" s="8"/>
      <c r="W383" s="8" t="s">
        <v>2129</v>
      </c>
      <c r="X383" s="8"/>
      <c r="Y383" s="8"/>
      <c r="Z383" s="8" t="s">
        <v>2874</v>
      </c>
      <c r="AA383" s="8"/>
      <c r="AB383" s="8"/>
      <c r="AC383" s="8"/>
      <c r="AD383" s="8" t="s">
        <v>2080</v>
      </c>
      <c r="AE383" s="8"/>
      <c r="AF383" s="8"/>
      <c r="AG383" s="8">
        <v>2.0097928E7</v>
      </c>
      <c r="AH383" s="8" t="s">
        <v>2875</v>
      </c>
      <c r="AI383" s="8"/>
      <c r="AJ383" s="8"/>
      <c r="AK383" s="8" t="s">
        <v>2876</v>
      </c>
      <c r="AL383" s="8" t="s">
        <v>2877</v>
      </c>
      <c r="AM383" s="8" t="s">
        <v>2763</v>
      </c>
    </row>
    <row r="384" ht="14.25" customHeight="1">
      <c r="A384" s="8">
        <v>244.0</v>
      </c>
      <c r="B384" s="8" t="s">
        <v>2878</v>
      </c>
      <c r="C384" s="8"/>
      <c r="D384" s="8" t="s">
        <v>2879</v>
      </c>
      <c r="E384" s="8" t="s">
        <v>2880</v>
      </c>
      <c r="F384" s="8" t="s">
        <v>2881</v>
      </c>
      <c r="G384" s="8"/>
      <c r="H384" s="8"/>
      <c r="I384" s="7">
        <v>40347.0</v>
      </c>
      <c r="J384" s="8" t="s">
        <v>2882</v>
      </c>
      <c r="K384" s="8" t="s">
        <v>2128</v>
      </c>
      <c r="L384" s="8">
        <v>2010.0</v>
      </c>
      <c r="M384" s="8">
        <v>38.0</v>
      </c>
      <c r="N384" s="8">
        <v>3.0</v>
      </c>
      <c r="O384" s="8">
        <v>492.0</v>
      </c>
      <c r="P384" s="8">
        <v>500.0</v>
      </c>
      <c r="Q384" s="10">
        <v>46091.0</v>
      </c>
      <c r="R384" s="8" t="s">
        <v>2075</v>
      </c>
      <c r="S384" s="8"/>
      <c r="T384" s="8"/>
      <c r="U384" s="8"/>
      <c r="V384" s="8"/>
      <c r="W384" s="8" t="s">
        <v>2129</v>
      </c>
      <c r="X384" s="8"/>
      <c r="Y384" s="8"/>
      <c r="Z384" s="8" t="s">
        <v>2883</v>
      </c>
      <c r="AA384" s="8"/>
      <c r="AB384" s="8"/>
      <c r="AC384" s="8"/>
      <c r="AD384" s="8" t="s">
        <v>2080</v>
      </c>
      <c r="AE384" s="8"/>
      <c r="AF384" s="8"/>
      <c r="AG384" s="8">
        <v>2.0194956E7</v>
      </c>
      <c r="AH384" s="8" t="s">
        <v>2884</v>
      </c>
      <c r="AI384" s="8"/>
      <c r="AJ384" s="8"/>
      <c r="AK384" s="8" t="s">
        <v>2885</v>
      </c>
      <c r="AL384" s="8" t="s">
        <v>2886</v>
      </c>
      <c r="AM384" s="8" t="s">
        <v>2763</v>
      </c>
    </row>
    <row r="385" ht="14.25" customHeight="1">
      <c r="A385" s="8">
        <v>245.0</v>
      </c>
      <c r="B385" s="8" t="s">
        <v>1593</v>
      </c>
      <c r="C385" s="8"/>
      <c r="D385" s="8" t="s">
        <v>5248</v>
      </c>
      <c r="E385" s="8" t="s">
        <v>5269</v>
      </c>
      <c r="F385" s="8"/>
      <c r="G385" s="8"/>
      <c r="H385" s="8"/>
      <c r="I385" s="7">
        <v>40238.0</v>
      </c>
      <c r="J385" s="8" t="s">
        <v>5270</v>
      </c>
      <c r="K385" s="8" t="s">
        <v>5271</v>
      </c>
      <c r="L385" s="8">
        <v>2010.0</v>
      </c>
      <c r="M385" s="8">
        <v>80.0</v>
      </c>
      <c r="N385" s="8">
        <v>3.0</v>
      </c>
      <c r="O385" s="8">
        <v>162.0</v>
      </c>
      <c r="P385" s="8">
        <v>165.0</v>
      </c>
      <c r="Q385" s="9">
        <v>40238.0</v>
      </c>
      <c r="R385" s="8" t="s">
        <v>2075</v>
      </c>
      <c r="S385" s="8"/>
      <c r="T385" s="8"/>
      <c r="U385" s="8"/>
      <c r="V385" s="8"/>
      <c r="W385" s="8" t="s">
        <v>5272</v>
      </c>
      <c r="X385" s="8"/>
      <c r="Y385" s="8"/>
      <c r="Z385" s="8" t="s">
        <v>5273</v>
      </c>
      <c r="AA385" s="8"/>
      <c r="AB385" s="8"/>
      <c r="AC385" s="8"/>
      <c r="AD385" s="8" t="s">
        <v>2080</v>
      </c>
      <c r="AE385" s="8" t="s">
        <v>2080</v>
      </c>
      <c r="AF385" s="8"/>
      <c r="AG385" s="8">
        <v>2.0575918E7</v>
      </c>
      <c r="AH385" s="8" t="s">
        <v>5274</v>
      </c>
      <c r="AI385" s="8" t="s">
        <v>1598</v>
      </c>
      <c r="AJ385" s="8" t="s">
        <v>5257</v>
      </c>
      <c r="AK385" s="8" t="s">
        <v>5275</v>
      </c>
      <c r="AL385" s="8" t="s">
        <v>5276</v>
      </c>
      <c r="AM385" s="8" t="s">
        <v>2688</v>
      </c>
    </row>
    <row r="386" ht="14.25" customHeight="1">
      <c r="A386" s="8">
        <v>246.0</v>
      </c>
      <c r="B386" s="8" t="s">
        <v>1638</v>
      </c>
      <c r="C386" s="8"/>
      <c r="D386" s="8" t="s">
        <v>5277</v>
      </c>
      <c r="E386" s="8" t="s">
        <v>5278</v>
      </c>
      <c r="F386" s="8" t="s">
        <v>5279</v>
      </c>
      <c r="G386" s="8"/>
      <c r="H386" s="8"/>
      <c r="I386" s="7">
        <v>40641.0</v>
      </c>
      <c r="J386" s="8" t="s">
        <v>5280</v>
      </c>
      <c r="K386" s="8" t="s">
        <v>3044</v>
      </c>
      <c r="L386" s="8">
        <v>2010.0</v>
      </c>
      <c r="M386" s="8">
        <v>20.0</v>
      </c>
      <c r="N386" s="8">
        <v>1.0</v>
      </c>
      <c r="O386" s="8">
        <v>154.0</v>
      </c>
      <c r="P386" s="8">
        <v>164.0</v>
      </c>
      <c r="Q386" s="10">
        <v>46063.0</v>
      </c>
      <c r="R386" s="8" t="s">
        <v>2075</v>
      </c>
      <c r="S386" s="8"/>
      <c r="T386" s="8"/>
      <c r="U386" s="8"/>
      <c r="V386" s="8"/>
      <c r="W386" s="8" t="s">
        <v>3045</v>
      </c>
      <c r="X386" s="8"/>
      <c r="Y386" s="8" t="s">
        <v>5281</v>
      </c>
      <c r="Z386" s="8" t="s">
        <v>5282</v>
      </c>
      <c r="AA386" s="8"/>
      <c r="AB386" s="8"/>
      <c r="AC386" s="8"/>
      <c r="AD386" s="8" t="s">
        <v>2080</v>
      </c>
      <c r="AE386" s="8" t="s">
        <v>2080</v>
      </c>
      <c r="AF386" s="8"/>
      <c r="AG386" s="8">
        <v>1.9486478E7</v>
      </c>
      <c r="AH386" s="8" t="s">
        <v>5283</v>
      </c>
      <c r="AI386" s="8" t="s">
        <v>1642</v>
      </c>
      <c r="AJ386" s="8" t="s">
        <v>5284</v>
      </c>
      <c r="AK386" s="8" t="s">
        <v>5285</v>
      </c>
      <c r="AL386" s="8" t="s">
        <v>5286</v>
      </c>
      <c r="AM386" s="8" t="s">
        <v>2763</v>
      </c>
    </row>
    <row r="387" ht="14.25" customHeight="1">
      <c r="A387" s="8">
        <v>247.0</v>
      </c>
      <c r="B387" s="8" t="s">
        <v>5287</v>
      </c>
      <c r="C387" s="8"/>
      <c r="D387" s="8" t="s">
        <v>5288</v>
      </c>
      <c r="E387" s="8" t="s">
        <v>5289</v>
      </c>
      <c r="F387" s="8" t="s">
        <v>5290</v>
      </c>
      <c r="G387" s="8"/>
      <c r="H387" s="8"/>
      <c r="I387" s="7">
        <v>40609.0</v>
      </c>
      <c r="J387" s="8" t="s">
        <v>5291</v>
      </c>
      <c r="K387" s="8" t="s">
        <v>2128</v>
      </c>
      <c r="L387" s="8">
        <v>2010.0</v>
      </c>
      <c r="M387" s="8">
        <v>38.0</v>
      </c>
      <c r="N387" s="8">
        <v>1.0</v>
      </c>
      <c r="O387" s="8">
        <v>25.0</v>
      </c>
      <c r="P387" s="8">
        <v>34.0</v>
      </c>
      <c r="Q387" s="10">
        <v>46032.0</v>
      </c>
      <c r="R387" s="8" t="s">
        <v>2075</v>
      </c>
      <c r="S387" s="8"/>
      <c r="T387" s="8"/>
      <c r="U387" s="8"/>
      <c r="V387" s="8"/>
      <c r="W387" s="8" t="s">
        <v>2129</v>
      </c>
      <c r="X387" s="8"/>
      <c r="Y387" s="8"/>
      <c r="Z387" s="8" t="s">
        <v>5292</v>
      </c>
      <c r="AA387" s="8"/>
      <c r="AB387" s="8"/>
      <c r="AC387" s="8"/>
      <c r="AD387" s="8" t="s">
        <v>2080</v>
      </c>
      <c r="AE387" s="8"/>
      <c r="AF387" s="8"/>
      <c r="AG387" s="8">
        <v>1.9793927E7</v>
      </c>
      <c r="AH387" s="8" t="s">
        <v>5293</v>
      </c>
      <c r="AI387" s="8"/>
      <c r="AJ387" s="8"/>
      <c r="AK387" s="8" t="s">
        <v>5294</v>
      </c>
      <c r="AL387" s="8" t="s">
        <v>5295</v>
      </c>
      <c r="AM387" s="8" t="s">
        <v>2763</v>
      </c>
    </row>
    <row r="388" ht="14.25" customHeight="1">
      <c r="A388" s="8">
        <v>248.0</v>
      </c>
      <c r="B388" s="8" t="s">
        <v>5296</v>
      </c>
      <c r="C388" s="8"/>
      <c r="D388" s="8" t="s">
        <v>5297</v>
      </c>
      <c r="E388" s="8" t="s">
        <v>5298</v>
      </c>
      <c r="F388" s="8" t="s">
        <v>5299</v>
      </c>
      <c r="G388" s="8"/>
      <c r="H388" s="8"/>
      <c r="I388" s="7">
        <v>40172.0</v>
      </c>
      <c r="J388" s="8" t="s">
        <v>5300</v>
      </c>
      <c r="K388" s="8" t="s">
        <v>2892</v>
      </c>
      <c r="L388" s="8">
        <v>2009.0</v>
      </c>
      <c r="M388" s="8">
        <v>37.0</v>
      </c>
      <c r="N388" s="8">
        <v>9.0</v>
      </c>
      <c r="O388" s="8">
        <v>1692.0</v>
      </c>
      <c r="P388" s="8">
        <v>1698.0</v>
      </c>
      <c r="Q388" s="8">
        <v>2009.0</v>
      </c>
      <c r="R388" s="8" t="s">
        <v>2075</v>
      </c>
      <c r="S388" s="8"/>
      <c r="T388" s="8"/>
      <c r="U388" s="8"/>
      <c r="V388" s="8"/>
      <c r="W388" s="8" t="s">
        <v>2893</v>
      </c>
      <c r="X388" s="8"/>
      <c r="Y388" s="8" t="s">
        <v>2894</v>
      </c>
      <c r="Z388" s="8" t="s">
        <v>5301</v>
      </c>
      <c r="AA388" s="8"/>
      <c r="AB388" s="8"/>
      <c r="AC388" s="8" t="s">
        <v>5302</v>
      </c>
      <c r="AD388" s="8" t="s">
        <v>2080</v>
      </c>
      <c r="AE388" s="8" t="s">
        <v>2080</v>
      </c>
      <c r="AF388" s="8">
        <v>2.009613616E9</v>
      </c>
      <c r="AG388" s="8">
        <v>1.9483077E7</v>
      </c>
      <c r="AH388" s="8" t="s">
        <v>5303</v>
      </c>
      <c r="AI388" s="8" t="s">
        <v>1647</v>
      </c>
      <c r="AJ388" s="8" t="s">
        <v>5304</v>
      </c>
      <c r="AK388" s="8" t="s">
        <v>5305</v>
      </c>
      <c r="AL388" s="8" t="s">
        <v>5306</v>
      </c>
      <c r="AM388" s="8" t="s">
        <v>2900</v>
      </c>
    </row>
    <row r="389" ht="14.25" customHeight="1">
      <c r="A389" s="8">
        <v>249.0</v>
      </c>
      <c r="B389" s="8" t="s">
        <v>2887</v>
      </c>
      <c r="C389" s="8"/>
      <c r="D389" s="8" t="s">
        <v>2888</v>
      </c>
      <c r="E389" s="8" t="s">
        <v>2889</v>
      </c>
      <c r="F389" s="8" t="s">
        <v>2890</v>
      </c>
      <c r="G389" s="8"/>
      <c r="H389" s="8"/>
      <c r="I389" s="7">
        <v>40186.0</v>
      </c>
      <c r="J389" s="8" t="s">
        <v>2891</v>
      </c>
      <c r="K389" s="8" t="s">
        <v>2892</v>
      </c>
      <c r="L389" s="8">
        <v>2009.0</v>
      </c>
      <c r="M389" s="8">
        <v>37.0</v>
      </c>
      <c r="N389" s="8">
        <v>10.0</v>
      </c>
      <c r="O389" s="8">
        <v>1946.0</v>
      </c>
      <c r="P389" s="8">
        <v>1957.0</v>
      </c>
      <c r="Q389" s="8">
        <v>2009.0</v>
      </c>
      <c r="R389" s="8" t="s">
        <v>2075</v>
      </c>
      <c r="S389" s="8"/>
      <c r="T389" s="8"/>
      <c r="U389" s="8"/>
      <c r="V389" s="8"/>
      <c r="W389" s="8" t="s">
        <v>2893</v>
      </c>
      <c r="X389" s="8"/>
      <c r="Y389" s="8" t="s">
        <v>2894</v>
      </c>
      <c r="Z389" s="8" t="s">
        <v>2895</v>
      </c>
      <c r="AA389" s="8"/>
      <c r="AB389" s="8"/>
      <c r="AC389" s="8"/>
      <c r="AD389" s="8" t="s">
        <v>2080</v>
      </c>
      <c r="AE389" s="8" t="s">
        <v>2080</v>
      </c>
      <c r="AF389" s="8">
        <v>2.009613599E9</v>
      </c>
      <c r="AG389" s="8">
        <v>1.9684298E7</v>
      </c>
      <c r="AH389" s="8" t="s">
        <v>2896</v>
      </c>
      <c r="AI389" s="8" t="s">
        <v>485</v>
      </c>
      <c r="AJ389" s="8" t="s">
        <v>2897</v>
      </c>
      <c r="AK389" s="8" t="s">
        <v>2898</v>
      </c>
      <c r="AL389" s="8" t="s">
        <v>2899</v>
      </c>
      <c r="AM389" s="8" t="s">
        <v>2900</v>
      </c>
    </row>
    <row r="390" ht="14.25" customHeight="1">
      <c r="A390" s="8">
        <v>250.0</v>
      </c>
      <c r="B390" s="8" t="s">
        <v>486</v>
      </c>
      <c r="C390" s="8"/>
      <c r="D390" s="8" t="s">
        <v>2911</v>
      </c>
      <c r="E390" s="8" t="s">
        <v>2912</v>
      </c>
      <c r="F390" s="8" t="s">
        <v>2913</v>
      </c>
      <c r="G390" s="8"/>
      <c r="H390" s="8"/>
      <c r="I390" s="7">
        <v>40189.0</v>
      </c>
      <c r="J390" s="8" t="s">
        <v>2914</v>
      </c>
      <c r="K390" s="8" t="s">
        <v>2755</v>
      </c>
      <c r="L390" s="8">
        <v>2009.0</v>
      </c>
      <c r="M390" s="8">
        <v>17.0</v>
      </c>
      <c r="N390" s="8">
        <v>9.0</v>
      </c>
      <c r="O390" s="8">
        <v>1117.0</v>
      </c>
      <c r="P390" s="8">
        <v>1124.0</v>
      </c>
      <c r="Q390" s="10">
        <v>46274.0</v>
      </c>
      <c r="R390" s="8" t="s">
        <v>2075</v>
      </c>
      <c r="S390" s="8"/>
      <c r="T390" s="8"/>
      <c r="U390" s="8"/>
      <c r="V390" s="8"/>
      <c r="W390" s="8" t="s">
        <v>2756</v>
      </c>
      <c r="X390" s="8"/>
      <c r="Y390" s="8" t="s">
        <v>2757</v>
      </c>
      <c r="Z390" s="8" t="s">
        <v>2915</v>
      </c>
      <c r="AA390" s="8"/>
      <c r="AB390" s="8"/>
      <c r="AC390" s="8"/>
      <c r="AD390" s="8" t="s">
        <v>2080</v>
      </c>
      <c r="AE390" s="8" t="s">
        <v>2080</v>
      </c>
      <c r="AF390" s="8"/>
      <c r="AG390" s="8">
        <v>1.957518E7</v>
      </c>
      <c r="AH390" s="8" t="s">
        <v>2916</v>
      </c>
      <c r="AI390" s="8" t="s">
        <v>490</v>
      </c>
      <c r="AJ390" s="8" t="s">
        <v>2917</v>
      </c>
      <c r="AK390" s="8" t="s">
        <v>2918</v>
      </c>
      <c r="AL390" s="8" t="s">
        <v>2919</v>
      </c>
      <c r="AM390" s="8" t="s">
        <v>2763</v>
      </c>
    </row>
    <row r="391" ht="14.25" customHeight="1">
      <c r="A391" s="8">
        <v>251.0</v>
      </c>
      <c r="B391" s="8" t="s">
        <v>2920</v>
      </c>
      <c r="C391" s="8"/>
      <c r="D391" s="8" t="s">
        <v>2921</v>
      </c>
      <c r="E391" s="8" t="s">
        <v>2922</v>
      </c>
      <c r="F391" s="8" t="s">
        <v>2923</v>
      </c>
      <c r="G391" s="8"/>
      <c r="H391" s="8"/>
      <c r="I391" s="7">
        <v>39986.0</v>
      </c>
      <c r="J391" s="8" t="s">
        <v>2924</v>
      </c>
      <c r="K391" s="8" t="s">
        <v>2925</v>
      </c>
      <c r="L391" s="8">
        <v>2009.0</v>
      </c>
      <c r="M391" s="8">
        <v>92.0</v>
      </c>
      <c r="N391" s="8">
        <v>4.0</v>
      </c>
      <c r="O391" s="8">
        <v>491.0</v>
      </c>
      <c r="P391" s="8">
        <v>497.0</v>
      </c>
      <c r="Q391" s="10">
        <v>46121.0</v>
      </c>
      <c r="R391" s="8" t="s">
        <v>2075</v>
      </c>
      <c r="S391" s="8"/>
      <c r="T391" s="8"/>
      <c r="U391" s="8"/>
      <c r="V391" s="8"/>
      <c r="W391" s="8" t="s">
        <v>2926</v>
      </c>
      <c r="X391" s="8"/>
      <c r="Y391" s="8" t="s">
        <v>2927</v>
      </c>
      <c r="Z391" s="8" t="s">
        <v>2928</v>
      </c>
      <c r="AA391" s="8"/>
      <c r="AB391" s="8"/>
      <c r="AC391" s="8"/>
      <c r="AD391" s="8" t="s">
        <v>2080</v>
      </c>
      <c r="AE391" s="8" t="s">
        <v>2929</v>
      </c>
      <c r="AF391" s="8">
        <v>2.009229345E9</v>
      </c>
      <c r="AG391" s="8">
        <v>1.9374299E7</v>
      </c>
      <c r="AH391" s="8" t="s">
        <v>2930</v>
      </c>
      <c r="AI391" s="8"/>
      <c r="AJ391" s="8"/>
      <c r="AK391" s="8" t="s">
        <v>2931</v>
      </c>
      <c r="AL391" s="8" t="s">
        <v>2932</v>
      </c>
      <c r="AM391" s="8" t="s">
        <v>2828</v>
      </c>
    </row>
    <row r="392" ht="14.25" customHeight="1">
      <c r="A392" s="8">
        <v>252.0</v>
      </c>
      <c r="B392" s="8" t="s">
        <v>5307</v>
      </c>
      <c r="C392" s="8"/>
      <c r="D392" s="8" t="s">
        <v>5308</v>
      </c>
      <c r="E392" s="8" t="s">
        <v>5309</v>
      </c>
      <c r="F392" s="8" t="s">
        <v>5310</v>
      </c>
      <c r="G392" s="8"/>
      <c r="H392" s="8"/>
      <c r="I392" s="7">
        <v>40056.0</v>
      </c>
      <c r="J392" s="8" t="s">
        <v>5311</v>
      </c>
      <c r="K392" s="8" t="s">
        <v>5312</v>
      </c>
      <c r="L392" s="8">
        <v>2009.0</v>
      </c>
      <c r="M392" s="8">
        <v>122.0</v>
      </c>
      <c r="N392" s="8">
        <v>6.0</v>
      </c>
      <c r="O392" s="8">
        <v>706.0</v>
      </c>
      <c r="P392" s="8">
        <v>711.0</v>
      </c>
      <c r="Q392" s="9">
        <v>39892.0</v>
      </c>
      <c r="R392" s="8" t="s">
        <v>2075</v>
      </c>
      <c r="S392" s="8"/>
      <c r="T392" s="8"/>
      <c r="U392" s="8"/>
      <c r="V392" s="8"/>
      <c r="W392" s="8" t="s">
        <v>5313</v>
      </c>
      <c r="X392" s="8"/>
      <c r="Y392" s="8" t="s">
        <v>5314</v>
      </c>
      <c r="Z392" s="8" t="s">
        <v>5315</v>
      </c>
      <c r="AA392" s="8"/>
      <c r="AB392" s="8"/>
      <c r="AC392" s="8"/>
      <c r="AD392" s="8" t="s">
        <v>2080</v>
      </c>
      <c r="AE392" s="8" t="s">
        <v>2080</v>
      </c>
      <c r="AF392" s="8">
        <v>2.009413655E9</v>
      </c>
      <c r="AG392" s="8">
        <v>1.9323939E7</v>
      </c>
      <c r="AH392" s="8" t="s">
        <v>5316</v>
      </c>
      <c r="AI392" s="8" t="s">
        <v>5317</v>
      </c>
      <c r="AJ392" s="8" t="s">
        <v>5318</v>
      </c>
      <c r="AK392" s="8" t="s">
        <v>5319</v>
      </c>
      <c r="AL392" s="8" t="s">
        <v>5320</v>
      </c>
      <c r="AM392" s="8" t="s">
        <v>2978</v>
      </c>
    </row>
    <row r="393" ht="14.25" customHeight="1">
      <c r="A393" s="8">
        <v>253.0</v>
      </c>
      <c r="B393" s="8" t="s">
        <v>5321</v>
      </c>
      <c r="C393" s="8"/>
      <c r="D393" s="8" t="s">
        <v>5322</v>
      </c>
      <c r="E393" s="8" t="s">
        <v>5323</v>
      </c>
      <c r="F393" s="8" t="s">
        <v>5324</v>
      </c>
      <c r="G393" s="8"/>
      <c r="H393" s="8"/>
      <c r="I393" s="7">
        <v>40641.0</v>
      </c>
      <c r="J393" s="8" t="s">
        <v>5325</v>
      </c>
      <c r="K393" s="8" t="s">
        <v>2755</v>
      </c>
      <c r="L393" s="8">
        <v>2009.0</v>
      </c>
      <c r="M393" s="8">
        <v>18.0</v>
      </c>
      <c r="N393" s="8">
        <v>1.0</v>
      </c>
      <c r="O393" s="8">
        <v>32.0</v>
      </c>
      <c r="P393" s="8">
        <v>36.0</v>
      </c>
      <c r="Q393" s="10">
        <v>46031.0</v>
      </c>
      <c r="R393" s="8" t="s">
        <v>2075</v>
      </c>
      <c r="S393" s="8"/>
      <c r="T393" s="8"/>
      <c r="U393" s="8"/>
      <c r="V393" s="8"/>
      <c r="W393" s="8" t="s">
        <v>2756</v>
      </c>
      <c r="X393" s="8"/>
      <c r="Y393" s="8" t="s">
        <v>2757</v>
      </c>
      <c r="Z393" s="8" t="s">
        <v>5326</v>
      </c>
      <c r="AA393" s="8"/>
      <c r="AB393" s="8"/>
      <c r="AC393" s="8"/>
      <c r="AD393" s="8" t="s">
        <v>2080</v>
      </c>
      <c r="AE393" s="8" t="s">
        <v>2080</v>
      </c>
      <c r="AF393" s="8"/>
      <c r="AG393" s="8">
        <v>1.9557391E7</v>
      </c>
      <c r="AH393" s="8" t="s">
        <v>5327</v>
      </c>
      <c r="AI393" s="8" t="s">
        <v>1637</v>
      </c>
      <c r="AJ393" s="8" t="s">
        <v>5328</v>
      </c>
      <c r="AK393" s="8" t="s">
        <v>5329</v>
      </c>
      <c r="AL393" s="8" t="s">
        <v>5330</v>
      </c>
      <c r="AM393" s="8" t="s">
        <v>2763</v>
      </c>
    </row>
    <row r="394" ht="14.25" customHeight="1">
      <c r="A394" s="8">
        <v>254.0</v>
      </c>
      <c r="B394" s="8" t="s">
        <v>5331</v>
      </c>
      <c r="C394" s="8"/>
      <c r="D394" s="8" t="s">
        <v>5332</v>
      </c>
      <c r="E394" s="8" t="s">
        <v>5333</v>
      </c>
      <c r="F394" s="8" t="s">
        <v>5334</v>
      </c>
      <c r="G394" s="8"/>
      <c r="H394" s="8"/>
      <c r="I394" s="7">
        <v>39938.0</v>
      </c>
      <c r="J394" s="8" t="s">
        <v>5335</v>
      </c>
      <c r="K394" s="8" t="s">
        <v>2755</v>
      </c>
      <c r="L394" s="8">
        <v>2008.0</v>
      </c>
      <c r="M394" s="8">
        <v>16.0</v>
      </c>
      <c r="N394" s="8">
        <v>12.0</v>
      </c>
      <c r="O394" s="8">
        <v>1080.0</v>
      </c>
      <c r="P394" s="8">
        <v>1086.0</v>
      </c>
      <c r="Q394" s="10">
        <v>46364.0</v>
      </c>
      <c r="R394" s="8" t="s">
        <v>2075</v>
      </c>
      <c r="S394" s="8"/>
      <c r="T394" s="8"/>
      <c r="U394" s="8"/>
      <c r="V394" s="8"/>
      <c r="W394" s="8" t="s">
        <v>2756</v>
      </c>
      <c r="X394" s="8"/>
      <c r="Y394" s="8" t="s">
        <v>2757</v>
      </c>
      <c r="Z394" s="8" t="s">
        <v>5336</v>
      </c>
      <c r="AA394" s="8"/>
      <c r="AB394" s="8"/>
      <c r="AC394" s="8"/>
      <c r="AD394" s="8" t="s">
        <v>2080</v>
      </c>
      <c r="AE394" s="8" t="s">
        <v>2080</v>
      </c>
      <c r="AF394" s="8"/>
      <c r="AG394" s="8">
        <v>1.8762911E7</v>
      </c>
      <c r="AH394" s="8" t="s">
        <v>5337</v>
      </c>
      <c r="AI394" s="8" t="s">
        <v>1677</v>
      </c>
      <c r="AJ394" s="8" t="s">
        <v>5338</v>
      </c>
      <c r="AK394" s="8" t="s">
        <v>5339</v>
      </c>
      <c r="AL394" s="8" t="s">
        <v>5340</v>
      </c>
      <c r="AM394" s="8" t="s">
        <v>2763</v>
      </c>
    </row>
    <row r="395" ht="14.25" customHeight="1">
      <c r="A395" s="8">
        <v>255.0</v>
      </c>
      <c r="B395" s="8" t="s">
        <v>5341</v>
      </c>
      <c r="C395" s="8"/>
      <c r="D395" s="8" t="s">
        <v>5342</v>
      </c>
      <c r="E395" s="8" t="s">
        <v>5343</v>
      </c>
      <c r="F395" s="8" t="s">
        <v>5344</v>
      </c>
      <c r="G395" s="8"/>
      <c r="H395" s="8"/>
      <c r="I395" s="7">
        <v>40023.0</v>
      </c>
      <c r="J395" s="8" t="s">
        <v>5345</v>
      </c>
      <c r="K395" s="8" t="s">
        <v>3044</v>
      </c>
      <c r="L395" s="8">
        <v>2008.0</v>
      </c>
      <c r="M395" s="8">
        <v>18.0</v>
      </c>
      <c r="N395" s="8">
        <v>5.0</v>
      </c>
      <c r="O395" s="8">
        <v>573.0</v>
      </c>
      <c r="P395" s="8">
        <v>581.0</v>
      </c>
      <c r="Q395" s="10">
        <v>46303.0</v>
      </c>
      <c r="R395" s="8" t="s">
        <v>2075</v>
      </c>
      <c r="S395" s="8"/>
      <c r="T395" s="8"/>
      <c r="U395" s="8"/>
      <c r="V395" s="8"/>
      <c r="W395" s="8" t="s">
        <v>3045</v>
      </c>
      <c r="X395" s="8"/>
      <c r="Y395" s="8" t="s">
        <v>5281</v>
      </c>
      <c r="Z395" s="8" t="s">
        <v>5346</v>
      </c>
      <c r="AA395" s="8"/>
      <c r="AB395" s="8"/>
      <c r="AC395" s="8"/>
      <c r="AD395" s="8" t="s">
        <v>2080</v>
      </c>
      <c r="AE395" s="8" t="s">
        <v>2080</v>
      </c>
      <c r="AF395" s="8"/>
      <c r="AG395" s="8">
        <v>1.8208432E7</v>
      </c>
      <c r="AH395" s="8" t="s">
        <v>5347</v>
      </c>
      <c r="AI395" s="8" t="s">
        <v>1716</v>
      </c>
      <c r="AJ395" s="8" t="s">
        <v>5348</v>
      </c>
      <c r="AK395" s="8" t="s">
        <v>5349</v>
      </c>
      <c r="AL395" s="8" t="s">
        <v>5350</v>
      </c>
      <c r="AM395" s="8" t="s">
        <v>2763</v>
      </c>
    </row>
    <row r="396" ht="14.25" customHeight="1">
      <c r="A396" s="8">
        <v>256.0</v>
      </c>
      <c r="B396" s="8" t="s">
        <v>2933</v>
      </c>
      <c r="C396" s="8" t="s">
        <v>2934</v>
      </c>
      <c r="D396" s="8" t="s">
        <v>2935</v>
      </c>
      <c r="E396" s="8" t="s">
        <v>2936</v>
      </c>
      <c r="F396" s="8" t="s">
        <v>2937</v>
      </c>
      <c r="G396" s="8"/>
      <c r="H396" s="8"/>
      <c r="I396" s="7">
        <v>39847.0</v>
      </c>
      <c r="J396" s="8" t="s">
        <v>2938</v>
      </c>
      <c r="K396" s="8" t="s">
        <v>2939</v>
      </c>
      <c r="L396" s="8">
        <v>2008.0</v>
      </c>
      <c r="M396" s="8">
        <v>94.0</v>
      </c>
      <c r="N396" s="8">
        <v>6.0</v>
      </c>
      <c r="O396" s="8">
        <v>533.0</v>
      </c>
      <c r="P396" s="8">
        <v>540.0</v>
      </c>
      <c r="Q396" s="10">
        <v>46303.0</v>
      </c>
      <c r="R396" s="8" t="s">
        <v>2075</v>
      </c>
      <c r="S396" s="8"/>
      <c r="T396" s="8"/>
      <c r="U396" s="8"/>
      <c r="V396" s="8"/>
      <c r="W396" s="8" t="s">
        <v>2940</v>
      </c>
      <c r="X396" s="8"/>
      <c r="Y396" s="8" t="s">
        <v>2941</v>
      </c>
      <c r="Z396" s="8" t="s">
        <v>2942</v>
      </c>
      <c r="AA396" s="8"/>
      <c r="AB396" s="8"/>
      <c r="AC396" s="8"/>
      <c r="AD396" s="8" t="s">
        <v>2943</v>
      </c>
      <c r="AE396" s="8" t="s">
        <v>2944</v>
      </c>
      <c r="AF396" s="8"/>
      <c r="AG396" s="8">
        <v>1.8929746E7</v>
      </c>
      <c r="AH396" s="8" t="s">
        <v>2945</v>
      </c>
      <c r="AI396" s="8" t="s">
        <v>508</v>
      </c>
      <c r="AJ396" s="8" t="s">
        <v>2946</v>
      </c>
      <c r="AK396" s="8" t="s">
        <v>2947</v>
      </c>
      <c r="AL396" s="8" t="s">
        <v>2948</v>
      </c>
      <c r="AM396" s="8" t="s">
        <v>2763</v>
      </c>
    </row>
    <row r="397" ht="14.25" customHeight="1">
      <c r="A397" s="8">
        <v>257.0</v>
      </c>
      <c r="B397" s="8" t="s">
        <v>1687</v>
      </c>
      <c r="C397" s="8"/>
      <c r="D397" s="8" t="s">
        <v>5351</v>
      </c>
      <c r="E397" s="8" t="s">
        <v>5352</v>
      </c>
      <c r="F397" s="8" t="s">
        <v>5353</v>
      </c>
      <c r="G397" s="8"/>
      <c r="H397" s="8"/>
      <c r="I397" s="7">
        <v>39710.0</v>
      </c>
      <c r="J397" s="8" t="s">
        <v>5354</v>
      </c>
      <c r="K397" s="8" t="s">
        <v>2892</v>
      </c>
      <c r="L397" s="8">
        <v>2008.0</v>
      </c>
      <c r="M397" s="8">
        <v>36.0</v>
      </c>
      <c r="N397" s="8">
        <v>9.0</v>
      </c>
      <c r="O397" s="8">
        <v>1675.0</v>
      </c>
      <c r="P397" s="8">
        <v>1687.0</v>
      </c>
      <c r="Q397" s="10">
        <v>46273.0</v>
      </c>
      <c r="R397" s="8" t="s">
        <v>2075</v>
      </c>
      <c r="S397" s="8"/>
      <c r="T397" s="8"/>
      <c r="U397" s="8"/>
      <c r="V397" s="8"/>
      <c r="W397" s="8" t="s">
        <v>2893</v>
      </c>
      <c r="X397" s="8"/>
      <c r="Y397" s="8" t="s">
        <v>2894</v>
      </c>
      <c r="Z397" s="8" t="s">
        <v>5355</v>
      </c>
      <c r="AA397" s="8"/>
      <c r="AB397" s="8"/>
      <c r="AC397" s="8"/>
      <c r="AD397" s="8" t="s">
        <v>2080</v>
      </c>
      <c r="AE397" s="8" t="s">
        <v>2080</v>
      </c>
      <c r="AF397" s="8">
        <v>2.008401748E9</v>
      </c>
      <c r="AG397" s="8">
        <v>1.8490472E7</v>
      </c>
      <c r="AH397" s="8" t="s">
        <v>5356</v>
      </c>
      <c r="AI397" s="8" t="s">
        <v>1691</v>
      </c>
      <c r="AJ397" s="8" t="s">
        <v>5357</v>
      </c>
      <c r="AK397" s="8" t="s">
        <v>5358</v>
      </c>
      <c r="AL397" s="8" t="s">
        <v>5359</v>
      </c>
      <c r="AM397" s="8" t="s">
        <v>2900</v>
      </c>
    </row>
    <row r="398" ht="14.25" customHeight="1">
      <c r="A398" s="8">
        <v>258.0</v>
      </c>
      <c r="B398" s="8" t="s">
        <v>5360</v>
      </c>
      <c r="C398" s="8"/>
      <c r="D398" s="8" t="s">
        <v>5361</v>
      </c>
      <c r="E398" s="8" t="s">
        <v>5362</v>
      </c>
      <c r="F398" s="8" t="s">
        <v>5363</v>
      </c>
      <c r="G398" s="8"/>
      <c r="H398" s="8"/>
      <c r="I398" s="7">
        <v>39651.0</v>
      </c>
      <c r="J398" s="8" t="s">
        <v>5364</v>
      </c>
      <c r="K398" s="8" t="s">
        <v>2241</v>
      </c>
      <c r="L398" s="8">
        <v>2008.0</v>
      </c>
      <c r="M398" s="8">
        <v>24.0</v>
      </c>
      <c r="N398" s="8">
        <v>7.0</v>
      </c>
      <c r="O398" s="8">
        <v>817.0</v>
      </c>
      <c r="P398" s="8">
        <v>823.0</v>
      </c>
      <c r="Q398" s="10">
        <v>46211.0</v>
      </c>
      <c r="R398" s="8" t="s">
        <v>2075</v>
      </c>
      <c r="S398" s="8"/>
      <c r="T398" s="8"/>
      <c r="U398" s="8"/>
      <c r="V398" s="8"/>
      <c r="W398" s="8" t="s">
        <v>2821</v>
      </c>
      <c r="X398" s="8"/>
      <c r="Y398" s="8" t="s">
        <v>2822</v>
      </c>
      <c r="Z398" s="8" t="s">
        <v>5365</v>
      </c>
      <c r="AA398" s="8" t="s">
        <v>5366</v>
      </c>
      <c r="AB398" s="8"/>
      <c r="AC398" s="8"/>
      <c r="AD398" s="8" t="s">
        <v>2080</v>
      </c>
      <c r="AE398" s="8" t="s">
        <v>2080</v>
      </c>
      <c r="AF398" s="8">
        <v>2.008304166E9</v>
      </c>
      <c r="AG398" s="8">
        <v>1.8589271E7</v>
      </c>
      <c r="AH398" s="8" t="s">
        <v>5367</v>
      </c>
      <c r="AI398" s="8" t="s">
        <v>1686</v>
      </c>
      <c r="AJ398" s="8" t="s">
        <v>5368</v>
      </c>
      <c r="AK398" s="8" t="s">
        <v>5369</v>
      </c>
      <c r="AL398" s="8" t="s">
        <v>5370</v>
      </c>
      <c r="AM398" s="8" t="s">
        <v>2900</v>
      </c>
    </row>
    <row r="399" ht="14.25" customHeight="1">
      <c r="A399" s="8">
        <v>259.0</v>
      </c>
      <c r="B399" s="8" t="s">
        <v>5371</v>
      </c>
      <c r="C399" s="8"/>
      <c r="D399" s="8" t="s">
        <v>5372</v>
      </c>
      <c r="E399" s="8" t="s">
        <v>5373</v>
      </c>
      <c r="F399" s="8" t="s">
        <v>5374</v>
      </c>
      <c r="G399" s="8"/>
      <c r="H399" s="8"/>
      <c r="I399" s="7">
        <v>39651.0</v>
      </c>
      <c r="J399" s="8" t="s">
        <v>5375</v>
      </c>
      <c r="K399" s="8" t="s">
        <v>2241</v>
      </c>
      <c r="L399" s="8">
        <v>2008.0</v>
      </c>
      <c r="M399" s="8">
        <v>24.0</v>
      </c>
      <c r="N399" s="8">
        <v>7.0</v>
      </c>
      <c r="O399" s="8">
        <v>786.0</v>
      </c>
      <c r="P399" s="8">
        <v>795.0</v>
      </c>
      <c r="Q399" s="10">
        <v>46211.0</v>
      </c>
      <c r="R399" s="8" t="s">
        <v>2075</v>
      </c>
      <c r="S399" s="8"/>
      <c r="T399" s="8"/>
      <c r="U399" s="8"/>
      <c r="V399" s="8"/>
      <c r="W399" s="8" t="s">
        <v>2821</v>
      </c>
      <c r="X399" s="8"/>
      <c r="Y399" s="8" t="s">
        <v>2822</v>
      </c>
      <c r="Z399" s="8" t="s">
        <v>5376</v>
      </c>
      <c r="AA399" s="8"/>
      <c r="AB399" s="8"/>
      <c r="AC399" s="8"/>
      <c r="AD399" s="8" t="s">
        <v>2080</v>
      </c>
      <c r="AE399" s="8" t="s">
        <v>2080</v>
      </c>
      <c r="AF399" s="8">
        <v>2.008304165E9</v>
      </c>
      <c r="AG399" s="8">
        <v>1.8589267E7</v>
      </c>
      <c r="AH399" s="8" t="s">
        <v>5377</v>
      </c>
      <c r="AI399" s="8" t="s">
        <v>5378</v>
      </c>
      <c r="AJ399" s="8" t="s">
        <v>5379</v>
      </c>
      <c r="AK399" s="8" t="s">
        <v>5380</v>
      </c>
      <c r="AL399" s="8" t="s">
        <v>5381</v>
      </c>
      <c r="AM399" s="8" t="s">
        <v>2900</v>
      </c>
    </row>
    <row r="400" ht="14.25" customHeight="1">
      <c r="A400" s="8">
        <v>260.0</v>
      </c>
      <c r="B400" s="8" t="s">
        <v>1698</v>
      </c>
      <c r="C400" s="8"/>
      <c r="D400" s="8" t="s">
        <v>5382</v>
      </c>
      <c r="E400" s="8" t="s">
        <v>5383</v>
      </c>
      <c r="F400" s="8" t="s">
        <v>5384</v>
      </c>
      <c r="G400" s="8"/>
      <c r="H400" s="8"/>
      <c r="I400" s="7">
        <v>39609.0</v>
      </c>
      <c r="J400" s="8" t="s">
        <v>5385</v>
      </c>
      <c r="K400" s="8" t="s">
        <v>180</v>
      </c>
      <c r="L400" s="8">
        <v>2008.0</v>
      </c>
      <c r="M400" s="8">
        <v>15.0</v>
      </c>
      <c r="N400" s="8">
        <v>3.0</v>
      </c>
      <c r="O400" s="8">
        <v>174.0</v>
      </c>
      <c r="P400" s="8">
        <v>179.0</v>
      </c>
      <c r="Q400" s="10">
        <v>46181.0</v>
      </c>
      <c r="R400" s="8" t="s">
        <v>2075</v>
      </c>
      <c r="S400" s="8"/>
      <c r="T400" s="8"/>
      <c r="U400" s="8"/>
      <c r="V400" s="8"/>
      <c r="W400" s="8" t="s">
        <v>2854</v>
      </c>
      <c r="X400" s="8"/>
      <c r="Y400" s="8" t="s">
        <v>2789</v>
      </c>
      <c r="Z400" s="8" t="s">
        <v>5386</v>
      </c>
      <c r="AA400" s="8"/>
      <c r="AB400" s="8"/>
      <c r="AC400" s="8"/>
      <c r="AD400" s="8" t="s">
        <v>2080</v>
      </c>
      <c r="AE400" s="8" t="s">
        <v>2080</v>
      </c>
      <c r="AF400" s="8">
        <v>2.008207416E9</v>
      </c>
      <c r="AG400" s="8">
        <v>1.8367398E7</v>
      </c>
      <c r="AH400" s="8" t="s">
        <v>5387</v>
      </c>
      <c r="AI400" s="8" t="s">
        <v>1702</v>
      </c>
      <c r="AJ400" s="8" t="s">
        <v>5388</v>
      </c>
      <c r="AK400" s="8" t="s">
        <v>5389</v>
      </c>
      <c r="AL400" s="8" t="s">
        <v>5390</v>
      </c>
      <c r="AM400" s="8" t="s">
        <v>2900</v>
      </c>
    </row>
    <row r="401" ht="14.25" customHeight="1">
      <c r="A401" s="8">
        <v>261.0</v>
      </c>
      <c r="B401" s="8" t="s">
        <v>5391</v>
      </c>
      <c r="C401" s="8"/>
      <c r="D401" s="8" t="s">
        <v>5392</v>
      </c>
      <c r="E401" s="8" t="s">
        <v>5393</v>
      </c>
      <c r="F401" s="8" t="s">
        <v>5394</v>
      </c>
      <c r="G401" s="8"/>
      <c r="H401" s="8"/>
      <c r="I401" s="7">
        <v>39776.0</v>
      </c>
      <c r="J401" s="8" t="s">
        <v>5395</v>
      </c>
      <c r="K401" s="8" t="s">
        <v>2755</v>
      </c>
      <c r="L401" s="8">
        <v>2008.0</v>
      </c>
      <c r="M401" s="8">
        <v>16.0</v>
      </c>
      <c r="N401" s="8">
        <v>6.0</v>
      </c>
      <c r="O401" s="8">
        <v>595.0</v>
      </c>
      <c r="P401" s="8">
        <v>601.0</v>
      </c>
      <c r="Q401" s="10">
        <v>46181.0</v>
      </c>
      <c r="R401" s="8" t="s">
        <v>2075</v>
      </c>
      <c r="S401" s="8"/>
      <c r="T401" s="8"/>
      <c r="U401" s="8"/>
      <c r="V401" s="8"/>
      <c r="W401" s="8" t="s">
        <v>2756</v>
      </c>
      <c r="X401" s="8"/>
      <c r="Y401" s="8" t="s">
        <v>2757</v>
      </c>
      <c r="Z401" s="8" t="s">
        <v>5396</v>
      </c>
      <c r="AA401" s="8"/>
      <c r="AB401" s="8"/>
      <c r="AC401" s="8"/>
      <c r="AD401" s="8" t="s">
        <v>2080</v>
      </c>
      <c r="AE401" s="8" t="s">
        <v>2080</v>
      </c>
      <c r="AF401" s="8"/>
      <c r="AG401" s="8">
        <v>1.838598E7</v>
      </c>
      <c r="AH401" s="8" t="s">
        <v>5397</v>
      </c>
      <c r="AI401" s="8" t="s">
        <v>1697</v>
      </c>
      <c r="AJ401" s="8" t="s">
        <v>5398</v>
      </c>
      <c r="AK401" s="8" t="s">
        <v>5399</v>
      </c>
      <c r="AL401" s="8" t="s">
        <v>5400</v>
      </c>
      <c r="AM401" s="8" t="s">
        <v>2763</v>
      </c>
    </row>
    <row r="402" ht="14.25" customHeight="1">
      <c r="A402" s="8">
        <v>262.0</v>
      </c>
      <c r="B402" s="8" t="s">
        <v>1722</v>
      </c>
      <c r="C402" s="8"/>
      <c r="D402" s="8" t="s">
        <v>5401</v>
      </c>
      <c r="E402" s="8" t="s">
        <v>5402</v>
      </c>
      <c r="F402" s="8" t="s">
        <v>5403</v>
      </c>
      <c r="G402" s="8"/>
      <c r="H402" s="8"/>
      <c r="I402" s="7">
        <v>39561.0</v>
      </c>
      <c r="J402" s="8" t="s">
        <v>5404</v>
      </c>
      <c r="K402" s="8" t="s">
        <v>2892</v>
      </c>
      <c r="L402" s="8">
        <v>2008.0</v>
      </c>
      <c r="M402" s="8">
        <v>36.0</v>
      </c>
      <c r="N402" s="8">
        <v>4.0</v>
      </c>
      <c r="O402" s="8">
        <v>648.0</v>
      </c>
      <c r="P402" s="8">
        <v>655.0</v>
      </c>
      <c r="Q402" s="10">
        <v>46120.0</v>
      </c>
      <c r="R402" s="8" t="s">
        <v>2075</v>
      </c>
      <c r="S402" s="8"/>
      <c r="T402" s="8"/>
      <c r="U402" s="8"/>
      <c r="V402" s="8"/>
      <c r="W402" s="8" t="s">
        <v>2893</v>
      </c>
      <c r="X402" s="8"/>
      <c r="Y402" s="8" t="s">
        <v>2894</v>
      </c>
      <c r="Z402" s="8" t="s">
        <v>5405</v>
      </c>
      <c r="AA402" s="8" t="s">
        <v>5406</v>
      </c>
      <c r="AB402" s="8"/>
      <c r="AC402" s="8"/>
      <c r="AD402" s="8" t="s">
        <v>2080</v>
      </c>
      <c r="AE402" s="8" t="s">
        <v>2080</v>
      </c>
      <c r="AF402" s="8">
        <v>2.008147771E9</v>
      </c>
      <c r="AG402" s="8">
        <v>1.8192493E7</v>
      </c>
      <c r="AH402" s="8" t="s">
        <v>5407</v>
      </c>
      <c r="AI402" s="8" t="s">
        <v>1726</v>
      </c>
      <c r="AJ402" s="8" t="s">
        <v>5408</v>
      </c>
      <c r="AK402" s="8" t="s">
        <v>5409</v>
      </c>
      <c r="AL402" s="8" t="s">
        <v>5410</v>
      </c>
      <c r="AM402" s="8" t="s">
        <v>2900</v>
      </c>
    </row>
    <row r="403" ht="14.25" customHeight="1">
      <c r="A403" s="8">
        <v>263.0</v>
      </c>
      <c r="B403" s="8" t="s">
        <v>5411</v>
      </c>
      <c r="C403" s="8"/>
      <c r="D403" s="8" t="s">
        <v>5412</v>
      </c>
      <c r="E403" s="8" t="s">
        <v>5413</v>
      </c>
      <c r="F403" s="8" t="s">
        <v>5414</v>
      </c>
      <c r="G403" s="8"/>
      <c r="H403" s="8"/>
      <c r="I403" s="7">
        <v>39561.0</v>
      </c>
      <c r="J403" s="8" t="s">
        <v>5415</v>
      </c>
      <c r="K403" s="8" t="s">
        <v>2892</v>
      </c>
      <c r="L403" s="8">
        <v>2008.0</v>
      </c>
      <c r="M403" s="8">
        <v>36.0</v>
      </c>
      <c r="N403" s="8">
        <v>4.0</v>
      </c>
      <c r="O403" s="8">
        <v>656.0</v>
      </c>
      <c r="P403" s="8">
        <v>662.0</v>
      </c>
      <c r="Q403" s="10">
        <v>46120.0</v>
      </c>
      <c r="R403" s="8" t="s">
        <v>2075</v>
      </c>
      <c r="S403" s="8"/>
      <c r="T403" s="8"/>
      <c r="U403" s="8"/>
      <c r="V403" s="8"/>
      <c r="W403" s="8" t="s">
        <v>2893</v>
      </c>
      <c r="X403" s="8"/>
      <c r="Y403" s="8" t="s">
        <v>2894</v>
      </c>
      <c r="Z403" s="8" t="s">
        <v>5416</v>
      </c>
      <c r="AA403" s="8"/>
      <c r="AB403" s="8"/>
      <c r="AC403" s="8"/>
      <c r="AD403" s="8" t="s">
        <v>2080</v>
      </c>
      <c r="AE403" s="8" t="s">
        <v>2080</v>
      </c>
      <c r="AF403" s="8">
        <v>2.008147775E9</v>
      </c>
      <c r="AG403" s="8">
        <v>1.8212347E7</v>
      </c>
      <c r="AH403" s="8" t="s">
        <v>5417</v>
      </c>
      <c r="AI403" s="8" t="s">
        <v>1712</v>
      </c>
      <c r="AJ403" s="8" t="s">
        <v>5418</v>
      </c>
      <c r="AK403" s="8" t="s">
        <v>5419</v>
      </c>
      <c r="AL403" s="8" t="s">
        <v>5420</v>
      </c>
      <c r="AM403" s="8" t="s">
        <v>2900</v>
      </c>
    </row>
    <row r="404" ht="14.25" customHeight="1">
      <c r="A404" s="8">
        <v>264.0</v>
      </c>
      <c r="B404" s="8" t="s">
        <v>5421</v>
      </c>
      <c r="C404" s="8"/>
      <c r="D404" s="8" t="s">
        <v>5422</v>
      </c>
      <c r="E404" s="8" t="s">
        <v>5423</v>
      </c>
      <c r="F404" s="8" t="s">
        <v>5424</v>
      </c>
      <c r="G404" s="8"/>
      <c r="H404" s="8"/>
      <c r="I404" s="7">
        <v>39701.0</v>
      </c>
      <c r="J404" s="8" t="s">
        <v>5425</v>
      </c>
      <c r="K404" s="8" t="s">
        <v>2755</v>
      </c>
      <c r="L404" s="8">
        <v>2008.0</v>
      </c>
      <c r="M404" s="8">
        <v>16.0</v>
      </c>
      <c r="N404" s="8">
        <v>4.0</v>
      </c>
      <c r="O404" s="8">
        <v>420.0</v>
      </c>
      <c r="P404" s="8">
        <v>426.0</v>
      </c>
      <c r="Q404" s="10">
        <v>46120.0</v>
      </c>
      <c r="R404" s="8" t="s">
        <v>2075</v>
      </c>
      <c r="S404" s="8"/>
      <c r="T404" s="8"/>
      <c r="U404" s="8"/>
      <c r="V404" s="8"/>
      <c r="W404" s="8" t="s">
        <v>2756</v>
      </c>
      <c r="X404" s="8"/>
      <c r="Y404" s="8" t="s">
        <v>2757</v>
      </c>
      <c r="Z404" s="8" t="s">
        <v>5426</v>
      </c>
      <c r="AA404" s="8"/>
      <c r="AB404" s="8"/>
      <c r="AC404" s="8"/>
      <c r="AD404" s="8" t="s">
        <v>2080</v>
      </c>
      <c r="AE404" s="8" t="s">
        <v>2080</v>
      </c>
      <c r="AF404" s="8"/>
      <c r="AG404" s="8">
        <v>1.7934715E7</v>
      </c>
      <c r="AH404" s="8" t="s">
        <v>5427</v>
      </c>
      <c r="AI404" s="8" t="s">
        <v>1744</v>
      </c>
      <c r="AJ404" s="8" t="s">
        <v>5428</v>
      </c>
      <c r="AK404" s="8" t="s">
        <v>5429</v>
      </c>
      <c r="AL404" s="8" t="s">
        <v>5430</v>
      </c>
      <c r="AM404" s="8" t="s">
        <v>2763</v>
      </c>
    </row>
    <row r="405" ht="14.25" customHeight="1">
      <c r="A405" s="8">
        <v>265.0</v>
      </c>
      <c r="B405" s="8" t="s">
        <v>5431</v>
      </c>
      <c r="C405" s="8"/>
      <c r="D405" s="8" t="s">
        <v>5432</v>
      </c>
      <c r="E405" s="8" t="s">
        <v>5433</v>
      </c>
      <c r="F405" s="8" t="s">
        <v>5434</v>
      </c>
      <c r="G405" s="8"/>
      <c r="H405" s="8"/>
      <c r="I405" s="7">
        <v>39828.0</v>
      </c>
      <c r="J405" s="8" t="s">
        <v>5435</v>
      </c>
      <c r="K405" s="8" t="s">
        <v>5436</v>
      </c>
      <c r="L405" s="8">
        <v>2008.0</v>
      </c>
      <c r="M405" s="8">
        <v>21.0</v>
      </c>
      <c r="N405" s="8">
        <v>4.0</v>
      </c>
      <c r="O405" s="8">
        <v>267.0</v>
      </c>
      <c r="P405" s="8">
        <v>269.0</v>
      </c>
      <c r="Q405" s="10">
        <v>46120.0</v>
      </c>
      <c r="R405" s="8" t="s">
        <v>2075</v>
      </c>
      <c r="S405" s="8"/>
      <c r="T405" s="8"/>
      <c r="U405" s="8"/>
      <c r="V405" s="8"/>
      <c r="W405" s="8" t="s">
        <v>5437</v>
      </c>
      <c r="X405" s="8"/>
      <c r="Y405" s="8"/>
      <c r="Z405" s="8" t="s">
        <v>5438</v>
      </c>
      <c r="AA405" s="8"/>
      <c r="AB405" s="8"/>
      <c r="AC405" s="8"/>
      <c r="AD405" s="8" t="s">
        <v>3695</v>
      </c>
      <c r="AE405" s="8"/>
      <c r="AF405" s="8"/>
      <c r="AG405" s="8">
        <v>1.9102185E7</v>
      </c>
      <c r="AH405" s="8" t="s">
        <v>5439</v>
      </c>
      <c r="AI405" s="8"/>
      <c r="AJ405" s="8"/>
      <c r="AK405" s="8" t="s">
        <v>5440</v>
      </c>
      <c r="AL405" s="8" t="s">
        <v>5441</v>
      </c>
      <c r="AM405" s="8" t="s">
        <v>2763</v>
      </c>
    </row>
    <row r="406" ht="14.25" customHeight="1">
      <c r="A406" s="8">
        <v>266.0</v>
      </c>
      <c r="B406" s="8" t="s">
        <v>5442</v>
      </c>
      <c r="C406" s="8"/>
      <c r="D406" s="8" t="s">
        <v>5443</v>
      </c>
      <c r="E406" s="8" t="s">
        <v>5444</v>
      </c>
      <c r="F406" s="8" t="s">
        <v>5445</v>
      </c>
      <c r="G406" s="8"/>
      <c r="H406" s="8"/>
      <c r="I406" s="7">
        <v>39731.0</v>
      </c>
      <c r="J406" s="8" t="s">
        <v>5446</v>
      </c>
      <c r="K406" s="8" t="s">
        <v>2755</v>
      </c>
      <c r="L406" s="8">
        <v>2008.0</v>
      </c>
      <c r="M406" s="8">
        <v>16.0</v>
      </c>
      <c r="N406" s="8">
        <v>3.0</v>
      </c>
      <c r="O406" s="8">
        <v>232.0</v>
      </c>
      <c r="P406" s="8">
        <v>238.0</v>
      </c>
      <c r="Q406" s="10">
        <v>46089.0</v>
      </c>
      <c r="R406" s="8" t="s">
        <v>2075</v>
      </c>
      <c r="S406" s="8"/>
      <c r="T406" s="8"/>
      <c r="U406" s="8"/>
      <c r="V406" s="8"/>
      <c r="W406" s="8" t="s">
        <v>2756</v>
      </c>
      <c r="X406" s="8"/>
      <c r="Y406" s="8" t="s">
        <v>2757</v>
      </c>
      <c r="Z406" s="8" t="s">
        <v>5447</v>
      </c>
      <c r="AA406" s="8"/>
      <c r="AB406" s="8"/>
      <c r="AC406" s="8"/>
      <c r="AD406" s="8" t="s">
        <v>2080</v>
      </c>
      <c r="AE406" s="8" t="s">
        <v>2080</v>
      </c>
      <c r="AF406" s="8"/>
      <c r="AG406" s="8">
        <v>1.8193194E7</v>
      </c>
      <c r="AH406" s="8" t="s">
        <v>5448</v>
      </c>
      <c r="AI406" s="8" t="s">
        <v>1721</v>
      </c>
      <c r="AJ406" s="8" t="s">
        <v>5449</v>
      </c>
      <c r="AK406" s="8" t="s">
        <v>5450</v>
      </c>
      <c r="AL406" s="8" t="s">
        <v>5451</v>
      </c>
      <c r="AM406" s="8" t="s">
        <v>2763</v>
      </c>
    </row>
    <row r="407" ht="14.25" customHeight="1">
      <c r="A407" s="8">
        <v>267.0</v>
      </c>
      <c r="B407" s="8" t="s">
        <v>5452</v>
      </c>
      <c r="C407" s="8"/>
      <c r="D407" s="8" t="s">
        <v>5453</v>
      </c>
      <c r="E407" s="8" t="s">
        <v>5454</v>
      </c>
      <c r="F407" s="8" t="s">
        <v>5455</v>
      </c>
      <c r="G407" s="8"/>
      <c r="H407" s="8"/>
      <c r="I407" s="7">
        <v>39482.0</v>
      </c>
      <c r="J407" s="8" t="s">
        <v>5456</v>
      </c>
      <c r="K407" s="8" t="s">
        <v>2892</v>
      </c>
      <c r="L407" s="8">
        <v>2008.0</v>
      </c>
      <c r="M407" s="8">
        <v>36.0</v>
      </c>
      <c r="N407" s="8">
        <v>2.0</v>
      </c>
      <c r="O407" s="8">
        <v>298.0</v>
      </c>
      <c r="P407" s="8">
        <v>307.0</v>
      </c>
      <c r="Q407" s="10">
        <v>46061.0</v>
      </c>
      <c r="R407" s="8" t="s">
        <v>2075</v>
      </c>
      <c r="S407" s="8"/>
      <c r="T407" s="8"/>
      <c r="U407" s="8"/>
      <c r="V407" s="8"/>
      <c r="W407" s="8" t="s">
        <v>2893</v>
      </c>
      <c r="X407" s="8"/>
      <c r="Y407" s="8" t="s">
        <v>2894</v>
      </c>
      <c r="Z407" s="8" t="s">
        <v>5457</v>
      </c>
      <c r="AA407" s="8"/>
      <c r="AB407" s="8"/>
      <c r="AC407" s="8"/>
      <c r="AD407" s="8" t="s">
        <v>2080</v>
      </c>
      <c r="AE407" s="8" t="s">
        <v>2080</v>
      </c>
      <c r="AF407" s="8">
        <v>2.008039076E9</v>
      </c>
      <c r="AG407" s="8">
        <v>1.7940146E7</v>
      </c>
      <c r="AH407" s="8" t="s">
        <v>5458</v>
      </c>
      <c r="AI407" s="8" t="s">
        <v>1735</v>
      </c>
      <c r="AJ407" s="8" t="s">
        <v>5459</v>
      </c>
      <c r="AK407" s="8" t="s">
        <v>5460</v>
      </c>
      <c r="AL407" s="8" t="s">
        <v>5461</v>
      </c>
      <c r="AM407" s="8" t="s">
        <v>2900</v>
      </c>
    </row>
    <row r="408" ht="14.25" customHeight="1">
      <c r="A408" s="8">
        <v>268.0</v>
      </c>
      <c r="B408" s="8" t="s">
        <v>5462</v>
      </c>
      <c r="C408" s="8"/>
      <c r="D408" s="8" t="s">
        <v>5463</v>
      </c>
      <c r="E408" s="8" t="s">
        <v>5464</v>
      </c>
      <c r="F408" s="8" t="s">
        <v>5465</v>
      </c>
      <c r="G408" s="8"/>
      <c r="H408" s="8"/>
      <c r="I408" s="7">
        <v>39482.0</v>
      </c>
      <c r="J408" s="8" t="s">
        <v>5466</v>
      </c>
      <c r="K408" s="8" t="s">
        <v>2892</v>
      </c>
      <c r="L408" s="8">
        <v>2008.0</v>
      </c>
      <c r="M408" s="8">
        <v>36.0</v>
      </c>
      <c r="N408" s="8">
        <v>2.0</v>
      </c>
      <c r="O408" s="8">
        <v>290.0</v>
      </c>
      <c r="P408" s="8">
        <v>297.0</v>
      </c>
      <c r="Q408" s="10">
        <v>46061.0</v>
      </c>
      <c r="R408" s="8" t="s">
        <v>2075</v>
      </c>
      <c r="S408" s="8"/>
      <c r="T408" s="8"/>
      <c r="U408" s="8"/>
      <c r="V408" s="8"/>
      <c r="W408" s="8" t="s">
        <v>2893</v>
      </c>
      <c r="X408" s="8"/>
      <c r="Y408" s="8" t="s">
        <v>2894</v>
      </c>
      <c r="Z408" s="8" t="s">
        <v>5467</v>
      </c>
      <c r="AA408" s="8"/>
      <c r="AB408" s="8"/>
      <c r="AC408" s="8"/>
      <c r="AD408" s="8" t="s">
        <v>2080</v>
      </c>
      <c r="AE408" s="8" t="s">
        <v>2080</v>
      </c>
      <c r="AF408" s="8">
        <v>2.008039082E9</v>
      </c>
      <c r="AG408" s="8">
        <v>1.7940145E7</v>
      </c>
      <c r="AH408" s="8" t="s">
        <v>5468</v>
      </c>
      <c r="AI408" s="8" t="s">
        <v>1739</v>
      </c>
      <c r="AJ408" s="8" t="s">
        <v>5469</v>
      </c>
      <c r="AK408" s="8" t="s">
        <v>5470</v>
      </c>
      <c r="AL408" s="8" t="s">
        <v>5471</v>
      </c>
      <c r="AM408" s="8" t="s">
        <v>2900</v>
      </c>
    </row>
    <row r="409" ht="14.25" customHeight="1">
      <c r="A409" s="8">
        <v>269.0</v>
      </c>
      <c r="B409" s="8" t="s">
        <v>5472</v>
      </c>
      <c r="C409" s="8"/>
      <c r="D409" s="8" t="s">
        <v>5473</v>
      </c>
      <c r="E409" s="8" t="s">
        <v>5474</v>
      </c>
      <c r="F409" s="8" t="s">
        <v>5475</v>
      </c>
      <c r="G409" s="8"/>
      <c r="H409" s="8"/>
      <c r="I409" s="7">
        <v>39493.0</v>
      </c>
      <c r="J409" s="8" t="s">
        <v>5476</v>
      </c>
      <c r="K409" s="8" t="s">
        <v>2241</v>
      </c>
      <c r="L409" s="8">
        <v>2008.0</v>
      </c>
      <c r="M409" s="8">
        <v>24.0</v>
      </c>
      <c r="N409" s="8">
        <v>2.0</v>
      </c>
      <c r="O409" s="8">
        <v>137.0</v>
      </c>
      <c r="P409" s="8">
        <v>145.0</v>
      </c>
      <c r="Q409" s="10">
        <v>46061.0</v>
      </c>
      <c r="R409" s="8" t="s">
        <v>2075</v>
      </c>
      <c r="S409" s="8"/>
      <c r="T409" s="8"/>
      <c r="U409" s="8"/>
      <c r="V409" s="8"/>
      <c r="W409" s="8" t="s">
        <v>2821</v>
      </c>
      <c r="X409" s="8"/>
      <c r="Y409" s="8" t="s">
        <v>2822</v>
      </c>
      <c r="Z409" s="8" t="s">
        <v>5477</v>
      </c>
      <c r="AA409" s="8"/>
      <c r="AB409" s="8"/>
      <c r="AC409" s="8"/>
      <c r="AD409" s="8" t="s">
        <v>2080</v>
      </c>
      <c r="AE409" s="8" t="s">
        <v>2080</v>
      </c>
      <c r="AF409" s="8">
        <v>2.008049015E9</v>
      </c>
      <c r="AG409" s="8">
        <v>1.8237696E7</v>
      </c>
      <c r="AH409" s="8" t="s">
        <v>5478</v>
      </c>
      <c r="AI409" s="8" t="s">
        <v>1707</v>
      </c>
      <c r="AJ409" s="8" t="s">
        <v>5479</v>
      </c>
      <c r="AK409" s="8" t="s">
        <v>5480</v>
      </c>
      <c r="AL409" s="8" t="s">
        <v>5481</v>
      </c>
      <c r="AM409" s="8" t="s">
        <v>2900</v>
      </c>
    </row>
    <row r="410" ht="14.25" customHeight="1">
      <c r="A410" s="8">
        <v>270.0</v>
      </c>
      <c r="B410" s="8" t="s">
        <v>5482</v>
      </c>
      <c r="C410" s="8"/>
      <c r="D410" s="8" t="s">
        <v>5483</v>
      </c>
      <c r="E410" s="8" t="s">
        <v>5484</v>
      </c>
      <c r="F410" s="8" t="s">
        <v>5485</v>
      </c>
      <c r="G410" s="8"/>
      <c r="H410" s="8"/>
      <c r="I410" s="7">
        <v>39443.0</v>
      </c>
      <c r="J410" s="8" t="s">
        <v>5486</v>
      </c>
      <c r="K410" s="8" t="s">
        <v>2241</v>
      </c>
      <c r="L410" s="8">
        <v>2007.0</v>
      </c>
      <c r="M410" s="8">
        <v>23.0</v>
      </c>
      <c r="N410" s="8">
        <v>12.0</v>
      </c>
      <c r="O410" s="8">
        <v>1326.0</v>
      </c>
      <c r="P410" s="8">
        <v>1333.0</v>
      </c>
      <c r="Q410" s="10">
        <v>46363.0</v>
      </c>
      <c r="R410" s="8" t="s">
        <v>2075</v>
      </c>
      <c r="S410" s="8"/>
      <c r="T410" s="8"/>
      <c r="U410" s="8"/>
      <c r="V410" s="8"/>
      <c r="W410" s="8" t="s">
        <v>2821</v>
      </c>
      <c r="X410" s="8"/>
      <c r="Y410" s="8" t="s">
        <v>2822</v>
      </c>
      <c r="Z410" s="8" t="s">
        <v>5487</v>
      </c>
      <c r="AA410" s="8"/>
      <c r="AB410" s="8"/>
      <c r="AC410" s="8"/>
      <c r="AD410" s="8" t="s">
        <v>2080</v>
      </c>
      <c r="AE410" s="8" t="s">
        <v>2080</v>
      </c>
      <c r="AF410" s="8">
        <v>2.007584245E9</v>
      </c>
      <c r="AG410" s="8">
        <v>1.8063177E7</v>
      </c>
      <c r="AH410" s="8" t="s">
        <v>5488</v>
      </c>
      <c r="AI410" s="8" t="s">
        <v>1731</v>
      </c>
      <c r="AJ410" s="8" t="s">
        <v>5489</v>
      </c>
      <c r="AK410" s="8" t="s">
        <v>5490</v>
      </c>
      <c r="AL410" s="8" t="s">
        <v>5491</v>
      </c>
      <c r="AM410" s="8" t="s">
        <v>2999</v>
      </c>
    </row>
    <row r="411" ht="14.25" customHeight="1">
      <c r="A411" s="8">
        <v>271.0</v>
      </c>
      <c r="B411" s="8" t="s">
        <v>2949</v>
      </c>
      <c r="C411" s="8"/>
      <c r="D411" s="8"/>
      <c r="E411" s="8"/>
      <c r="F411" s="8"/>
      <c r="G411" s="8"/>
      <c r="H411" s="7">
        <v>45781.0</v>
      </c>
      <c r="I411" s="7">
        <v>45781.0</v>
      </c>
      <c r="J411" s="8" t="s">
        <v>2950</v>
      </c>
      <c r="K411" s="8" t="s">
        <v>2089</v>
      </c>
      <c r="L411" s="8">
        <v>2007.0</v>
      </c>
      <c r="M411" s="8"/>
      <c r="N411" s="8"/>
      <c r="O411" s="8"/>
      <c r="P411" s="8"/>
      <c r="Q411" s="9">
        <v>39337.0</v>
      </c>
      <c r="R411" s="8" t="s">
        <v>2090</v>
      </c>
      <c r="S411" s="8"/>
      <c r="T411" s="8"/>
      <c r="U411" s="8"/>
      <c r="V411" s="8"/>
      <c r="W411" s="8"/>
      <c r="X411" s="8"/>
      <c r="Y411" s="8" t="s">
        <v>2089</v>
      </c>
      <c r="Z411" s="8" t="s">
        <v>2951</v>
      </c>
      <c r="AA411" s="8"/>
      <c r="AB411" s="8"/>
      <c r="AC411" s="8"/>
      <c r="AD411" s="8" t="s">
        <v>2080</v>
      </c>
      <c r="AE411" s="8" t="s">
        <v>2080</v>
      </c>
      <c r="AF411" s="8"/>
      <c r="AG411" s="8"/>
      <c r="AH411" s="8" t="s">
        <v>2952</v>
      </c>
      <c r="AI411" s="8"/>
      <c r="AJ411" s="8" t="s">
        <v>2953</v>
      </c>
      <c r="AK411" s="8" t="s">
        <v>2954</v>
      </c>
      <c r="AL411" s="8"/>
      <c r="AM411" s="8" t="s">
        <v>2095</v>
      </c>
    </row>
    <row r="412" ht="14.25" customHeight="1">
      <c r="A412" s="8">
        <v>272.0</v>
      </c>
      <c r="B412" s="8" t="s">
        <v>5492</v>
      </c>
      <c r="C412" s="8"/>
      <c r="D412" s="8" t="s">
        <v>5493</v>
      </c>
      <c r="E412" s="8" t="s">
        <v>5494</v>
      </c>
      <c r="F412" s="8" t="s">
        <v>5495</v>
      </c>
      <c r="G412" s="8"/>
      <c r="H412" s="8"/>
      <c r="I412" s="7">
        <v>39326.0</v>
      </c>
      <c r="J412" s="8" t="s">
        <v>5496</v>
      </c>
      <c r="K412" s="8" t="s">
        <v>3201</v>
      </c>
      <c r="L412" s="8">
        <v>2007.0</v>
      </c>
      <c r="M412" s="8">
        <v>89.0</v>
      </c>
      <c r="N412" s="8">
        <v>9.0</v>
      </c>
      <c r="O412" s="8">
        <v>1165.0</v>
      </c>
      <c r="P412" s="8">
        <v>1171.0</v>
      </c>
      <c r="Q412" s="10">
        <v>46272.0</v>
      </c>
      <c r="R412" s="8" t="s">
        <v>2075</v>
      </c>
      <c r="S412" s="8"/>
      <c r="T412" s="8"/>
      <c r="U412" s="8"/>
      <c r="V412" s="8"/>
      <c r="W412" s="8" t="s">
        <v>3202</v>
      </c>
      <c r="X412" s="8"/>
      <c r="Y412" s="8" t="s">
        <v>3203</v>
      </c>
      <c r="Z412" s="8" t="s">
        <v>5497</v>
      </c>
      <c r="AA412" s="8"/>
      <c r="AB412" s="8"/>
      <c r="AC412" s="8"/>
      <c r="AD412" s="8" t="s">
        <v>2080</v>
      </c>
      <c r="AE412" s="8" t="s">
        <v>2080</v>
      </c>
      <c r="AF412" s="8">
        <v>2.007539304E9</v>
      </c>
      <c r="AG412" s="8">
        <v>1.7905952E7</v>
      </c>
      <c r="AH412" s="8" t="s">
        <v>5498</v>
      </c>
      <c r="AI412" s="8" t="s">
        <v>1749</v>
      </c>
      <c r="AJ412" s="8" t="s">
        <v>5499</v>
      </c>
      <c r="AK412" s="8" t="s">
        <v>5500</v>
      </c>
      <c r="AL412" s="8" t="s">
        <v>5501</v>
      </c>
      <c r="AM412" s="8" t="s">
        <v>2900</v>
      </c>
    </row>
    <row r="413" ht="14.25" customHeight="1">
      <c r="A413" s="8">
        <v>273.0</v>
      </c>
      <c r="B413" s="8" t="s">
        <v>5502</v>
      </c>
      <c r="C413" s="8"/>
      <c r="D413" s="8" t="s">
        <v>5503</v>
      </c>
      <c r="E413" s="8" t="s">
        <v>5504</v>
      </c>
      <c r="F413" s="8" t="s">
        <v>5505</v>
      </c>
      <c r="G413" s="8"/>
      <c r="H413" s="8"/>
      <c r="I413" s="7">
        <v>39264.0</v>
      </c>
      <c r="J413" s="8" t="s">
        <v>5506</v>
      </c>
      <c r="K413" s="8" t="s">
        <v>2241</v>
      </c>
      <c r="L413" s="8">
        <v>2007.0</v>
      </c>
      <c r="M413" s="8">
        <v>23.0</v>
      </c>
      <c r="N413" s="8">
        <v>7.0</v>
      </c>
      <c r="O413" s="8">
        <v>766.0</v>
      </c>
      <c r="P413" s="8">
        <v>770.0</v>
      </c>
      <c r="Q413" s="10">
        <v>46210.0</v>
      </c>
      <c r="R413" s="8" t="s">
        <v>2075</v>
      </c>
      <c r="S413" s="8"/>
      <c r="T413" s="8"/>
      <c r="U413" s="8"/>
      <c r="V413" s="8"/>
      <c r="W413" s="8" t="s">
        <v>2821</v>
      </c>
      <c r="X413" s="8"/>
      <c r="Y413" s="8" t="s">
        <v>2822</v>
      </c>
      <c r="Z413" s="8" t="s">
        <v>5507</v>
      </c>
      <c r="AA413" s="8"/>
      <c r="AB413" s="8"/>
      <c r="AC413" s="8"/>
      <c r="AD413" s="8" t="s">
        <v>2080</v>
      </c>
      <c r="AE413" s="8" t="s">
        <v>2080</v>
      </c>
      <c r="AF413" s="8">
        <v>2.007335347E9</v>
      </c>
      <c r="AG413" s="8">
        <v>1.7637413E7</v>
      </c>
      <c r="AH413" s="8" t="s">
        <v>5508</v>
      </c>
      <c r="AI413" s="8" t="s">
        <v>1754</v>
      </c>
      <c r="AJ413" s="8" t="s">
        <v>5509</v>
      </c>
      <c r="AK413" s="8" t="s">
        <v>5510</v>
      </c>
      <c r="AL413" s="8" t="s">
        <v>5511</v>
      </c>
      <c r="AM413" s="8" t="s">
        <v>2999</v>
      </c>
    </row>
    <row r="414" ht="14.25" customHeight="1">
      <c r="A414" s="8">
        <v>274.0</v>
      </c>
      <c r="B414" s="8" t="s">
        <v>5512</v>
      </c>
      <c r="C414" s="8"/>
      <c r="D414" s="8" t="s">
        <v>5513</v>
      </c>
      <c r="E414" s="8" t="s">
        <v>5514</v>
      </c>
      <c r="F414" s="8" t="s">
        <v>5515</v>
      </c>
      <c r="G414" s="8"/>
      <c r="H414" s="8"/>
      <c r="I414" s="7">
        <v>39234.0</v>
      </c>
      <c r="J414" s="8" t="s">
        <v>5516</v>
      </c>
      <c r="K414" s="8" t="s">
        <v>2241</v>
      </c>
      <c r="L414" s="8">
        <v>2007.0</v>
      </c>
      <c r="M414" s="8">
        <v>23.0</v>
      </c>
      <c r="N414" s="8">
        <v>6.0</v>
      </c>
      <c r="O414" s="8">
        <v>618.0</v>
      </c>
      <c r="P414" s="8">
        <v>628.0</v>
      </c>
      <c r="Q414" s="10">
        <v>46180.0</v>
      </c>
      <c r="R414" s="8" t="s">
        <v>2075</v>
      </c>
      <c r="S414" s="8"/>
      <c r="T414" s="8"/>
      <c r="U414" s="8"/>
      <c r="V414" s="8"/>
      <c r="W414" s="8" t="s">
        <v>2821</v>
      </c>
      <c r="X414" s="8"/>
      <c r="Y414" s="8" t="s">
        <v>2822</v>
      </c>
      <c r="Z414" s="8" t="s">
        <v>5517</v>
      </c>
      <c r="AA414" s="8"/>
      <c r="AB414" s="8"/>
      <c r="AC414" s="8"/>
      <c r="AD414" s="8" t="s">
        <v>2080</v>
      </c>
      <c r="AE414" s="8" t="s">
        <v>2080</v>
      </c>
      <c r="AF414" s="8">
        <v>2.007275955E9</v>
      </c>
      <c r="AG414" s="8">
        <v>1.7560476E7</v>
      </c>
      <c r="AH414" s="8" t="s">
        <v>5518</v>
      </c>
      <c r="AI414" s="8" t="s">
        <v>1759</v>
      </c>
      <c r="AJ414" s="8" t="s">
        <v>5519</v>
      </c>
      <c r="AK414" s="8" t="s">
        <v>5520</v>
      </c>
      <c r="AL414" s="8" t="s">
        <v>5521</v>
      </c>
      <c r="AM414" s="8" t="s">
        <v>2999</v>
      </c>
    </row>
    <row r="415" ht="14.25" customHeight="1">
      <c r="A415" s="8">
        <v>275.0</v>
      </c>
      <c r="B415" s="8" t="s">
        <v>5522</v>
      </c>
      <c r="C415" s="8"/>
      <c r="D415" s="8" t="s">
        <v>1761</v>
      </c>
      <c r="E415" s="8" t="s">
        <v>5523</v>
      </c>
      <c r="F415" s="8" t="s">
        <v>5524</v>
      </c>
      <c r="G415" s="8"/>
      <c r="H415" s="8"/>
      <c r="I415" s="7">
        <v>39310.0</v>
      </c>
      <c r="J415" s="8" t="s">
        <v>5525</v>
      </c>
      <c r="K415" s="8" t="s">
        <v>2755</v>
      </c>
      <c r="L415" s="8">
        <v>2007.0</v>
      </c>
      <c r="M415" s="8">
        <v>15.0</v>
      </c>
      <c r="N415" s="8">
        <v>5.0</v>
      </c>
      <c r="O415" s="8">
        <v>500.0</v>
      </c>
      <c r="P415" s="8">
        <v>507.0</v>
      </c>
      <c r="Q415" s="10">
        <v>46149.0</v>
      </c>
      <c r="R415" s="8" t="s">
        <v>2075</v>
      </c>
      <c r="S415" s="8"/>
      <c r="T415" s="8"/>
      <c r="U415" s="8"/>
      <c r="V415" s="8"/>
      <c r="W415" s="8" t="s">
        <v>2756</v>
      </c>
      <c r="X415" s="8"/>
      <c r="Y415" s="8" t="s">
        <v>2674</v>
      </c>
      <c r="Z415" s="8" t="s">
        <v>5526</v>
      </c>
      <c r="AA415" s="8"/>
      <c r="AB415" s="8"/>
      <c r="AC415" s="8"/>
      <c r="AD415" s="8" t="s">
        <v>2080</v>
      </c>
      <c r="AE415" s="8" t="s">
        <v>2080</v>
      </c>
      <c r="AF415" s="8"/>
      <c r="AG415" s="8">
        <v>1.7216271E7</v>
      </c>
      <c r="AH415" s="8" t="s">
        <v>5527</v>
      </c>
      <c r="AI415" s="8" t="s">
        <v>1763</v>
      </c>
      <c r="AJ415" s="8" t="s">
        <v>5528</v>
      </c>
      <c r="AK415" s="8" t="s">
        <v>5529</v>
      </c>
      <c r="AL415" s="8" t="s">
        <v>5530</v>
      </c>
      <c r="AM415" s="8" t="s">
        <v>2763</v>
      </c>
    </row>
    <row r="416" ht="14.25" customHeight="1">
      <c r="A416" s="8">
        <v>276.0</v>
      </c>
      <c r="B416" s="8" t="s">
        <v>2968</v>
      </c>
      <c r="C416" s="8"/>
      <c r="D416" s="8" t="s">
        <v>2969</v>
      </c>
      <c r="E416" s="8" t="s">
        <v>2970</v>
      </c>
      <c r="F416" s="8" t="s">
        <v>2971</v>
      </c>
      <c r="G416" s="8"/>
      <c r="H416" s="8"/>
      <c r="I416" s="7">
        <v>39203.0</v>
      </c>
      <c r="J416" s="8" t="s">
        <v>2972</v>
      </c>
      <c r="K416" s="8" t="s">
        <v>2892</v>
      </c>
      <c r="L416" s="8">
        <v>2007.0</v>
      </c>
      <c r="M416" s="8">
        <v>35.0</v>
      </c>
      <c r="N416" s="8">
        <v>5.0</v>
      </c>
      <c r="O416" s="8">
        <v>740.0</v>
      </c>
      <c r="P416" s="8">
        <v>748.0</v>
      </c>
      <c r="Q416" s="10">
        <v>46149.0</v>
      </c>
      <c r="R416" s="8" t="s">
        <v>2075</v>
      </c>
      <c r="S416" s="8"/>
      <c r="T416" s="8"/>
      <c r="U416" s="8"/>
      <c r="V416" s="8"/>
      <c r="W416" s="8" t="s">
        <v>2893</v>
      </c>
      <c r="X416" s="8"/>
      <c r="Y416" s="8" t="s">
        <v>2894</v>
      </c>
      <c r="Z416" s="8" t="s">
        <v>2973</v>
      </c>
      <c r="AA416" s="8"/>
      <c r="AB416" s="8"/>
      <c r="AC416" s="8"/>
      <c r="AD416" s="8" t="s">
        <v>2080</v>
      </c>
      <c r="AE416" s="8" t="s">
        <v>2080</v>
      </c>
      <c r="AF416" s="8">
        <v>2.007301223E9</v>
      </c>
      <c r="AG416" s="8">
        <v>1.7293471E7</v>
      </c>
      <c r="AH416" s="8" t="s">
        <v>2974</v>
      </c>
      <c r="AI416" s="8" t="s">
        <v>533</v>
      </c>
      <c r="AJ416" s="8" t="s">
        <v>2975</v>
      </c>
      <c r="AK416" s="8" t="s">
        <v>2976</v>
      </c>
      <c r="AL416" s="8" t="s">
        <v>2977</v>
      </c>
      <c r="AM416" s="8" t="s">
        <v>2978</v>
      </c>
    </row>
    <row r="417" ht="14.25" customHeight="1">
      <c r="A417" s="8">
        <v>277.0</v>
      </c>
      <c r="B417" s="8" t="s">
        <v>2979</v>
      </c>
      <c r="C417" s="8"/>
      <c r="D417" s="8" t="s">
        <v>2980</v>
      </c>
      <c r="E417" s="8" t="s">
        <v>2981</v>
      </c>
      <c r="F417" s="8" t="s">
        <v>2982</v>
      </c>
      <c r="G417" s="8"/>
      <c r="H417" s="8"/>
      <c r="I417" s="7">
        <v>39247.0</v>
      </c>
      <c r="J417" s="8" t="s">
        <v>2983</v>
      </c>
      <c r="K417" s="8" t="s">
        <v>2755</v>
      </c>
      <c r="L417" s="8">
        <v>2007.0</v>
      </c>
      <c r="M417" s="8">
        <v>15.0</v>
      </c>
      <c r="N417" s="8">
        <v>4.0</v>
      </c>
      <c r="O417" s="8">
        <v>402.0</v>
      </c>
      <c r="P417" s="8">
        <v>414.0</v>
      </c>
      <c r="Q417" s="10">
        <v>46119.0</v>
      </c>
      <c r="R417" s="8" t="s">
        <v>2075</v>
      </c>
      <c r="S417" s="8"/>
      <c r="T417" s="8"/>
      <c r="U417" s="8"/>
      <c r="V417" s="8"/>
      <c r="W417" s="8" t="s">
        <v>2756</v>
      </c>
      <c r="X417" s="8"/>
      <c r="Y417" s="8" t="s">
        <v>2674</v>
      </c>
      <c r="Z417" s="8" t="s">
        <v>2984</v>
      </c>
      <c r="AA417" s="8"/>
      <c r="AB417" s="8"/>
      <c r="AC417" s="8"/>
      <c r="AD417" s="8" t="s">
        <v>2080</v>
      </c>
      <c r="AE417" s="8" t="s">
        <v>2080</v>
      </c>
      <c r="AF417" s="8"/>
      <c r="AG417" s="8">
        <v>1.7219226E7</v>
      </c>
      <c r="AH417" s="8" t="s">
        <v>2985</v>
      </c>
      <c r="AI417" s="8" t="s">
        <v>553</v>
      </c>
      <c r="AJ417" s="8" t="s">
        <v>2986</v>
      </c>
      <c r="AK417" s="8" t="s">
        <v>2987</v>
      </c>
      <c r="AL417" s="8" t="s">
        <v>2988</v>
      </c>
      <c r="AM417" s="8" t="s">
        <v>2763</v>
      </c>
    </row>
    <row r="418" ht="14.25" customHeight="1">
      <c r="A418" s="8">
        <v>278.0</v>
      </c>
      <c r="B418" s="8" t="s">
        <v>2989</v>
      </c>
      <c r="C418" s="8"/>
      <c r="D418" s="8" t="s">
        <v>2990</v>
      </c>
      <c r="E418" s="8" t="s">
        <v>2991</v>
      </c>
      <c r="F418" s="8" t="s">
        <v>2992</v>
      </c>
      <c r="G418" s="8"/>
      <c r="H418" s="8"/>
      <c r="I418" s="7">
        <v>39162.0</v>
      </c>
      <c r="J418" s="8" t="s">
        <v>2993</v>
      </c>
      <c r="K418" s="8" t="s">
        <v>2892</v>
      </c>
      <c r="L418" s="8">
        <v>2007.0</v>
      </c>
      <c r="M418" s="8">
        <v>35.0</v>
      </c>
      <c r="N418" s="8">
        <v>3.0</v>
      </c>
      <c r="O418" s="8">
        <v>384.0</v>
      </c>
      <c r="P418" s="8">
        <v>394.0</v>
      </c>
      <c r="Q418" s="10">
        <v>46088.0</v>
      </c>
      <c r="R418" s="8" t="s">
        <v>2075</v>
      </c>
      <c r="S418" s="8"/>
      <c r="T418" s="8"/>
      <c r="U418" s="8"/>
      <c r="V418" s="8"/>
      <c r="W418" s="8" t="s">
        <v>2893</v>
      </c>
      <c r="X418" s="8"/>
      <c r="Y418" s="8" t="s">
        <v>2894</v>
      </c>
      <c r="Z418" s="8" t="s">
        <v>2994</v>
      </c>
      <c r="AA418" s="8"/>
      <c r="AB418" s="8"/>
      <c r="AC418" s="8"/>
      <c r="AD418" s="8" t="s">
        <v>2080</v>
      </c>
      <c r="AE418" s="8" t="s">
        <v>2080</v>
      </c>
      <c r="AF418" s="8">
        <v>2.007097084E9</v>
      </c>
      <c r="AG418" s="8">
        <v>1.7218661E7</v>
      </c>
      <c r="AH418" s="8" t="s">
        <v>2995</v>
      </c>
      <c r="AI418" s="8" t="s">
        <v>558</v>
      </c>
      <c r="AJ418" s="8" t="s">
        <v>2996</v>
      </c>
      <c r="AK418" s="8" t="s">
        <v>2997</v>
      </c>
      <c r="AL418" s="8" t="s">
        <v>2998</v>
      </c>
      <c r="AM418" s="8" t="s">
        <v>2999</v>
      </c>
    </row>
    <row r="419" ht="14.25" customHeight="1">
      <c r="A419" s="8">
        <v>279.0</v>
      </c>
      <c r="B419" s="8" t="s">
        <v>3000</v>
      </c>
      <c r="C419" s="8"/>
      <c r="D419" s="8" t="s">
        <v>3001</v>
      </c>
      <c r="E419" s="8" t="s">
        <v>3002</v>
      </c>
      <c r="F419" s="8" t="s">
        <v>3003</v>
      </c>
      <c r="G419" s="8"/>
      <c r="H419" s="8"/>
      <c r="I419" s="7">
        <v>39042.0</v>
      </c>
      <c r="J419" s="8" t="s">
        <v>3004</v>
      </c>
      <c r="K419" s="8" t="s">
        <v>2892</v>
      </c>
      <c r="L419" s="8">
        <v>2006.0</v>
      </c>
      <c r="M419" s="8">
        <v>34.0</v>
      </c>
      <c r="N419" s="8">
        <v>12.0</v>
      </c>
      <c r="O419" s="8">
        <v>1933.0</v>
      </c>
      <c r="P419" s="8">
        <v>1940.0</v>
      </c>
      <c r="Q419" s="10">
        <v>46362.0</v>
      </c>
      <c r="R419" s="8" t="s">
        <v>2075</v>
      </c>
      <c r="S419" s="8"/>
      <c r="T419" s="8"/>
      <c r="U419" s="8"/>
      <c r="V419" s="8"/>
      <c r="W419" s="8" t="s">
        <v>2893</v>
      </c>
      <c r="X419" s="8"/>
      <c r="Y419" s="8" t="s">
        <v>2894</v>
      </c>
      <c r="Z419" s="8" t="s">
        <v>3005</v>
      </c>
      <c r="AA419" s="8"/>
      <c r="AB419" s="8"/>
      <c r="AC419" s="8"/>
      <c r="AD419" s="8" t="s">
        <v>2080</v>
      </c>
      <c r="AE419" s="8" t="s">
        <v>2080</v>
      </c>
      <c r="AF419" s="8">
        <v>2.00654687E9</v>
      </c>
      <c r="AG419" s="8">
        <v>1.6923826E7</v>
      </c>
      <c r="AH419" s="8" t="s">
        <v>3006</v>
      </c>
      <c r="AI419" s="8" t="s">
        <v>572</v>
      </c>
      <c r="AJ419" s="8" t="s">
        <v>3007</v>
      </c>
      <c r="AK419" s="8" t="s">
        <v>3008</v>
      </c>
      <c r="AL419" s="8" t="s">
        <v>3009</v>
      </c>
      <c r="AM419" s="8" t="s">
        <v>2900</v>
      </c>
    </row>
    <row r="420" ht="14.25" customHeight="1">
      <c r="A420" s="8">
        <v>280.0</v>
      </c>
      <c r="B420" s="8" t="s">
        <v>5531</v>
      </c>
      <c r="C420" s="8"/>
      <c r="D420" s="8" t="s">
        <v>5532</v>
      </c>
      <c r="E420" s="8" t="s">
        <v>5533</v>
      </c>
      <c r="F420" s="8" t="s">
        <v>5534</v>
      </c>
      <c r="G420" s="8"/>
      <c r="H420" s="8"/>
      <c r="I420" s="7">
        <v>38991.0</v>
      </c>
      <c r="J420" s="8" t="s">
        <v>5535</v>
      </c>
      <c r="K420" s="8" t="s">
        <v>2892</v>
      </c>
      <c r="L420" s="8">
        <v>2006.0</v>
      </c>
      <c r="M420" s="8">
        <v>34.0</v>
      </c>
      <c r="N420" s="8">
        <v>10.0</v>
      </c>
      <c r="O420" s="8">
        <v>1574.0</v>
      </c>
      <c r="P420" s="8">
        <v>1580.0</v>
      </c>
      <c r="Q420" s="10">
        <v>46301.0</v>
      </c>
      <c r="R420" s="8" t="s">
        <v>2075</v>
      </c>
      <c r="S420" s="8"/>
      <c r="T420" s="8"/>
      <c r="U420" s="8"/>
      <c r="V420" s="8"/>
      <c r="W420" s="8" t="s">
        <v>2893</v>
      </c>
      <c r="X420" s="8"/>
      <c r="Y420" s="8" t="s">
        <v>2894</v>
      </c>
      <c r="Z420" s="8" t="s">
        <v>5536</v>
      </c>
      <c r="AA420" s="8"/>
      <c r="AB420" s="8"/>
      <c r="AC420" s="8"/>
      <c r="AD420" s="8" t="s">
        <v>2080</v>
      </c>
      <c r="AE420" s="8" t="s">
        <v>2080</v>
      </c>
      <c r="AF420" s="8">
        <v>2.006450079E9</v>
      </c>
      <c r="AG420" s="8">
        <v>1.6685087E7</v>
      </c>
      <c r="AH420" s="8" t="s">
        <v>5537</v>
      </c>
      <c r="AI420" s="8" t="s">
        <v>1772</v>
      </c>
      <c r="AJ420" s="8" t="s">
        <v>5538</v>
      </c>
      <c r="AK420" s="8" t="s">
        <v>5539</v>
      </c>
      <c r="AL420" s="8" t="s">
        <v>5540</v>
      </c>
      <c r="AM420" s="8" t="s">
        <v>2828</v>
      </c>
    </row>
    <row r="421" ht="14.25" customHeight="1">
      <c r="A421" s="8">
        <v>281.0</v>
      </c>
      <c r="B421" s="8" t="s">
        <v>3010</v>
      </c>
      <c r="C421" s="8"/>
      <c r="D421" s="8" t="s">
        <v>3011</v>
      </c>
      <c r="E421" s="8" t="s">
        <v>3012</v>
      </c>
      <c r="F421" s="8" t="s">
        <v>3013</v>
      </c>
      <c r="G421" s="8"/>
      <c r="H421" s="8"/>
      <c r="I421" s="7">
        <v>38991.0</v>
      </c>
      <c r="J421" s="8" t="s">
        <v>3014</v>
      </c>
      <c r="K421" s="8" t="s">
        <v>2755</v>
      </c>
      <c r="L421" s="8">
        <v>2006.0</v>
      </c>
      <c r="M421" s="8">
        <v>14.0</v>
      </c>
      <c r="N421" s="8">
        <v>10.0</v>
      </c>
      <c r="O421" s="8">
        <v>1021.0</v>
      </c>
      <c r="P421" s="8">
        <v>1028.0</v>
      </c>
      <c r="Q421" s="10">
        <v>46301.0</v>
      </c>
      <c r="R421" s="8" t="s">
        <v>2075</v>
      </c>
      <c r="S421" s="8"/>
      <c r="T421" s="8"/>
      <c r="U421" s="8"/>
      <c r="V421" s="8"/>
      <c r="W421" s="8" t="s">
        <v>2756</v>
      </c>
      <c r="X421" s="8"/>
      <c r="Y421" s="8" t="s">
        <v>2757</v>
      </c>
      <c r="Z421" s="8" t="s">
        <v>3015</v>
      </c>
      <c r="AA421" s="8"/>
      <c r="AB421" s="8"/>
      <c r="AC421" s="8"/>
      <c r="AD421" s="8" t="s">
        <v>2080</v>
      </c>
      <c r="AE421" s="8" t="s">
        <v>2080</v>
      </c>
      <c r="AF421" s="8"/>
      <c r="AG421" s="8">
        <v>1.6496124E7</v>
      </c>
      <c r="AH421" s="8" t="s">
        <v>3016</v>
      </c>
      <c r="AI421" s="8" t="s">
        <v>582</v>
      </c>
      <c r="AJ421" s="8" t="s">
        <v>3017</v>
      </c>
      <c r="AK421" s="8" t="s">
        <v>3018</v>
      </c>
      <c r="AL421" s="8" t="s">
        <v>3019</v>
      </c>
      <c r="AM421" s="8" t="s">
        <v>2763</v>
      </c>
    </row>
    <row r="422" ht="14.25" customHeight="1">
      <c r="A422" s="8">
        <v>282.0</v>
      </c>
      <c r="B422" s="8" t="s">
        <v>5541</v>
      </c>
      <c r="C422" s="8"/>
      <c r="D422" s="8" t="s">
        <v>5542</v>
      </c>
      <c r="E422" s="8" t="s">
        <v>5543</v>
      </c>
      <c r="F422" s="8" t="s">
        <v>5544</v>
      </c>
      <c r="G422" s="8"/>
      <c r="H422" s="8"/>
      <c r="I422" s="7">
        <v>38930.0</v>
      </c>
      <c r="J422" s="8" t="s">
        <v>5545</v>
      </c>
      <c r="K422" s="8" t="s">
        <v>2755</v>
      </c>
      <c r="L422" s="8">
        <v>2006.0</v>
      </c>
      <c r="M422" s="8">
        <v>14.0</v>
      </c>
      <c r="N422" s="8">
        <v>8.0</v>
      </c>
      <c r="O422" s="8">
        <v>730.0</v>
      </c>
      <c r="P422" s="8">
        <v>738.0</v>
      </c>
      <c r="Q422" s="10">
        <v>46240.0</v>
      </c>
      <c r="R422" s="8" t="s">
        <v>2075</v>
      </c>
      <c r="S422" s="8"/>
      <c r="T422" s="8"/>
      <c r="U422" s="8"/>
      <c r="V422" s="8"/>
      <c r="W422" s="8" t="s">
        <v>2756</v>
      </c>
      <c r="X422" s="8"/>
      <c r="Y422" s="8" t="s">
        <v>2757</v>
      </c>
      <c r="Z422" s="8" t="s">
        <v>5546</v>
      </c>
      <c r="AA422" s="8"/>
      <c r="AB422" s="8"/>
      <c r="AC422" s="8"/>
      <c r="AD422" s="8" t="s">
        <v>2080</v>
      </c>
      <c r="AE422" s="8" t="s">
        <v>2080</v>
      </c>
      <c r="AF422" s="8"/>
      <c r="AG422" s="8">
        <v>1.6465537E7</v>
      </c>
      <c r="AH422" s="8" t="s">
        <v>5547</v>
      </c>
      <c r="AI422" s="8" t="s">
        <v>1781</v>
      </c>
      <c r="AJ422" s="8" t="s">
        <v>5548</v>
      </c>
      <c r="AK422" s="8" t="s">
        <v>5549</v>
      </c>
      <c r="AL422" s="8" t="s">
        <v>5550</v>
      </c>
      <c r="AM422" s="8" t="s">
        <v>2763</v>
      </c>
    </row>
    <row r="423" ht="14.25" customHeight="1">
      <c r="A423" s="8">
        <v>283.0</v>
      </c>
      <c r="B423" s="8" t="s">
        <v>5551</v>
      </c>
      <c r="C423" s="8"/>
      <c r="D423" s="8" t="s">
        <v>5552</v>
      </c>
      <c r="E423" s="8" t="s">
        <v>5553</v>
      </c>
      <c r="F423" s="8" t="s">
        <v>5554</v>
      </c>
      <c r="G423" s="8"/>
      <c r="H423" s="8"/>
      <c r="I423" s="7">
        <v>38796.0</v>
      </c>
      <c r="J423" s="8" t="s">
        <v>5555</v>
      </c>
      <c r="K423" s="8" t="s">
        <v>2241</v>
      </c>
      <c r="L423" s="8">
        <v>2006.0</v>
      </c>
      <c r="M423" s="8">
        <v>22.0</v>
      </c>
      <c r="N423" s="8">
        <v>3.0</v>
      </c>
      <c r="O423" s="8">
        <v>240.0</v>
      </c>
      <c r="P423" s="8">
        <v>251.0</v>
      </c>
      <c r="Q423" s="10">
        <v>46087.0</v>
      </c>
      <c r="R423" s="8" t="s">
        <v>2075</v>
      </c>
      <c r="S423" s="8"/>
      <c r="T423" s="8"/>
      <c r="U423" s="8"/>
      <c r="V423" s="8"/>
      <c r="W423" s="8" t="s">
        <v>2821</v>
      </c>
      <c r="X423" s="8"/>
      <c r="Y423" s="8" t="s">
        <v>2822</v>
      </c>
      <c r="Z423" s="8" t="s">
        <v>5556</v>
      </c>
      <c r="AA423" s="8"/>
      <c r="AB423" s="8"/>
      <c r="AC423" s="8"/>
      <c r="AD423" s="8" t="s">
        <v>2080</v>
      </c>
      <c r="AE423" s="8" t="s">
        <v>2080</v>
      </c>
      <c r="AF423" s="8">
        <v>2.006108212E9</v>
      </c>
      <c r="AG423" s="8">
        <v>1.6517306E7</v>
      </c>
      <c r="AH423" s="8" t="s">
        <v>5557</v>
      </c>
      <c r="AI423" s="8" t="s">
        <v>1776</v>
      </c>
      <c r="AJ423" s="8" t="s">
        <v>5558</v>
      </c>
      <c r="AK423" s="8" t="s">
        <v>5559</v>
      </c>
      <c r="AL423" s="8" t="s">
        <v>5560</v>
      </c>
      <c r="AM423" s="8" t="s">
        <v>2900</v>
      </c>
    </row>
    <row r="424" ht="14.25" customHeight="1">
      <c r="A424" s="8">
        <v>284.0</v>
      </c>
      <c r="B424" s="8" t="s">
        <v>598</v>
      </c>
      <c r="C424" s="8"/>
      <c r="D424" s="8" t="s">
        <v>3030</v>
      </c>
      <c r="E424" s="8" t="s">
        <v>3031</v>
      </c>
      <c r="F424" s="8" t="s">
        <v>3032</v>
      </c>
      <c r="G424" s="8"/>
      <c r="H424" s="8"/>
      <c r="I424" s="7">
        <v>38769.0</v>
      </c>
      <c r="J424" s="8" t="s">
        <v>3033</v>
      </c>
      <c r="K424" s="8" t="s">
        <v>2892</v>
      </c>
      <c r="L424" s="8">
        <v>2006.0</v>
      </c>
      <c r="M424" s="8">
        <v>34.0</v>
      </c>
      <c r="N424" s="8">
        <v>2.0</v>
      </c>
      <c r="O424" s="8">
        <v>213.0</v>
      </c>
      <c r="P424" s="8">
        <v>219.0</v>
      </c>
      <c r="Q424" s="10">
        <v>46059.0</v>
      </c>
      <c r="R424" s="8" t="s">
        <v>2075</v>
      </c>
      <c r="S424" s="8"/>
      <c r="T424" s="8"/>
      <c r="U424" s="8"/>
      <c r="V424" s="8"/>
      <c r="W424" s="8" t="s">
        <v>2893</v>
      </c>
      <c r="X424" s="8"/>
      <c r="Y424" s="8" t="s">
        <v>2894</v>
      </c>
      <c r="Z424" s="8" t="s">
        <v>3034</v>
      </c>
      <c r="AA424" s="8"/>
      <c r="AB424" s="8"/>
      <c r="AC424" s="8"/>
      <c r="AD424" s="8" t="s">
        <v>2080</v>
      </c>
      <c r="AE424" s="8" t="s">
        <v>2080</v>
      </c>
      <c r="AF424" s="8">
        <v>2.006052008E9</v>
      </c>
      <c r="AG424" s="8">
        <v>1.6282583E7</v>
      </c>
      <c r="AH424" s="8" t="s">
        <v>3035</v>
      </c>
      <c r="AI424" s="8" t="s">
        <v>602</v>
      </c>
      <c r="AJ424" s="8" t="s">
        <v>3036</v>
      </c>
      <c r="AK424" s="8" t="s">
        <v>3037</v>
      </c>
      <c r="AL424" s="8" t="s">
        <v>3038</v>
      </c>
      <c r="AM424" s="8" t="s">
        <v>2900</v>
      </c>
    </row>
    <row r="425" ht="14.25" customHeight="1">
      <c r="A425" s="8">
        <v>285.0</v>
      </c>
      <c r="B425" s="8" t="s">
        <v>5561</v>
      </c>
      <c r="C425" s="8"/>
      <c r="D425" s="8" t="s">
        <v>5562</v>
      </c>
      <c r="E425" s="8" t="s">
        <v>5563</v>
      </c>
      <c r="F425" s="8" t="s">
        <v>5564</v>
      </c>
      <c r="G425" s="8"/>
      <c r="H425" s="8"/>
      <c r="I425" s="7">
        <v>38715.0</v>
      </c>
      <c r="J425" s="8" t="s">
        <v>5565</v>
      </c>
      <c r="K425" s="8" t="s">
        <v>2241</v>
      </c>
      <c r="L425" s="8">
        <v>2005.0</v>
      </c>
      <c r="M425" s="8">
        <v>21.0</v>
      </c>
      <c r="N425" s="8">
        <v>11.0</v>
      </c>
      <c r="O425" s="8">
        <v>1337.0</v>
      </c>
      <c r="P425" s="8">
        <v>1341.0</v>
      </c>
      <c r="Q425" s="10">
        <v>46331.0</v>
      </c>
      <c r="R425" s="8" t="s">
        <v>2075</v>
      </c>
      <c r="S425" s="8"/>
      <c r="T425" s="8"/>
      <c r="U425" s="8"/>
      <c r="V425" s="8"/>
      <c r="W425" s="8" t="s">
        <v>2821</v>
      </c>
      <c r="X425" s="8"/>
      <c r="Y425" s="8" t="s">
        <v>2822</v>
      </c>
      <c r="Z425" s="8" t="s">
        <v>5566</v>
      </c>
      <c r="AA425" s="8"/>
      <c r="AB425" s="8"/>
      <c r="AC425" s="8"/>
      <c r="AD425" s="8" t="s">
        <v>2080</v>
      </c>
      <c r="AE425" s="8" t="s">
        <v>2080</v>
      </c>
      <c r="AF425" s="8">
        <v>2.005551635E9</v>
      </c>
      <c r="AG425" s="8">
        <v>1.6325084E7</v>
      </c>
      <c r="AH425" s="8" t="s">
        <v>5567</v>
      </c>
      <c r="AI425" s="8" t="s">
        <v>1786</v>
      </c>
      <c r="AJ425" s="8" t="s">
        <v>5568</v>
      </c>
      <c r="AK425" s="8" t="s">
        <v>5569</v>
      </c>
      <c r="AL425" s="8" t="s">
        <v>5570</v>
      </c>
      <c r="AM425" s="8" t="s">
        <v>2967</v>
      </c>
    </row>
    <row r="426" ht="14.25" customHeight="1">
      <c r="A426" s="8">
        <v>286.0</v>
      </c>
      <c r="B426" s="8" t="s">
        <v>3065</v>
      </c>
      <c r="C426" s="8"/>
      <c r="D426" s="8"/>
      <c r="E426" s="8"/>
      <c r="F426" s="8"/>
      <c r="G426" s="8"/>
      <c r="H426" s="7">
        <v>45791.0</v>
      </c>
      <c r="I426" s="7">
        <v>45791.0</v>
      </c>
      <c r="J426" s="8" t="s">
        <v>3066</v>
      </c>
      <c r="K426" s="8" t="s">
        <v>2089</v>
      </c>
      <c r="L426" s="8">
        <v>2005.0</v>
      </c>
      <c r="M426" s="8"/>
      <c r="N426" s="8"/>
      <c r="O426" s="8"/>
      <c r="P426" s="8"/>
      <c r="Q426" s="9">
        <v>38608.0</v>
      </c>
      <c r="R426" s="8" t="s">
        <v>2090</v>
      </c>
      <c r="S426" s="8"/>
      <c r="T426" s="8"/>
      <c r="U426" s="8"/>
      <c r="V426" s="8"/>
      <c r="W426" s="8"/>
      <c r="X426" s="8"/>
      <c r="Y426" s="8" t="s">
        <v>2089</v>
      </c>
      <c r="Z426" s="8" t="s">
        <v>3067</v>
      </c>
      <c r="AA426" s="8"/>
      <c r="AB426" s="8"/>
      <c r="AC426" s="8"/>
      <c r="AD426" s="8" t="s">
        <v>2080</v>
      </c>
      <c r="AE426" s="8" t="s">
        <v>2080</v>
      </c>
      <c r="AF426" s="8"/>
      <c r="AG426" s="8"/>
      <c r="AH426" s="8" t="s">
        <v>3068</v>
      </c>
      <c r="AI426" s="8"/>
      <c r="AJ426" s="8" t="s">
        <v>3069</v>
      </c>
      <c r="AK426" s="8" t="s">
        <v>3070</v>
      </c>
      <c r="AL426" s="8"/>
      <c r="AM426" s="8" t="s">
        <v>2095</v>
      </c>
    </row>
    <row r="427" ht="14.25" customHeight="1">
      <c r="A427" s="8">
        <v>287.0</v>
      </c>
      <c r="B427" s="8" t="s">
        <v>5571</v>
      </c>
      <c r="C427" s="8" t="s">
        <v>5572</v>
      </c>
      <c r="D427" s="8" t="s">
        <v>5573</v>
      </c>
      <c r="E427" s="8" t="s">
        <v>5574</v>
      </c>
      <c r="F427" s="8" t="s">
        <v>5575</v>
      </c>
      <c r="G427" s="8"/>
      <c r="H427" s="8"/>
      <c r="I427" s="7">
        <v>38674.0</v>
      </c>
      <c r="J427" s="8" t="s">
        <v>5576</v>
      </c>
      <c r="K427" s="8" t="s">
        <v>5577</v>
      </c>
      <c r="L427" s="8">
        <v>2005.0</v>
      </c>
      <c r="M427" s="8">
        <v>19.0</v>
      </c>
      <c r="N427" s="8">
        <v>3.0</v>
      </c>
      <c r="O427" s="8">
        <v>134.0</v>
      </c>
      <c r="P427" s="8">
        <v>139.0</v>
      </c>
      <c r="Q427" s="10">
        <v>46270.0</v>
      </c>
      <c r="R427" s="8" t="s">
        <v>2075</v>
      </c>
      <c r="S427" s="8"/>
      <c r="T427" s="8"/>
      <c r="U427" s="8"/>
      <c r="V427" s="8"/>
      <c r="W427" s="8" t="s">
        <v>5578</v>
      </c>
      <c r="X427" s="8"/>
      <c r="Y427" s="8" t="s">
        <v>5579</v>
      </c>
      <c r="Z427" s="8" t="s">
        <v>5580</v>
      </c>
      <c r="AA427" s="8"/>
      <c r="AB427" s="8"/>
      <c r="AC427" s="8"/>
      <c r="AD427" s="8" t="s">
        <v>3339</v>
      </c>
      <c r="AE427" s="8" t="s">
        <v>3340</v>
      </c>
      <c r="AF427" s="8"/>
      <c r="AG427" s="8">
        <v>1.6167266E7</v>
      </c>
      <c r="AH427" s="8" t="s">
        <v>5581</v>
      </c>
      <c r="AI427" s="8" t="s">
        <v>1792</v>
      </c>
      <c r="AJ427" s="8" t="s">
        <v>5582</v>
      </c>
      <c r="AK427" s="8" t="s">
        <v>5583</v>
      </c>
      <c r="AL427" s="8" t="s">
        <v>5584</v>
      </c>
      <c r="AM427" s="8" t="s">
        <v>2763</v>
      </c>
    </row>
    <row r="428" ht="14.25" customHeight="1">
      <c r="A428" s="8">
        <v>288.0</v>
      </c>
      <c r="B428" s="8" t="s">
        <v>3083</v>
      </c>
      <c r="C428" s="8"/>
      <c r="D428" s="8" t="s">
        <v>3084</v>
      </c>
      <c r="E428" s="8" t="s">
        <v>3085</v>
      </c>
      <c r="F428" s="8" t="s">
        <v>3086</v>
      </c>
      <c r="G428" s="8"/>
      <c r="H428" s="8"/>
      <c r="I428" s="7">
        <v>38460.0</v>
      </c>
      <c r="J428" s="8" t="s">
        <v>3087</v>
      </c>
      <c r="K428" s="8" t="s">
        <v>2241</v>
      </c>
      <c r="L428" s="8">
        <v>2005.0</v>
      </c>
      <c r="M428" s="8">
        <v>21.0</v>
      </c>
      <c r="N428" s="8">
        <v>4.0</v>
      </c>
      <c r="O428" s="8">
        <v>412.0</v>
      </c>
      <c r="P428" s="8">
        <v>417.0</v>
      </c>
      <c r="Q428" s="10">
        <v>46117.0</v>
      </c>
      <c r="R428" s="8" t="s">
        <v>2075</v>
      </c>
      <c r="S428" s="8"/>
      <c r="T428" s="8"/>
      <c r="U428" s="8"/>
      <c r="V428" s="8"/>
      <c r="W428" s="8" t="s">
        <v>2821</v>
      </c>
      <c r="X428" s="8"/>
      <c r="Y428" s="8" t="s">
        <v>2822</v>
      </c>
      <c r="Z428" s="8" t="s">
        <v>3088</v>
      </c>
      <c r="AA428" s="8"/>
      <c r="AB428" s="8"/>
      <c r="AC428" s="8"/>
      <c r="AD428" s="8" t="s">
        <v>2080</v>
      </c>
      <c r="AE428" s="8" t="s">
        <v>2080</v>
      </c>
      <c r="AF428" s="8">
        <v>2.005144631E9</v>
      </c>
      <c r="AG428" s="8">
        <v>1.580052E7</v>
      </c>
      <c r="AH428" s="8" t="s">
        <v>3089</v>
      </c>
      <c r="AI428" s="8" t="s">
        <v>617</v>
      </c>
      <c r="AJ428" s="8" t="s">
        <v>3090</v>
      </c>
      <c r="AK428" s="8" t="s">
        <v>3091</v>
      </c>
      <c r="AL428" s="8" t="s">
        <v>3092</v>
      </c>
      <c r="AM428" s="8" t="s">
        <v>2900</v>
      </c>
    </row>
    <row r="429" ht="14.25" customHeight="1">
      <c r="A429" s="8">
        <v>289.0</v>
      </c>
      <c r="B429" s="8" t="s">
        <v>5585</v>
      </c>
      <c r="C429" s="8"/>
      <c r="D429" s="8" t="s">
        <v>5586</v>
      </c>
      <c r="E429" s="8" t="s">
        <v>5587</v>
      </c>
      <c r="F429" s="8" t="s">
        <v>5588</v>
      </c>
      <c r="G429" s="8"/>
      <c r="H429" s="8"/>
      <c r="I429" s="7">
        <v>38434.0</v>
      </c>
      <c r="J429" s="8" t="s">
        <v>5589</v>
      </c>
      <c r="K429" s="8" t="s">
        <v>2241</v>
      </c>
      <c r="L429" s="8">
        <v>2005.0</v>
      </c>
      <c r="M429" s="8">
        <v>21.0</v>
      </c>
      <c r="N429" s="8">
        <v>3.0</v>
      </c>
      <c r="O429" s="8">
        <v>275.0</v>
      </c>
      <c r="P429" s="8">
        <v>280.0</v>
      </c>
      <c r="Q429" s="10">
        <v>46086.0</v>
      </c>
      <c r="R429" s="8" t="s">
        <v>2075</v>
      </c>
      <c r="S429" s="8"/>
      <c r="T429" s="8"/>
      <c r="U429" s="8"/>
      <c r="V429" s="8"/>
      <c r="W429" s="8" t="s">
        <v>2821</v>
      </c>
      <c r="X429" s="8"/>
      <c r="Y429" s="8" t="s">
        <v>2822</v>
      </c>
      <c r="Z429" s="8" t="s">
        <v>5590</v>
      </c>
      <c r="AA429" s="8"/>
      <c r="AB429" s="8"/>
      <c r="AC429" s="8"/>
      <c r="AD429" s="8" t="s">
        <v>2080</v>
      </c>
      <c r="AE429" s="8" t="s">
        <v>2080</v>
      </c>
      <c r="AF429" s="8">
        <v>2.005114374E9</v>
      </c>
      <c r="AG429" s="8">
        <v>1.5756179E7</v>
      </c>
      <c r="AH429" s="8" t="s">
        <v>5591</v>
      </c>
      <c r="AI429" s="8" t="s">
        <v>1810</v>
      </c>
      <c r="AJ429" s="8" t="s">
        <v>5592</v>
      </c>
      <c r="AK429" s="8" t="s">
        <v>5593</v>
      </c>
      <c r="AL429" s="8" t="s">
        <v>5594</v>
      </c>
      <c r="AM429" s="8" t="s">
        <v>2900</v>
      </c>
    </row>
    <row r="430" ht="14.25" customHeight="1">
      <c r="A430" s="8">
        <v>290.0</v>
      </c>
      <c r="B430" s="8" t="s">
        <v>5595</v>
      </c>
      <c r="C430" s="8"/>
      <c r="D430" s="8" t="s">
        <v>5596</v>
      </c>
      <c r="E430" s="8" t="s">
        <v>5597</v>
      </c>
      <c r="F430" s="8" t="s">
        <v>5598</v>
      </c>
      <c r="G430" s="8"/>
      <c r="H430" s="8"/>
      <c r="I430" s="7">
        <v>38442.0</v>
      </c>
      <c r="J430" s="8" t="s">
        <v>5599</v>
      </c>
      <c r="K430" s="8" t="s">
        <v>5600</v>
      </c>
      <c r="L430" s="8">
        <v>2005.0</v>
      </c>
      <c r="M430" s="8">
        <v>5.0</v>
      </c>
      <c r="N430" s="8"/>
      <c r="O430" s="8"/>
      <c r="P430" s="8"/>
      <c r="Q430" s="9">
        <v>38404.0</v>
      </c>
      <c r="R430" s="8" t="s">
        <v>2075</v>
      </c>
      <c r="S430" s="8"/>
      <c r="T430" s="8"/>
      <c r="U430" s="8"/>
      <c r="V430" s="8"/>
      <c r="W430" s="8" t="s">
        <v>5601</v>
      </c>
      <c r="X430" s="8"/>
      <c r="Y430" s="8" t="s">
        <v>5602</v>
      </c>
      <c r="Z430" s="8" t="s">
        <v>5603</v>
      </c>
      <c r="AA430" s="8"/>
      <c r="AB430" s="8"/>
      <c r="AC430" s="8"/>
      <c r="AD430" s="8" t="s">
        <v>2080</v>
      </c>
      <c r="AE430" s="8" t="s">
        <v>2080</v>
      </c>
      <c r="AF430" s="8">
        <v>2.005133143E9</v>
      </c>
      <c r="AG430" s="8">
        <v>1.5723704E7</v>
      </c>
      <c r="AH430" s="8" t="s">
        <v>5604</v>
      </c>
      <c r="AI430" s="8" t="s">
        <v>1815</v>
      </c>
      <c r="AJ430" s="8" t="s">
        <v>5605</v>
      </c>
      <c r="AK430" s="8" t="s">
        <v>5606</v>
      </c>
      <c r="AL430" s="8" t="s">
        <v>5607</v>
      </c>
      <c r="AM430" s="8" t="s">
        <v>2978</v>
      </c>
    </row>
    <row r="431" ht="14.25" customHeight="1">
      <c r="A431" s="8">
        <v>291.0</v>
      </c>
      <c r="B431" s="8" t="s">
        <v>638</v>
      </c>
      <c r="C431" s="8"/>
      <c r="D431" s="8" t="s">
        <v>3113</v>
      </c>
      <c r="E431" s="8" t="s">
        <v>3114</v>
      </c>
      <c r="F431" s="8" t="s">
        <v>3115</v>
      </c>
      <c r="G431" s="8"/>
      <c r="H431" s="8"/>
      <c r="I431" s="7">
        <v>38364.0</v>
      </c>
      <c r="J431" s="8" t="s">
        <v>3116</v>
      </c>
      <c r="K431" s="8" t="s">
        <v>2892</v>
      </c>
      <c r="L431" s="8">
        <v>2005.0</v>
      </c>
      <c r="M431" s="8">
        <v>33.0</v>
      </c>
      <c r="N431" s="8">
        <v>1.0</v>
      </c>
      <c r="O431" s="8">
        <v>94.0</v>
      </c>
      <c r="P431" s="8">
        <v>101.0</v>
      </c>
      <c r="Q431" s="10">
        <v>46027.0</v>
      </c>
      <c r="R431" s="8" t="s">
        <v>2075</v>
      </c>
      <c r="S431" s="8"/>
      <c r="T431" s="8"/>
      <c r="U431" s="8"/>
      <c r="V431" s="8"/>
      <c r="W431" s="8" t="s">
        <v>3076</v>
      </c>
      <c r="X431" s="8"/>
      <c r="Y431" s="8" t="s">
        <v>2894</v>
      </c>
      <c r="Z431" s="8" t="s">
        <v>3117</v>
      </c>
      <c r="AA431" s="8"/>
      <c r="AB431" s="8"/>
      <c r="AC431" s="8"/>
      <c r="AD431" s="8" t="s">
        <v>2080</v>
      </c>
      <c r="AE431" s="8" t="s">
        <v>2080</v>
      </c>
      <c r="AF431" s="8">
        <v>2.005011101E9</v>
      </c>
      <c r="AG431" s="8">
        <v>1.5611004E7</v>
      </c>
      <c r="AH431" s="8" t="s">
        <v>3118</v>
      </c>
      <c r="AI431" s="8" t="s">
        <v>642</v>
      </c>
      <c r="AJ431" s="8" t="s">
        <v>3119</v>
      </c>
      <c r="AK431" s="8" t="s">
        <v>3120</v>
      </c>
      <c r="AL431" s="8" t="s">
        <v>3121</v>
      </c>
      <c r="AM431" s="8" t="s">
        <v>2900</v>
      </c>
    </row>
    <row r="432" ht="14.25" customHeight="1">
      <c r="A432" s="8">
        <v>292.0</v>
      </c>
      <c r="B432" s="8" t="s">
        <v>5608</v>
      </c>
      <c r="C432" s="8"/>
      <c r="D432" s="8" t="s">
        <v>5609</v>
      </c>
      <c r="E432" s="8" t="s">
        <v>5610</v>
      </c>
      <c r="F432" s="8" t="s">
        <v>5611</v>
      </c>
      <c r="G432" s="8"/>
      <c r="H432" s="8"/>
      <c r="I432" s="7">
        <v>38377.0</v>
      </c>
      <c r="J432" s="8" t="s">
        <v>5612</v>
      </c>
      <c r="K432" s="8" t="s">
        <v>2241</v>
      </c>
      <c r="L432" s="8">
        <v>2005.0</v>
      </c>
      <c r="M432" s="8">
        <v>21.0</v>
      </c>
      <c r="N432" s="8">
        <v>1.0</v>
      </c>
      <c r="O432" s="8">
        <v>25.0</v>
      </c>
      <c r="P432" s="8">
        <v>33.0</v>
      </c>
      <c r="Q432" s="10">
        <v>46027.0</v>
      </c>
      <c r="R432" s="8" t="s">
        <v>2075</v>
      </c>
      <c r="S432" s="8"/>
      <c r="T432" s="8"/>
      <c r="U432" s="8"/>
      <c r="V432" s="8"/>
      <c r="W432" s="8" t="s">
        <v>2821</v>
      </c>
      <c r="X432" s="8"/>
      <c r="Y432" s="8" t="s">
        <v>2822</v>
      </c>
      <c r="Z432" s="8" t="s">
        <v>5613</v>
      </c>
      <c r="AA432" s="8"/>
      <c r="AB432" s="8"/>
      <c r="AC432" s="8"/>
      <c r="AD432" s="8" t="s">
        <v>2080</v>
      </c>
      <c r="AE432" s="8" t="s">
        <v>2080</v>
      </c>
      <c r="AF432" s="8">
        <v>2.005028336E9</v>
      </c>
      <c r="AG432" s="8">
        <v>1.5650663E7</v>
      </c>
      <c r="AH432" s="8" t="s">
        <v>5614</v>
      </c>
      <c r="AI432" s="8" t="s">
        <v>1819</v>
      </c>
      <c r="AJ432" s="8" t="s">
        <v>5615</v>
      </c>
      <c r="AK432" s="8" t="s">
        <v>5616</v>
      </c>
      <c r="AL432" s="8" t="s">
        <v>5617</v>
      </c>
      <c r="AM432" s="8" t="s">
        <v>2900</v>
      </c>
    </row>
    <row r="433" ht="14.25" customHeight="1">
      <c r="A433" s="8">
        <v>293.0</v>
      </c>
      <c r="B433" s="8" t="s">
        <v>633</v>
      </c>
      <c r="C433" s="8"/>
      <c r="D433" s="8" t="s">
        <v>3122</v>
      </c>
      <c r="E433" s="8" t="s">
        <v>3123</v>
      </c>
      <c r="F433" s="8" t="s">
        <v>3124</v>
      </c>
      <c r="G433" s="8"/>
      <c r="H433" s="8"/>
      <c r="I433" s="7">
        <v>38377.0</v>
      </c>
      <c r="J433" s="8" t="s">
        <v>3125</v>
      </c>
      <c r="K433" s="8" t="s">
        <v>2241</v>
      </c>
      <c r="L433" s="8">
        <v>2005.0</v>
      </c>
      <c r="M433" s="8">
        <v>21.0</v>
      </c>
      <c r="N433" s="8">
        <v>1.0</v>
      </c>
      <c r="O433" s="8">
        <v>34.0</v>
      </c>
      <c r="P433" s="8">
        <v>42.0</v>
      </c>
      <c r="Q433" s="10">
        <v>46027.0</v>
      </c>
      <c r="R433" s="8" t="s">
        <v>2075</v>
      </c>
      <c r="S433" s="8"/>
      <c r="T433" s="8"/>
      <c r="U433" s="8"/>
      <c r="V433" s="8"/>
      <c r="W433" s="8" t="s">
        <v>2821</v>
      </c>
      <c r="X433" s="8"/>
      <c r="Y433" s="8" t="s">
        <v>2822</v>
      </c>
      <c r="Z433" s="8" t="s">
        <v>3126</v>
      </c>
      <c r="AA433" s="8"/>
      <c r="AB433" s="8"/>
      <c r="AC433" s="8"/>
      <c r="AD433" s="8" t="s">
        <v>2080</v>
      </c>
      <c r="AE433" s="8" t="s">
        <v>2080</v>
      </c>
      <c r="AF433" s="8">
        <v>2.005028337E9</v>
      </c>
      <c r="AG433" s="8">
        <v>1.5650664E7</v>
      </c>
      <c r="AH433" s="8" t="s">
        <v>3127</v>
      </c>
      <c r="AI433" s="8" t="s">
        <v>637</v>
      </c>
      <c r="AJ433" s="8" t="s">
        <v>3128</v>
      </c>
      <c r="AK433" s="8" t="s">
        <v>3129</v>
      </c>
      <c r="AL433" s="8" t="s">
        <v>3130</v>
      </c>
      <c r="AM433" s="8" t="s">
        <v>2900</v>
      </c>
    </row>
    <row r="434" ht="14.25" customHeight="1">
      <c r="A434" s="8">
        <v>294.0</v>
      </c>
      <c r="B434" s="8" t="s">
        <v>5618</v>
      </c>
      <c r="C434" s="8"/>
      <c r="D434" s="8" t="s">
        <v>5619</v>
      </c>
      <c r="E434" s="8" t="s">
        <v>5620</v>
      </c>
      <c r="F434" s="8" t="s">
        <v>5621</v>
      </c>
      <c r="G434" s="8"/>
      <c r="H434" s="8"/>
      <c r="I434" s="7">
        <v>38033.0</v>
      </c>
      <c r="J434" s="8" t="s">
        <v>5622</v>
      </c>
      <c r="K434" s="8" t="s">
        <v>2892</v>
      </c>
      <c r="L434" s="8">
        <v>2004.0</v>
      </c>
      <c r="M434" s="8">
        <v>32.0</v>
      </c>
      <c r="N434" s="8">
        <v>1.0</v>
      </c>
      <c r="O434" s="8">
        <v>159.0</v>
      </c>
      <c r="P434" s="8">
        <v>163.0</v>
      </c>
      <c r="Q434" s="8" t="s">
        <v>5623</v>
      </c>
      <c r="R434" s="8" t="s">
        <v>2075</v>
      </c>
      <c r="S434" s="8"/>
      <c r="T434" s="8"/>
      <c r="U434" s="8"/>
      <c r="V434" s="8"/>
      <c r="W434" s="8" t="s">
        <v>3076</v>
      </c>
      <c r="X434" s="8"/>
      <c r="Y434" s="8" t="s">
        <v>2894</v>
      </c>
      <c r="Z434" s="8" t="s">
        <v>5624</v>
      </c>
      <c r="AA434" s="8"/>
      <c r="AB434" s="8"/>
      <c r="AC434" s="8"/>
      <c r="AD434" s="8" t="s">
        <v>2080</v>
      </c>
      <c r="AE434" s="8" t="s">
        <v>2080</v>
      </c>
      <c r="AF434" s="8">
        <v>2.004052332E9</v>
      </c>
      <c r="AG434" s="8">
        <v>1.4754739E7</v>
      </c>
      <c r="AH434" s="8" t="s">
        <v>5625</v>
      </c>
      <c r="AI434" s="8" t="s">
        <v>1838</v>
      </c>
      <c r="AJ434" s="8" t="s">
        <v>5626</v>
      </c>
      <c r="AK434" s="8" t="s">
        <v>5627</v>
      </c>
      <c r="AL434" s="8" t="s">
        <v>5628</v>
      </c>
      <c r="AM434" s="8" t="s">
        <v>2967</v>
      </c>
    </row>
    <row r="435" ht="14.25" customHeight="1">
      <c r="A435" s="8">
        <v>295.0</v>
      </c>
      <c r="B435" s="8" t="s">
        <v>5629</v>
      </c>
      <c r="C435" s="8"/>
      <c r="D435" s="8" t="s">
        <v>5630</v>
      </c>
      <c r="E435" s="8" t="s">
        <v>5631</v>
      </c>
      <c r="F435" s="8" t="s">
        <v>5632</v>
      </c>
      <c r="G435" s="8"/>
      <c r="H435" s="8"/>
      <c r="I435" s="7">
        <v>38141.0</v>
      </c>
      <c r="J435" s="8" t="s">
        <v>5633</v>
      </c>
      <c r="K435" s="8" t="s">
        <v>3201</v>
      </c>
      <c r="L435" s="8">
        <v>2004.0</v>
      </c>
      <c r="M435" s="8">
        <v>86.0</v>
      </c>
      <c r="N435" s="8">
        <v>4.0</v>
      </c>
      <c r="O435" s="8">
        <v>515.0</v>
      </c>
      <c r="P435" s="8">
        <v>520.0</v>
      </c>
      <c r="Q435" s="10">
        <v>46146.0</v>
      </c>
      <c r="R435" s="8" t="s">
        <v>2075</v>
      </c>
      <c r="S435" s="8"/>
      <c r="T435" s="8"/>
      <c r="U435" s="8"/>
      <c r="V435" s="8"/>
      <c r="W435" s="8" t="s">
        <v>3202</v>
      </c>
      <c r="X435" s="8"/>
      <c r="Y435" s="8" t="s">
        <v>5634</v>
      </c>
      <c r="Z435" s="8" t="s">
        <v>5635</v>
      </c>
      <c r="AA435" s="8"/>
      <c r="AB435" s="8"/>
      <c r="AC435" s="8"/>
      <c r="AD435" s="8" t="s">
        <v>2080</v>
      </c>
      <c r="AE435" s="8" t="s">
        <v>2080</v>
      </c>
      <c r="AF435" s="8"/>
      <c r="AG435" s="8">
        <v>1.5174545E7</v>
      </c>
      <c r="AH435" s="8" t="s">
        <v>5636</v>
      </c>
      <c r="AI435" s="8" t="s">
        <v>5637</v>
      </c>
      <c r="AJ435" s="8" t="s">
        <v>5638</v>
      </c>
      <c r="AK435" s="8" t="s">
        <v>5639</v>
      </c>
      <c r="AL435" s="8" t="s">
        <v>5640</v>
      </c>
      <c r="AM435" s="8" t="s">
        <v>2377</v>
      </c>
    </row>
    <row r="436" ht="14.25" customHeight="1">
      <c r="A436" s="8">
        <v>296.0</v>
      </c>
      <c r="B436" s="8" t="s">
        <v>5641</v>
      </c>
      <c r="C436" s="8"/>
      <c r="D436" s="8" t="s">
        <v>5642</v>
      </c>
      <c r="E436" s="8" t="s">
        <v>5643</v>
      </c>
      <c r="F436" s="8" t="s">
        <v>5644</v>
      </c>
      <c r="G436" s="8"/>
      <c r="H436" s="8"/>
      <c r="I436" s="7">
        <v>38225.0</v>
      </c>
      <c r="J436" s="8" t="s">
        <v>5645</v>
      </c>
      <c r="K436" s="8" t="s">
        <v>2550</v>
      </c>
      <c r="L436" s="8">
        <v>2004.0</v>
      </c>
      <c r="M436" s="8">
        <v>12.0</v>
      </c>
      <c r="N436" s="8">
        <v>1.0</v>
      </c>
      <c r="O436" s="8">
        <v>30.0</v>
      </c>
      <c r="P436" s="8">
        <v>35.0</v>
      </c>
      <c r="Q436" s="10">
        <v>46026.0</v>
      </c>
      <c r="R436" s="8" t="s">
        <v>2075</v>
      </c>
      <c r="S436" s="8"/>
      <c r="T436" s="8"/>
      <c r="U436" s="8"/>
      <c r="V436" s="8"/>
      <c r="W436" s="8" t="s">
        <v>3169</v>
      </c>
      <c r="X436" s="8"/>
      <c r="Y436" s="8"/>
      <c r="Z436" s="8" t="s">
        <v>5646</v>
      </c>
      <c r="AA436" s="8"/>
      <c r="AB436" s="8"/>
      <c r="AC436" s="8"/>
      <c r="AD436" s="8" t="s">
        <v>2080</v>
      </c>
      <c r="AE436" s="8"/>
      <c r="AF436" s="8"/>
      <c r="AG436" s="8">
        <v>1.3680104E7</v>
      </c>
      <c r="AH436" s="8" t="s">
        <v>5647</v>
      </c>
      <c r="AI436" s="8"/>
      <c r="AJ436" s="8"/>
      <c r="AK436" s="8" t="s">
        <v>5648</v>
      </c>
      <c r="AL436" s="8" t="s">
        <v>5649</v>
      </c>
      <c r="AM436" s="8" t="s">
        <v>2763</v>
      </c>
    </row>
    <row r="437" ht="14.25" customHeight="1">
      <c r="A437" s="8">
        <v>297.0</v>
      </c>
      <c r="B437" s="8" t="s">
        <v>3140</v>
      </c>
      <c r="C437" s="8"/>
      <c r="D437" s="8" t="s">
        <v>3141</v>
      </c>
      <c r="E437" s="8" t="s">
        <v>3142</v>
      </c>
      <c r="F437" s="8" t="s">
        <v>3143</v>
      </c>
      <c r="G437" s="8"/>
      <c r="H437" s="8"/>
      <c r="I437" s="7">
        <v>38296.0</v>
      </c>
      <c r="J437" s="8" t="s">
        <v>3144</v>
      </c>
      <c r="K437" s="8" t="s">
        <v>3145</v>
      </c>
      <c r="L437" s="8">
        <v>2004.0</v>
      </c>
      <c r="M437" s="8">
        <v>86.0</v>
      </c>
      <c r="N437" s="8">
        <v>10.0</v>
      </c>
      <c r="O437" s="8">
        <v>2143.0</v>
      </c>
      <c r="P437" s="8">
        <v>2155.0</v>
      </c>
      <c r="Q437" s="10">
        <v>46299.0</v>
      </c>
      <c r="R437" s="8" t="s">
        <v>2075</v>
      </c>
      <c r="S437" s="8"/>
      <c r="T437" s="8"/>
      <c r="U437" s="8"/>
      <c r="V437" s="8"/>
      <c r="W437" s="8" t="s">
        <v>3146</v>
      </c>
      <c r="X437" s="8"/>
      <c r="Y437" s="8" t="s">
        <v>3147</v>
      </c>
      <c r="Z437" s="8" t="s">
        <v>3148</v>
      </c>
      <c r="AA437" s="8"/>
      <c r="AB437" s="8"/>
      <c r="AC437" s="8"/>
      <c r="AD437" s="8" t="s">
        <v>2080</v>
      </c>
      <c r="AE437" s="8" t="s">
        <v>2080</v>
      </c>
      <c r="AF437" s="8"/>
      <c r="AG437" s="8">
        <v>1.5466722E7</v>
      </c>
      <c r="AH437" s="8" t="s">
        <v>3149</v>
      </c>
      <c r="AI437" s="8" t="s">
        <v>3150</v>
      </c>
      <c r="AJ437" s="8" t="s">
        <v>3151</v>
      </c>
      <c r="AK437" s="8" t="s">
        <v>3152</v>
      </c>
      <c r="AL437" s="8" t="s">
        <v>3153</v>
      </c>
      <c r="AM437" s="8" t="s">
        <v>2249</v>
      </c>
    </row>
    <row r="438" ht="14.25" customHeight="1">
      <c r="A438" s="8">
        <v>298.0</v>
      </c>
      <c r="B438" s="8" t="s">
        <v>5650</v>
      </c>
      <c r="C438" s="8"/>
      <c r="D438" s="8" t="s">
        <v>5651</v>
      </c>
      <c r="E438" s="8" t="s">
        <v>5652</v>
      </c>
      <c r="F438" s="8" t="s">
        <v>5653</v>
      </c>
      <c r="G438" s="8"/>
      <c r="H438" s="8"/>
      <c r="I438" s="7">
        <v>37781.0</v>
      </c>
      <c r="J438" s="8" t="s">
        <v>5654</v>
      </c>
      <c r="K438" s="8" t="s">
        <v>3201</v>
      </c>
      <c r="L438" s="8">
        <v>2003.0</v>
      </c>
      <c r="M438" s="8">
        <v>85.0</v>
      </c>
      <c r="N438" s="8">
        <v>4.0</v>
      </c>
      <c r="O438" s="8">
        <v>521.0</v>
      </c>
      <c r="P438" s="8">
        <v>524.0</v>
      </c>
      <c r="Q438" s="10">
        <v>46145.0</v>
      </c>
      <c r="R438" s="8" t="s">
        <v>2075</v>
      </c>
      <c r="S438" s="8"/>
      <c r="T438" s="8"/>
      <c r="U438" s="8"/>
      <c r="V438" s="8"/>
      <c r="W438" s="8" t="s">
        <v>3202</v>
      </c>
      <c r="X438" s="8"/>
      <c r="Y438" s="8" t="s">
        <v>3203</v>
      </c>
      <c r="Z438" s="8" t="s">
        <v>5655</v>
      </c>
      <c r="AA438" s="8"/>
      <c r="AB438" s="8"/>
      <c r="AC438" s="8"/>
      <c r="AD438" s="8" t="s">
        <v>2080</v>
      </c>
      <c r="AE438" s="8" t="s">
        <v>2080</v>
      </c>
      <c r="AF438" s="8">
        <v>2.003214287E9</v>
      </c>
      <c r="AG438" s="8">
        <v>1.2793556E7</v>
      </c>
      <c r="AH438" s="8" t="s">
        <v>5656</v>
      </c>
      <c r="AI438" s="8" t="s">
        <v>5657</v>
      </c>
      <c r="AJ438" s="8" t="s">
        <v>5658</v>
      </c>
      <c r="AK438" s="8" t="s">
        <v>5659</v>
      </c>
      <c r="AL438" s="8" t="s">
        <v>5660</v>
      </c>
      <c r="AM438" s="8" t="s">
        <v>2967</v>
      </c>
    </row>
    <row r="439" ht="14.25" customHeight="1">
      <c r="A439" s="8">
        <v>299.0</v>
      </c>
      <c r="B439" s="8" t="s">
        <v>3210</v>
      </c>
      <c r="C439" s="8"/>
      <c r="D439" s="8" t="s">
        <v>3211</v>
      </c>
      <c r="E439" s="8" t="s">
        <v>3212</v>
      </c>
      <c r="F439" s="8" t="s">
        <v>3213</v>
      </c>
      <c r="G439" s="8"/>
      <c r="H439" s="8"/>
      <c r="I439" s="7">
        <v>37453.0</v>
      </c>
      <c r="J439" s="8" t="s">
        <v>3214</v>
      </c>
      <c r="K439" s="8" t="s">
        <v>3215</v>
      </c>
      <c r="L439" s="8">
        <v>2002.0</v>
      </c>
      <c r="M439" s="8">
        <v>12.0</v>
      </c>
      <c r="N439" s="8">
        <v>2.0</v>
      </c>
      <c r="O439" s="8">
        <v>73.0</v>
      </c>
      <c r="P439" s="8">
        <v>80.0</v>
      </c>
      <c r="Q439" s="10">
        <v>46114.0</v>
      </c>
      <c r="R439" s="8" t="s">
        <v>2075</v>
      </c>
      <c r="S439" s="8"/>
      <c r="T439" s="8"/>
      <c r="U439" s="8"/>
      <c r="V439" s="8"/>
      <c r="W439" s="8" t="s">
        <v>3216</v>
      </c>
      <c r="X439" s="8"/>
      <c r="Y439" s="8"/>
      <c r="Z439" s="8" t="s">
        <v>3217</v>
      </c>
      <c r="AA439" s="8"/>
      <c r="AB439" s="8"/>
      <c r="AC439" s="8"/>
      <c r="AD439" s="8" t="s">
        <v>2080</v>
      </c>
      <c r="AE439" s="8"/>
      <c r="AF439" s="8"/>
      <c r="AG439" s="8">
        <v>1.2121424E7</v>
      </c>
      <c r="AH439" s="8" t="s">
        <v>3218</v>
      </c>
      <c r="AI439" s="8"/>
      <c r="AJ439" s="8"/>
      <c r="AK439" s="8" t="s">
        <v>3219</v>
      </c>
      <c r="AL439" s="8" t="s">
        <v>3220</v>
      </c>
      <c r="AM439" s="8" t="s">
        <v>2763</v>
      </c>
    </row>
    <row r="440" ht="14.25" customHeight="1">
      <c r="A440" s="8">
        <v>300.0</v>
      </c>
      <c r="B440" s="8" t="s">
        <v>3231</v>
      </c>
      <c r="C440" s="8"/>
      <c r="D440" s="8" t="s">
        <v>3232</v>
      </c>
      <c r="E440" s="8" t="s">
        <v>3233</v>
      </c>
      <c r="F440" s="8" t="s">
        <v>3234</v>
      </c>
      <c r="G440" s="8"/>
      <c r="H440" s="8"/>
      <c r="I440" s="7">
        <v>37529.0</v>
      </c>
      <c r="J440" s="8" t="s">
        <v>3235</v>
      </c>
      <c r="K440" s="8" t="s">
        <v>3145</v>
      </c>
      <c r="L440" s="8">
        <v>2002.0</v>
      </c>
      <c r="M440" s="8">
        <v>84.0</v>
      </c>
      <c r="N440" s="8">
        <v>9.0</v>
      </c>
      <c r="O440" s="8">
        <v>1503.0</v>
      </c>
      <c r="P440" s="8">
        <v>1513.0</v>
      </c>
      <c r="Q440" s="10">
        <v>46267.0</v>
      </c>
      <c r="R440" s="8" t="s">
        <v>2075</v>
      </c>
      <c r="S440" s="8"/>
      <c r="T440" s="8"/>
      <c r="U440" s="8"/>
      <c r="V440" s="8"/>
      <c r="W440" s="8" t="s">
        <v>3146</v>
      </c>
      <c r="X440" s="8"/>
      <c r="Y440" s="8" t="s">
        <v>3147</v>
      </c>
      <c r="Z440" s="8" t="s">
        <v>3236</v>
      </c>
      <c r="AA440" s="8"/>
      <c r="AB440" s="8"/>
      <c r="AC440" s="8"/>
      <c r="AD440" s="8" t="s">
        <v>2080</v>
      </c>
      <c r="AE440" s="8" t="s">
        <v>2080</v>
      </c>
      <c r="AF440" s="8"/>
      <c r="AG440" s="8">
        <v>1.2208905E7</v>
      </c>
      <c r="AH440" s="8" t="s">
        <v>3237</v>
      </c>
      <c r="AI440" s="8" t="s">
        <v>707</v>
      </c>
      <c r="AJ440" s="8" t="s">
        <v>3238</v>
      </c>
      <c r="AK440" s="8" t="s">
        <v>3239</v>
      </c>
      <c r="AL440" s="8" t="s">
        <v>3240</v>
      </c>
      <c r="AM440" s="8" t="s">
        <v>2249</v>
      </c>
    </row>
    <row r="441" ht="14.25" customHeight="1">
      <c r="A441" s="8">
        <v>301.0</v>
      </c>
      <c r="B441" s="8" t="s">
        <v>3241</v>
      </c>
      <c r="C441" s="8"/>
      <c r="D441" s="8" t="s">
        <v>3242</v>
      </c>
      <c r="E441" s="8" t="s">
        <v>3243</v>
      </c>
      <c r="F441" s="8" t="s">
        <v>3244</v>
      </c>
      <c r="G441" s="8"/>
      <c r="H441" s="8"/>
      <c r="I441" s="7">
        <v>37230.0</v>
      </c>
      <c r="J441" s="8" t="s">
        <v>3245</v>
      </c>
      <c r="K441" s="8" t="s">
        <v>2892</v>
      </c>
      <c r="L441" s="8">
        <v>2001.0</v>
      </c>
      <c r="M441" s="8">
        <v>29.0</v>
      </c>
      <c r="N441" s="8">
        <v>6.0</v>
      </c>
      <c r="O441" s="8">
        <v>722.0</v>
      </c>
      <c r="P441" s="8">
        <v>728.0</v>
      </c>
      <c r="Q441" s="8">
        <v>2001.0</v>
      </c>
      <c r="R441" s="8" t="s">
        <v>2075</v>
      </c>
      <c r="S441" s="8"/>
      <c r="T441" s="8"/>
      <c r="U441" s="8"/>
      <c r="V441" s="8"/>
      <c r="W441" s="8" t="s">
        <v>3076</v>
      </c>
      <c r="X441" s="8"/>
      <c r="Y441" s="8" t="s">
        <v>2894</v>
      </c>
      <c r="Z441" s="8" t="s">
        <v>3246</v>
      </c>
      <c r="AA441" s="8"/>
      <c r="AB441" s="8"/>
      <c r="AC441" s="8"/>
      <c r="AD441" s="8" t="s">
        <v>2080</v>
      </c>
      <c r="AE441" s="8" t="s">
        <v>2080</v>
      </c>
      <c r="AF441" s="8">
        <v>2.001410933E9</v>
      </c>
      <c r="AG441" s="8">
        <v>1.1734484E7</v>
      </c>
      <c r="AH441" s="8" t="s">
        <v>3247</v>
      </c>
      <c r="AI441" s="8" t="s">
        <v>756</v>
      </c>
      <c r="AJ441" s="8" t="s">
        <v>3248</v>
      </c>
      <c r="AK441" s="8" t="s">
        <v>3249</v>
      </c>
      <c r="AL441" s="8" t="s">
        <v>3250</v>
      </c>
      <c r="AM441" s="8" t="s">
        <v>2900</v>
      </c>
    </row>
    <row r="442" ht="14.25" customHeight="1">
      <c r="A442" s="8">
        <v>302.0</v>
      </c>
      <c r="B442" s="8" t="s">
        <v>3266</v>
      </c>
      <c r="C442" s="8"/>
      <c r="D442" s="8" t="s">
        <v>3267</v>
      </c>
      <c r="E442" s="8" t="s">
        <v>3268</v>
      </c>
      <c r="F442" s="8" t="s">
        <v>3269</v>
      </c>
      <c r="G442" s="8"/>
      <c r="H442" s="8"/>
      <c r="I442" s="7">
        <v>37194.0</v>
      </c>
      <c r="J442" s="8" t="s">
        <v>3270</v>
      </c>
      <c r="K442" s="8" t="s">
        <v>2550</v>
      </c>
      <c r="L442" s="8">
        <v>2001.0</v>
      </c>
      <c r="M442" s="8">
        <v>9.0</v>
      </c>
      <c r="N442" s="8">
        <v>5.0</v>
      </c>
      <c r="O442" s="8">
        <v>260.0</v>
      </c>
      <c r="P442" s="8">
        <v>266.0</v>
      </c>
      <c r="Q442" s="10">
        <v>46266.0</v>
      </c>
      <c r="R442" s="8" t="s">
        <v>2075</v>
      </c>
      <c r="S442" s="8"/>
      <c r="T442" s="8"/>
      <c r="U442" s="8"/>
      <c r="V442" s="8"/>
      <c r="W442" s="8" t="s">
        <v>3169</v>
      </c>
      <c r="X442" s="8"/>
      <c r="Y442" s="8"/>
      <c r="Z442" s="8" t="s">
        <v>3271</v>
      </c>
      <c r="AA442" s="8"/>
      <c r="AB442" s="8"/>
      <c r="AC442" s="8"/>
      <c r="AD442" s="8" t="s">
        <v>2080</v>
      </c>
      <c r="AE442" s="8"/>
      <c r="AF442" s="8"/>
      <c r="AG442" s="8">
        <v>1.1685356E7</v>
      </c>
      <c r="AH442" s="8" t="s">
        <v>3272</v>
      </c>
      <c r="AI442" s="8"/>
      <c r="AJ442" s="8"/>
      <c r="AK442" s="8" t="s">
        <v>3273</v>
      </c>
      <c r="AL442" s="8" t="s">
        <v>3274</v>
      </c>
      <c r="AM442" s="8" t="s">
        <v>2763</v>
      </c>
    </row>
    <row r="443" ht="14.25" customHeight="1">
      <c r="A443" s="8">
        <v>303.0</v>
      </c>
      <c r="B443" s="8" t="s">
        <v>771</v>
      </c>
      <c r="C443" s="8"/>
      <c r="D443" s="8" t="s">
        <v>3284</v>
      </c>
      <c r="E443" s="8" t="s">
        <v>3285</v>
      </c>
      <c r="F443" s="8" t="s">
        <v>3286</v>
      </c>
      <c r="G443" s="8"/>
      <c r="H443" s="8"/>
      <c r="I443" s="7">
        <v>37062.0</v>
      </c>
      <c r="J443" s="8" t="s">
        <v>3287</v>
      </c>
      <c r="K443" s="8" t="s">
        <v>2892</v>
      </c>
      <c r="L443" s="8">
        <v>2001.0</v>
      </c>
      <c r="M443" s="8">
        <v>29.0</v>
      </c>
      <c r="N443" s="8">
        <v>3.0</v>
      </c>
      <c r="O443" s="8">
        <v>272.0</v>
      </c>
      <c r="P443" s="8">
        <v>279.0</v>
      </c>
      <c r="Q443" s="8">
        <v>2001.0</v>
      </c>
      <c r="R443" s="8" t="s">
        <v>2075</v>
      </c>
      <c r="S443" s="8"/>
      <c r="T443" s="8"/>
      <c r="U443" s="8"/>
      <c r="V443" s="8"/>
      <c r="W443" s="8" t="s">
        <v>3076</v>
      </c>
      <c r="X443" s="8"/>
      <c r="Y443" s="8" t="s">
        <v>2894</v>
      </c>
      <c r="Z443" s="8" t="s">
        <v>3288</v>
      </c>
      <c r="AA443" s="8"/>
      <c r="AB443" s="8"/>
      <c r="AC443" s="8"/>
      <c r="AD443" s="8" t="s">
        <v>2080</v>
      </c>
      <c r="AE443" s="8" t="s">
        <v>2080</v>
      </c>
      <c r="AF443" s="8">
        <v>2.001194117E9</v>
      </c>
      <c r="AG443" s="8">
        <v>1.1394593E7</v>
      </c>
      <c r="AH443" s="8" t="s">
        <v>3289</v>
      </c>
      <c r="AI443" s="8" t="s">
        <v>775</v>
      </c>
      <c r="AJ443" s="8" t="s">
        <v>3290</v>
      </c>
      <c r="AK443" s="8" t="s">
        <v>3291</v>
      </c>
      <c r="AL443" s="8" t="s">
        <v>3292</v>
      </c>
      <c r="AM443" s="8" t="s">
        <v>2967</v>
      </c>
    </row>
    <row r="444" ht="14.25" customHeight="1">
      <c r="A444" s="8">
        <v>304.0</v>
      </c>
      <c r="B444" s="8" t="s">
        <v>3293</v>
      </c>
      <c r="C444" s="8"/>
      <c r="D444" s="8" t="s">
        <v>3294</v>
      </c>
      <c r="E444" s="8" t="s">
        <v>3295</v>
      </c>
      <c r="F444" s="8" t="s">
        <v>3296</v>
      </c>
      <c r="G444" s="8"/>
      <c r="H444" s="8"/>
      <c r="I444" s="7">
        <v>37035.0</v>
      </c>
      <c r="J444" s="8" t="s">
        <v>3297</v>
      </c>
      <c r="K444" s="8" t="s">
        <v>3215</v>
      </c>
      <c r="L444" s="8">
        <v>2001.0</v>
      </c>
      <c r="M444" s="8">
        <v>11.0</v>
      </c>
      <c r="N444" s="8">
        <v>3.0</v>
      </c>
      <c r="O444" s="8">
        <v>170.0</v>
      </c>
      <c r="P444" s="8">
        <v>177.0</v>
      </c>
      <c r="Q444" s="10">
        <v>46174.0</v>
      </c>
      <c r="R444" s="8" t="s">
        <v>2075</v>
      </c>
      <c r="S444" s="8"/>
      <c r="T444" s="8"/>
      <c r="U444" s="8"/>
      <c r="V444" s="8"/>
      <c r="W444" s="8" t="s">
        <v>3216</v>
      </c>
      <c r="X444" s="8"/>
      <c r="Y444" s="8"/>
      <c r="Z444" s="8" t="s">
        <v>3298</v>
      </c>
      <c r="AA444" s="8"/>
      <c r="AB444" s="8"/>
      <c r="AC444" s="8"/>
      <c r="AD444" s="8" t="s">
        <v>2080</v>
      </c>
      <c r="AE444" s="8"/>
      <c r="AF444" s="8"/>
      <c r="AG444" s="8">
        <v>1.1374431E7</v>
      </c>
      <c r="AH444" s="8" t="s">
        <v>3299</v>
      </c>
      <c r="AI444" s="8"/>
      <c r="AJ444" s="8"/>
      <c r="AK444" s="8" t="s">
        <v>3300</v>
      </c>
      <c r="AL444" s="8" t="s">
        <v>3301</v>
      </c>
      <c r="AM444" s="8" t="s">
        <v>2763</v>
      </c>
    </row>
    <row r="445" ht="14.25" customHeight="1">
      <c r="A445" s="8">
        <v>305.0</v>
      </c>
      <c r="B445" s="8" t="s">
        <v>780</v>
      </c>
      <c r="C445" s="8"/>
      <c r="D445" s="8" t="s">
        <v>3302</v>
      </c>
      <c r="E445" s="8" t="s">
        <v>3303</v>
      </c>
      <c r="F445" s="8" t="s">
        <v>3304</v>
      </c>
      <c r="G445" s="8"/>
      <c r="H445" s="8"/>
      <c r="I445" s="7">
        <v>37025.0</v>
      </c>
      <c r="J445" s="8" t="s">
        <v>3305</v>
      </c>
      <c r="K445" s="8" t="s">
        <v>3201</v>
      </c>
      <c r="L445" s="8">
        <v>2001.0</v>
      </c>
      <c r="M445" s="8">
        <v>83.0</v>
      </c>
      <c r="N445" s="8">
        <v>3.0</v>
      </c>
      <c r="O445" s="8">
        <v>348.0</v>
      </c>
      <c r="P445" s="8">
        <v>354.0</v>
      </c>
      <c r="Q445" s="8">
        <v>2001.0</v>
      </c>
      <c r="R445" s="8" t="s">
        <v>2075</v>
      </c>
      <c r="S445" s="8"/>
      <c r="T445" s="8"/>
      <c r="U445" s="8"/>
      <c r="V445" s="8"/>
      <c r="W445" s="8" t="s">
        <v>3202</v>
      </c>
      <c r="X445" s="8"/>
      <c r="Y445" s="8" t="s">
        <v>3203</v>
      </c>
      <c r="Z445" s="8" t="s">
        <v>3306</v>
      </c>
      <c r="AA445" s="8"/>
      <c r="AB445" s="8"/>
      <c r="AC445" s="8"/>
      <c r="AD445" s="8" t="s">
        <v>2080</v>
      </c>
      <c r="AE445" s="8" t="s">
        <v>2080</v>
      </c>
      <c r="AF445" s="8">
        <v>2.001161375E9</v>
      </c>
      <c r="AG445" s="8">
        <v>1.1341418E7</v>
      </c>
      <c r="AH445" s="8" t="s">
        <v>3307</v>
      </c>
      <c r="AI445" s="8" t="s">
        <v>3308</v>
      </c>
      <c r="AJ445" s="8" t="s">
        <v>3309</v>
      </c>
      <c r="AK445" s="8" t="s">
        <v>3310</v>
      </c>
      <c r="AL445" s="8" t="s">
        <v>3311</v>
      </c>
      <c r="AM445" s="8" t="s">
        <v>2967</v>
      </c>
    </row>
    <row r="446" ht="14.25" customHeight="1">
      <c r="A446" s="8">
        <v>306.0</v>
      </c>
      <c r="B446" s="8" t="s">
        <v>5661</v>
      </c>
      <c r="C446" s="8"/>
      <c r="D446" s="8" t="s">
        <v>5662</v>
      </c>
      <c r="E446" s="8" t="s">
        <v>5663</v>
      </c>
      <c r="F446" s="8" t="s">
        <v>5664</v>
      </c>
      <c r="G446" s="8"/>
      <c r="H446" s="8"/>
      <c r="I446" s="7">
        <v>36965.0</v>
      </c>
      <c r="J446" s="8" t="s">
        <v>5665</v>
      </c>
      <c r="K446" s="8" t="s">
        <v>180</v>
      </c>
      <c r="L446" s="8">
        <v>2001.0</v>
      </c>
      <c r="M446" s="8">
        <v>8.0</v>
      </c>
      <c r="N446" s="8">
        <v>1.0</v>
      </c>
      <c r="O446" s="8">
        <v>45.0</v>
      </c>
      <c r="P446" s="8">
        <v>50.0</v>
      </c>
      <c r="Q446" s="8">
        <v>2001.0</v>
      </c>
      <c r="R446" s="8" t="s">
        <v>2075</v>
      </c>
      <c r="S446" s="8"/>
      <c r="T446" s="8"/>
      <c r="U446" s="8"/>
      <c r="V446" s="8"/>
      <c r="W446" s="8" t="s">
        <v>2854</v>
      </c>
      <c r="X446" s="8"/>
      <c r="Y446" s="8" t="s">
        <v>2789</v>
      </c>
      <c r="Z446" s="8" t="s">
        <v>5666</v>
      </c>
      <c r="AA446" s="8"/>
      <c r="AB446" s="8"/>
      <c r="AC446" s="8"/>
      <c r="AD446" s="8" t="s">
        <v>2080</v>
      </c>
      <c r="AE446" s="8" t="s">
        <v>2080</v>
      </c>
      <c r="AF446" s="8">
        <v>2.001086214E9</v>
      </c>
      <c r="AG446" s="8">
        <v>1.1248568E7</v>
      </c>
      <c r="AH446" s="8" t="s">
        <v>5667</v>
      </c>
      <c r="AI446" s="8" t="s">
        <v>5668</v>
      </c>
      <c r="AJ446" s="8" t="s">
        <v>5669</v>
      </c>
      <c r="AK446" s="8" t="s">
        <v>5670</v>
      </c>
      <c r="AL446" s="8" t="s">
        <v>5671</v>
      </c>
      <c r="AM446" s="8" t="s">
        <v>2900</v>
      </c>
    </row>
    <row r="447" ht="14.25" customHeight="1">
      <c r="A447" s="8">
        <v>307.0</v>
      </c>
      <c r="B447" s="8" t="s">
        <v>5672</v>
      </c>
      <c r="C447" s="8"/>
      <c r="D447" s="8" t="s">
        <v>5673</v>
      </c>
      <c r="E447" s="8" t="s">
        <v>5674</v>
      </c>
      <c r="F447" s="8" t="s">
        <v>5675</v>
      </c>
      <c r="G447" s="8"/>
      <c r="H447" s="8"/>
      <c r="I447" s="7">
        <v>36896.0</v>
      </c>
      <c r="J447" s="8" t="s">
        <v>5676</v>
      </c>
      <c r="K447" s="8" t="s">
        <v>2550</v>
      </c>
      <c r="L447" s="8">
        <v>2000.0</v>
      </c>
      <c r="M447" s="8">
        <v>8.0</v>
      </c>
      <c r="N447" s="8">
        <v>6.0</v>
      </c>
      <c r="O447" s="8">
        <v>337.0</v>
      </c>
      <c r="P447" s="8">
        <v>342.0</v>
      </c>
      <c r="Q447" s="8">
        <v>2000.0</v>
      </c>
      <c r="R447" s="8" t="s">
        <v>2075</v>
      </c>
      <c r="S447" s="8"/>
      <c r="T447" s="8"/>
      <c r="U447" s="8"/>
      <c r="V447" s="8"/>
      <c r="W447" s="8" t="s">
        <v>3169</v>
      </c>
      <c r="X447" s="8"/>
      <c r="Y447" s="8"/>
      <c r="Z447" s="8" t="s">
        <v>5677</v>
      </c>
      <c r="AA447" s="8"/>
      <c r="AB447" s="8"/>
      <c r="AC447" s="8"/>
      <c r="AD447" s="8" t="s">
        <v>2080</v>
      </c>
      <c r="AE447" s="8"/>
      <c r="AF447" s="8"/>
      <c r="AG447" s="8">
        <v>1.1147151E7</v>
      </c>
      <c r="AH447" s="8" t="s">
        <v>5678</v>
      </c>
      <c r="AI447" s="8"/>
      <c r="AJ447" s="8"/>
      <c r="AK447" s="8" t="s">
        <v>5679</v>
      </c>
      <c r="AL447" s="8" t="s">
        <v>5680</v>
      </c>
      <c r="AM447" s="8" t="s">
        <v>2763</v>
      </c>
    </row>
    <row r="448" ht="14.25" customHeight="1">
      <c r="A448" s="8">
        <v>308.0</v>
      </c>
      <c r="B448" s="8" t="s">
        <v>3345</v>
      </c>
      <c r="C448" s="8"/>
      <c r="D448" s="8" t="s">
        <v>3346</v>
      </c>
      <c r="E448" s="8" t="s">
        <v>3347</v>
      </c>
      <c r="F448" s="8" t="s">
        <v>3348</v>
      </c>
      <c r="G448" s="8"/>
      <c r="H448" s="8"/>
      <c r="I448" s="7">
        <v>36480.0</v>
      </c>
      <c r="J448" s="8" t="s">
        <v>3349</v>
      </c>
      <c r="K448" s="8" t="s">
        <v>2550</v>
      </c>
      <c r="L448" s="8">
        <v>1999.0</v>
      </c>
      <c r="M448" s="8">
        <v>7.0</v>
      </c>
      <c r="N448" s="8">
        <v>5.0</v>
      </c>
      <c r="O448" s="8">
        <v>290.0</v>
      </c>
      <c r="P448" s="8">
        <v>295.0</v>
      </c>
      <c r="Q448" s="8">
        <v>1999.0</v>
      </c>
      <c r="R448" s="8" t="s">
        <v>2075</v>
      </c>
      <c r="S448" s="8"/>
      <c r="T448" s="8"/>
      <c r="U448" s="8"/>
      <c r="V448" s="8"/>
      <c r="W448" s="8" t="s">
        <v>3169</v>
      </c>
      <c r="X448" s="8"/>
      <c r="Y448" s="8"/>
      <c r="Z448" s="8" t="s">
        <v>3350</v>
      </c>
      <c r="AA448" s="8"/>
      <c r="AB448" s="8"/>
      <c r="AC448" s="8"/>
      <c r="AD448" s="8" t="s">
        <v>2080</v>
      </c>
      <c r="AE448" s="8"/>
      <c r="AF448" s="8"/>
      <c r="AG448" s="8">
        <v>1.0525698E7</v>
      </c>
      <c r="AH448" s="8" t="s">
        <v>3351</v>
      </c>
      <c r="AI448" s="8"/>
      <c r="AJ448" s="8"/>
      <c r="AK448" s="8" t="s">
        <v>3352</v>
      </c>
      <c r="AL448" s="8" t="s">
        <v>3353</v>
      </c>
      <c r="AM448" s="8" t="s">
        <v>2763</v>
      </c>
    </row>
    <row r="449" ht="14.25" customHeight="1">
      <c r="A449" s="8">
        <v>309.0</v>
      </c>
      <c r="B449" s="8" t="s">
        <v>3392</v>
      </c>
      <c r="C449" s="8"/>
      <c r="D449" s="8" t="s">
        <v>3393</v>
      </c>
      <c r="E449" s="8" t="s">
        <v>3394</v>
      </c>
      <c r="F449" s="8" t="s">
        <v>3395</v>
      </c>
      <c r="G449" s="8"/>
      <c r="H449" s="8"/>
      <c r="I449" s="7">
        <v>35611.0</v>
      </c>
      <c r="J449" s="8" t="s">
        <v>3396</v>
      </c>
      <c r="K449" s="8" t="s">
        <v>2550</v>
      </c>
      <c r="L449" s="8">
        <v>1997.0</v>
      </c>
      <c r="M449" s="8">
        <v>5.0</v>
      </c>
      <c r="N449" s="8">
        <v>1.0</v>
      </c>
      <c r="O449" s="8">
        <v>6.0</v>
      </c>
      <c r="P449" s="8">
        <v>9.0</v>
      </c>
      <c r="Q449" s="8">
        <v>1997.0</v>
      </c>
      <c r="R449" s="8" t="s">
        <v>2075</v>
      </c>
      <c r="S449" s="8"/>
      <c r="T449" s="8"/>
      <c r="U449" s="8"/>
      <c r="V449" s="8"/>
      <c r="W449" s="8" t="s">
        <v>3169</v>
      </c>
      <c r="X449" s="8"/>
      <c r="Y449" s="8"/>
      <c r="Z449" s="8" t="s">
        <v>3397</v>
      </c>
      <c r="AA449" s="8"/>
      <c r="AB449" s="8"/>
      <c r="AC449" s="8"/>
      <c r="AD449" s="8" t="s">
        <v>2080</v>
      </c>
      <c r="AE449" s="8"/>
      <c r="AF449" s="8"/>
      <c r="AG449" s="8">
        <v>9127846.0</v>
      </c>
      <c r="AH449" s="8" t="s">
        <v>3398</v>
      </c>
      <c r="AI449" s="8"/>
      <c r="AJ449" s="8"/>
      <c r="AK449" s="8" t="s">
        <v>3399</v>
      </c>
      <c r="AL449" s="8" t="s">
        <v>3400</v>
      </c>
      <c r="AM449" s="8" t="s">
        <v>2763</v>
      </c>
    </row>
    <row r="450" ht="14.25" customHeight="1">
      <c r="A450" s="8">
        <v>310.0</v>
      </c>
      <c r="B450" s="8" t="s">
        <v>5681</v>
      </c>
      <c r="C450" s="8"/>
      <c r="D450" s="8" t="s">
        <v>5682</v>
      </c>
      <c r="E450" s="8" t="s">
        <v>5683</v>
      </c>
      <c r="F450" s="8" t="s">
        <v>5684</v>
      </c>
      <c r="G450" s="8"/>
      <c r="H450" s="8"/>
      <c r="I450" s="7">
        <v>35413.0</v>
      </c>
      <c r="J450" s="8" t="s">
        <v>5685</v>
      </c>
      <c r="K450" s="8" t="s">
        <v>2892</v>
      </c>
      <c r="L450" s="8">
        <v>1996.0</v>
      </c>
      <c r="M450" s="8">
        <v>24.0</v>
      </c>
      <c r="N450" s="8">
        <v>6.0</v>
      </c>
      <c r="O450" s="8">
        <v>758.0</v>
      </c>
      <c r="P450" s="8">
        <v>764.0</v>
      </c>
      <c r="Q450" s="8" t="s">
        <v>5686</v>
      </c>
      <c r="R450" s="8" t="s">
        <v>2075</v>
      </c>
      <c r="S450" s="8"/>
      <c r="T450" s="8"/>
      <c r="U450" s="8"/>
      <c r="V450" s="8"/>
      <c r="W450" s="8" t="s">
        <v>3076</v>
      </c>
      <c r="X450" s="8"/>
      <c r="Y450" s="8" t="s">
        <v>2894</v>
      </c>
      <c r="Z450" s="8" t="s">
        <v>5687</v>
      </c>
      <c r="AA450" s="8"/>
      <c r="AB450" s="8"/>
      <c r="AC450" s="8"/>
      <c r="AD450" s="8" t="s">
        <v>2080</v>
      </c>
      <c r="AE450" s="8" t="s">
        <v>2080</v>
      </c>
      <c r="AF450" s="8">
        <v>1.996359156E9</v>
      </c>
      <c r="AG450" s="8">
        <v>8947397.0</v>
      </c>
      <c r="AH450" s="8" t="s">
        <v>5688</v>
      </c>
      <c r="AI450" s="8" t="s">
        <v>1914</v>
      </c>
      <c r="AJ450" s="8" t="s">
        <v>5689</v>
      </c>
      <c r="AK450" s="8" t="s">
        <v>5690</v>
      </c>
      <c r="AL450" s="8" t="s">
        <v>5691</v>
      </c>
      <c r="AM450" s="8" t="s">
        <v>2967</v>
      </c>
    </row>
    <row r="451" ht="14.25" customHeight="1">
      <c r="A451" s="8">
        <v>311.0</v>
      </c>
      <c r="B451" s="8" t="s">
        <v>5692</v>
      </c>
      <c r="C451" s="8" t="s">
        <v>5693</v>
      </c>
      <c r="D451" s="8" t="s">
        <v>5694</v>
      </c>
      <c r="E451" s="8" t="s">
        <v>5695</v>
      </c>
      <c r="F451" s="8" t="s">
        <v>5696</v>
      </c>
      <c r="G451" s="8"/>
      <c r="H451" s="8"/>
      <c r="I451" s="7">
        <v>34815.0</v>
      </c>
      <c r="J451" s="8" t="s">
        <v>5697</v>
      </c>
      <c r="K451" s="8" t="s">
        <v>5698</v>
      </c>
      <c r="L451" s="8">
        <v>1994.0</v>
      </c>
      <c r="M451" s="8">
        <v>80.0</v>
      </c>
      <c r="N451" s="8">
        <v>2.0</v>
      </c>
      <c r="O451" s="8">
        <v>113.0</v>
      </c>
      <c r="P451" s="8">
        <v>117.0</v>
      </c>
      <c r="Q451" s="8">
        <v>1994.0</v>
      </c>
      <c r="R451" s="8" t="s">
        <v>2075</v>
      </c>
      <c r="S451" s="8"/>
      <c r="T451" s="8"/>
      <c r="U451" s="8"/>
      <c r="V451" s="8"/>
      <c r="W451" s="8" t="s">
        <v>2940</v>
      </c>
      <c r="X451" s="8"/>
      <c r="Y451" s="8"/>
      <c r="Z451" s="8" t="s">
        <v>5699</v>
      </c>
      <c r="AA451" s="8"/>
      <c r="AB451" s="8"/>
      <c r="AC451" s="8"/>
      <c r="AD451" s="8" t="s">
        <v>2943</v>
      </c>
      <c r="AE451" s="8"/>
      <c r="AF451" s="8"/>
      <c r="AG451" s="8">
        <v>7899626.0</v>
      </c>
      <c r="AH451" s="8" t="s">
        <v>5700</v>
      </c>
      <c r="AI451" s="8"/>
      <c r="AJ451" s="8"/>
      <c r="AK451" s="8" t="s">
        <v>5701</v>
      </c>
      <c r="AL451" s="8" t="s">
        <v>5702</v>
      </c>
      <c r="AM451" s="8" t="s">
        <v>2763</v>
      </c>
    </row>
    <row r="452" ht="14.25" customHeight="1">
      <c r="A452" s="8">
        <v>0.0</v>
      </c>
      <c r="B452" s="8" t="s">
        <v>957</v>
      </c>
      <c r="C452" s="8"/>
      <c r="D452" s="8" t="s">
        <v>3465</v>
      </c>
      <c r="E452" s="8" t="s">
        <v>3466</v>
      </c>
      <c r="F452" s="8"/>
      <c r="G452" s="8"/>
      <c r="H452" s="7">
        <v>45799.0</v>
      </c>
      <c r="I452" s="7">
        <v>46058.0</v>
      </c>
      <c r="J452" s="8" t="s">
        <v>3467</v>
      </c>
      <c r="K452" s="8" t="s">
        <v>2550</v>
      </c>
      <c r="L452" s="8">
        <v>2026.0</v>
      </c>
      <c r="M452" s="8">
        <v>34.0</v>
      </c>
      <c r="N452" s="8">
        <v>2.0</v>
      </c>
      <c r="O452" s="8">
        <v>484.0</v>
      </c>
      <c r="P452" s="8">
        <v>493.0</v>
      </c>
      <c r="Q452" s="9">
        <v>46054.0</v>
      </c>
      <c r="R452" s="8" t="s">
        <v>2075</v>
      </c>
      <c r="S452" s="8"/>
      <c r="T452" s="8"/>
      <c r="U452" s="8"/>
      <c r="V452" s="8"/>
      <c r="W452" s="8" t="s">
        <v>2551</v>
      </c>
      <c r="X452" s="8"/>
      <c r="Y452" s="8"/>
      <c r="Z452" s="8" t="s">
        <v>3468</v>
      </c>
      <c r="AA452" s="8"/>
      <c r="AB452" s="8"/>
      <c r="AC452" s="8"/>
      <c r="AD452" s="8" t="s">
        <v>2080</v>
      </c>
      <c r="AE452" s="8" t="s">
        <v>2080</v>
      </c>
      <c r="AF452" s="8"/>
      <c r="AG452" s="8">
        <v>4.0351242E7</v>
      </c>
      <c r="AH452" s="8" t="s">
        <v>3469</v>
      </c>
      <c r="AI452" s="8" t="s">
        <v>962</v>
      </c>
      <c r="AJ452" s="8" t="s">
        <v>3470</v>
      </c>
      <c r="AK452" s="8" t="s">
        <v>3471</v>
      </c>
      <c r="AL452" s="8" t="s">
        <v>3472</v>
      </c>
      <c r="AM452" s="8" t="s">
        <v>2136</v>
      </c>
    </row>
    <row r="453" ht="14.25" customHeight="1">
      <c r="A453" s="8">
        <v>1.0</v>
      </c>
      <c r="B453" s="8" t="s">
        <v>5703</v>
      </c>
      <c r="C453" s="8"/>
      <c r="D453" s="8" t="s">
        <v>5704</v>
      </c>
      <c r="E453" s="8" t="s">
        <v>5705</v>
      </c>
      <c r="F453" s="8" t="s">
        <v>5706</v>
      </c>
      <c r="G453" s="8"/>
      <c r="H453" s="7">
        <v>45896.0</v>
      </c>
      <c r="I453" s="7">
        <v>45901.0</v>
      </c>
      <c r="J453" s="8" t="s">
        <v>5707</v>
      </c>
      <c r="K453" s="8" t="s">
        <v>5708</v>
      </c>
      <c r="L453" s="8">
        <v>2025.0</v>
      </c>
      <c r="M453" s="8">
        <v>11.0</v>
      </c>
      <c r="N453" s="8">
        <v>1.0</v>
      </c>
      <c r="O453" s="8"/>
      <c r="P453" s="8"/>
      <c r="Q453" s="9">
        <v>45992.0</v>
      </c>
      <c r="R453" s="8" t="s">
        <v>2075</v>
      </c>
      <c r="S453" s="8"/>
      <c r="T453" s="8"/>
      <c r="U453" s="8"/>
      <c r="V453" s="8"/>
      <c r="W453" s="8" t="s">
        <v>5709</v>
      </c>
      <c r="X453" s="8"/>
      <c r="Y453" s="8" t="s">
        <v>2357</v>
      </c>
      <c r="Z453" s="8" t="s">
        <v>5710</v>
      </c>
      <c r="AA453" s="8"/>
      <c r="AB453" s="8"/>
      <c r="AC453" s="8" t="s">
        <v>5711</v>
      </c>
      <c r="AD453" s="8" t="s">
        <v>2080</v>
      </c>
      <c r="AE453" s="8" t="s">
        <v>3340</v>
      </c>
      <c r="AF453" s="8"/>
      <c r="AG453" s="8"/>
      <c r="AH453" s="8" t="s">
        <v>5712</v>
      </c>
      <c r="AI453" s="8" t="s">
        <v>5713</v>
      </c>
      <c r="AJ453" s="8" t="s">
        <v>5714</v>
      </c>
      <c r="AK453" s="8" t="s">
        <v>5715</v>
      </c>
      <c r="AL453" s="8" t="s">
        <v>5716</v>
      </c>
      <c r="AM453" s="8" t="s">
        <v>2086</v>
      </c>
    </row>
    <row r="454" ht="14.25" customHeight="1">
      <c r="A454" s="8">
        <v>2.0</v>
      </c>
      <c r="B454" s="8" t="s">
        <v>1945</v>
      </c>
      <c r="C454" s="8"/>
      <c r="D454" s="8" t="s">
        <v>5717</v>
      </c>
      <c r="E454" s="8" t="s">
        <v>5718</v>
      </c>
      <c r="F454" s="8" t="s">
        <v>5719</v>
      </c>
      <c r="G454" s="8"/>
      <c r="H454" s="7">
        <v>45923.0</v>
      </c>
      <c r="I454" s="7">
        <v>45933.0</v>
      </c>
      <c r="J454" s="8" t="s">
        <v>5720</v>
      </c>
      <c r="K454" s="8" t="s">
        <v>3728</v>
      </c>
      <c r="L454" s="8">
        <v>2025.0</v>
      </c>
      <c r="M454" s="8">
        <v>35.0</v>
      </c>
      <c r="N454" s="8">
        <v>1.0</v>
      </c>
      <c r="O454" s="8"/>
      <c r="P454" s="8"/>
      <c r="Q454" s="9">
        <v>45992.0</v>
      </c>
      <c r="R454" s="8" t="s">
        <v>2075</v>
      </c>
      <c r="S454" s="8"/>
      <c r="T454" s="8"/>
      <c r="U454" s="8"/>
      <c r="V454" s="8"/>
      <c r="W454" s="8" t="s">
        <v>3729</v>
      </c>
      <c r="X454" s="8"/>
      <c r="Y454" s="8" t="s">
        <v>3595</v>
      </c>
      <c r="Z454" s="8" t="s">
        <v>5721</v>
      </c>
      <c r="AA454" s="8"/>
      <c r="AB454" s="8"/>
      <c r="AC454" s="8"/>
      <c r="AD454" s="8" t="s">
        <v>2080</v>
      </c>
      <c r="AE454" s="8" t="s">
        <v>2080</v>
      </c>
      <c r="AF454" s="8"/>
      <c r="AG454" s="8">
        <v>4.0944765E7</v>
      </c>
      <c r="AH454" s="8" t="s">
        <v>5722</v>
      </c>
      <c r="AI454" s="8" t="s">
        <v>1949</v>
      </c>
      <c r="AJ454" s="8" t="s">
        <v>5723</v>
      </c>
      <c r="AK454" s="8" t="s">
        <v>5724</v>
      </c>
      <c r="AL454" s="8" t="s">
        <v>5725</v>
      </c>
      <c r="AM454" s="8" t="s">
        <v>2086</v>
      </c>
    </row>
    <row r="455" ht="14.25" customHeight="1">
      <c r="A455" s="8">
        <v>3.0</v>
      </c>
      <c r="B455" s="8" t="s">
        <v>3491</v>
      </c>
      <c r="C455" s="8"/>
      <c r="D455" s="8" t="s">
        <v>3492</v>
      </c>
      <c r="E455" s="8" t="s">
        <v>3493</v>
      </c>
      <c r="F455" s="8" t="s">
        <v>3494</v>
      </c>
      <c r="G455" s="8"/>
      <c r="H455" s="7">
        <v>45950.0</v>
      </c>
      <c r="I455" s="7">
        <v>45954.0</v>
      </c>
      <c r="J455" s="8" t="s">
        <v>3495</v>
      </c>
      <c r="K455" s="8" t="s">
        <v>3496</v>
      </c>
      <c r="L455" s="8">
        <v>2025.0</v>
      </c>
      <c r="M455" s="8">
        <v>26.0</v>
      </c>
      <c r="N455" s="8">
        <v>1.0</v>
      </c>
      <c r="O455" s="8"/>
      <c r="P455" s="8"/>
      <c r="Q455" s="9">
        <v>45992.0</v>
      </c>
      <c r="R455" s="8" t="s">
        <v>2075</v>
      </c>
      <c r="S455" s="8"/>
      <c r="T455" s="8"/>
      <c r="U455" s="8"/>
      <c r="V455" s="8"/>
      <c r="W455" s="8" t="s">
        <v>3497</v>
      </c>
      <c r="X455" s="8"/>
      <c r="Y455" s="8" t="s">
        <v>3498</v>
      </c>
      <c r="Z455" s="8" t="s">
        <v>3499</v>
      </c>
      <c r="AA455" s="8" t="s">
        <v>3500</v>
      </c>
      <c r="AB455" s="8"/>
      <c r="AC455" s="8" t="s">
        <v>3501</v>
      </c>
      <c r="AD455" s="8" t="s">
        <v>2080</v>
      </c>
      <c r="AE455" s="8" t="s">
        <v>2080</v>
      </c>
      <c r="AF455" s="8"/>
      <c r="AG455" s="8">
        <v>4.1083992E7</v>
      </c>
      <c r="AH455" s="8" t="s">
        <v>3502</v>
      </c>
      <c r="AI455" s="8" t="s">
        <v>3503</v>
      </c>
      <c r="AJ455" s="8" t="s">
        <v>3504</v>
      </c>
      <c r="AK455" s="8" t="s">
        <v>3505</v>
      </c>
      <c r="AL455" s="8" t="s">
        <v>3506</v>
      </c>
      <c r="AM455" s="8" t="s">
        <v>2086</v>
      </c>
    </row>
    <row r="456" ht="14.25" customHeight="1">
      <c r="A456" s="8">
        <v>4.0</v>
      </c>
      <c r="B456" s="8" t="s">
        <v>963</v>
      </c>
      <c r="C456" s="8"/>
      <c r="D456" s="8" t="s">
        <v>3520</v>
      </c>
      <c r="E456" s="8" t="s">
        <v>3521</v>
      </c>
      <c r="F456" s="8"/>
      <c r="G456" s="8"/>
      <c r="H456" s="7">
        <v>45720.0</v>
      </c>
      <c r="I456" s="7">
        <v>45896.0</v>
      </c>
      <c r="J456" s="8" t="s">
        <v>3522</v>
      </c>
      <c r="K456" s="8" t="s">
        <v>3523</v>
      </c>
      <c r="L456" s="8">
        <v>2025.0</v>
      </c>
      <c r="M456" s="8">
        <v>34.0</v>
      </c>
      <c r="N456" s="8">
        <v>7.0</v>
      </c>
      <c r="O456" s="8">
        <v>733.0</v>
      </c>
      <c r="P456" s="8">
        <v>739.0</v>
      </c>
      <c r="Q456" s="9">
        <v>45901.0</v>
      </c>
      <c r="R456" s="8" t="s">
        <v>2075</v>
      </c>
      <c r="S456" s="8"/>
      <c r="T456" s="8"/>
      <c r="U456" s="8"/>
      <c r="V456" s="8"/>
      <c r="W456" s="8" t="s">
        <v>3524</v>
      </c>
      <c r="X456" s="8"/>
      <c r="Y456" s="8"/>
      <c r="Z456" s="8" t="s">
        <v>3525</v>
      </c>
      <c r="AA456" s="8"/>
      <c r="AB456" s="8"/>
      <c r="AC456" s="8"/>
      <c r="AD456" s="8" t="s">
        <v>2080</v>
      </c>
      <c r="AE456" s="8" t="s">
        <v>2080</v>
      </c>
      <c r="AF456" s="8"/>
      <c r="AG456" s="8">
        <v>3.9947195E7</v>
      </c>
      <c r="AH456" s="8" t="s">
        <v>3526</v>
      </c>
      <c r="AI456" s="8" t="s">
        <v>968</v>
      </c>
      <c r="AJ456" s="8" t="s">
        <v>3527</v>
      </c>
      <c r="AK456" s="8" t="s">
        <v>3528</v>
      </c>
      <c r="AL456" s="8" t="s">
        <v>3529</v>
      </c>
      <c r="AM456" s="8" t="s">
        <v>2136</v>
      </c>
    </row>
    <row r="457" ht="14.25" customHeight="1">
      <c r="A457" s="8">
        <v>5.0</v>
      </c>
      <c r="B457" s="8" t="s">
        <v>5726</v>
      </c>
      <c r="C457" s="8"/>
      <c r="D457" s="8"/>
      <c r="E457" s="8"/>
      <c r="F457" s="8"/>
      <c r="G457" s="8"/>
      <c r="H457" s="7">
        <v>45943.0</v>
      </c>
      <c r="I457" s="7">
        <v>45943.0</v>
      </c>
      <c r="J457" s="8" t="s">
        <v>5727</v>
      </c>
      <c r="K457" s="8" t="s">
        <v>2089</v>
      </c>
      <c r="L457" s="8">
        <v>2025.0</v>
      </c>
      <c r="M457" s="8"/>
      <c r="N457" s="8"/>
      <c r="O457" s="8"/>
      <c r="P457" s="8"/>
      <c r="Q457" s="9">
        <v>45890.0</v>
      </c>
      <c r="R457" s="8" t="s">
        <v>2090</v>
      </c>
      <c r="S457" s="8"/>
      <c r="T457" s="8"/>
      <c r="U457" s="8"/>
      <c r="V457" s="8"/>
      <c r="W457" s="8"/>
      <c r="X457" s="8"/>
      <c r="Y457" s="8" t="s">
        <v>2089</v>
      </c>
      <c r="Z457" s="8" t="s">
        <v>5728</v>
      </c>
      <c r="AA457" s="8"/>
      <c r="AB457" s="8"/>
      <c r="AC457" s="8"/>
      <c r="AD457" s="8" t="s">
        <v>2080</v>
      </c>
      <c r="AE457" s="8" t="s">
        <v>2080</v>
      </c>
      <c r="AF457" s="8"/>
      <c r="AG457" s="8"/>
      <c r="AH457" s="8" t="s">
        <v>5729</v>
      </c>
      <c r="AI457" s="8"/>
      <c r="AJ457" s="8" t="s">
        <v>5730</v>
      </c>
      <c r="AK457" s="8" t="s">
        <v>5731</v>
      </c>
      <c r="AL457" s="8"/>
      <c r="AM457" s="8" t="s">
        <v>2095</v>
      </c>
    </row>
    <row r="458" ht="14.25" customHeight="1">
      <c r="A458" s="8">
        <v>6.0</v>
      </c>
      <c r="B458" s="8" t="s">
        <v>3530</v>
      </c>
      <c r="C458" s="8"/>
      <c r="D458" s="8" t="s">
        <v>3531</v>
      </c>
      <c r="E458" s="8" t="s">
        <v>3532</v>
      </c>
      <c r="F458" s="8" t="s">
        <v>3533</v>
      </c>
      <c r="G458" s="8"/>
      <c r="H458" s="7">
        <v>45930.0</v>
      </c>
      <c r="I458" s="7">
        <v>45943.0</v>
      </c>
      <c r="J458" s="8" t="s">
        <v>3534</v>
      </c>
      <c r="K458" s="8" t="s">
        <v>2355</v>
      </c>
      <c r="L458" s="8">
        <v>2025.0</v>
      </c>
      <c r="M458" s="8">
        <v>12.0</v>
      </c>
      <c r="N458" s="8">
        <v>3.0</v>
      </c>
      <c r="O458" s="8"/>
      <c r="P458" s="8"/>
      <c r="Q458" s="9">
        <v>45839.0</v>
      </c>
      <c r="R458" s="8" t="s">
        <v>2075</v>
      </c>
      <c r="S458" s="8"/>
      <c r="T458" s="8"/>
      <c r="U458" s="8"/>
      <c r="V458" s="8"/>
      <c r="W458" s="8" t="s">
        <v>2356</v>
      </c>
      <c r="X458" s="8"/>
      <c r="Y458" s="8" t="s">
        <v>3512</v>
      </c>
      <c r="Z458" s="8" t="s">
        <v>3535</v>
      </c>
      <c r="AA458" s="8" t="s">
        <v>3536</v>
      </c>
      <c r="AB458" s="8"/>
      <c r="AC458" s="8" t="s">
        <v>3537</v>
      </c>
      <c r="AD458" s="8" t="s">
        <v>2080</v>
      </c>
      <c r="AE458" s="8" t="s">
        <v>2080</v>
      </c>
      <c r="AF458" s="8"/>
      <c r="AG458" s="8"/>
      <c r="AH458" s="8" t="s">
        <v>3538</v>
      </c>
      <c r="AI458" s="8" t="s">
        <v>3539</v>
      </c>
      <c r="AJ458" s="8" t="s">
        <v>3540</v>
      </c>
      <c r="AK458" s="8" t="s">
        <v>3541</v>
      </c>
      <c r="AL458" s="8" t="s">
        <v>3542</v>
      </c>
      <c r="AM458" s="8" t="s">
        <v>2086</v>
      </c>
    </row>
    <row r="459" ht="14.25" customHeight="1">
      <c r="A459" s="8">
        <v>7.0</v>
      </c>
      <c r="B459" s="8" t="s">
        <v>3557</v>
      </c>
      <c r="C459" s="8"/>
      <c r="D459" s="8" t="s">
        <v>3558</v>
      </c>
      <c r="E459" s="8" t="s">
        <v>3559</v>
      </c>
      <c r="F459" s="8" t="s">
        <v>3560</v>
      </c>
      <c r="G459" s="8"/>
      <c r="H459" s="7">
        <v>45891.0</v>
      </c>
      <c r="I459" s="7">
        <v>45897.0</v>
      </c>
      <c r="J459" s="8" t="s">
        <v>3561</v>
      </c>
      <c r="K459" s="8" t="s">
        <v>2196</v>
      </c>
      <c r="L459" s="8">
        <v>2025.0</v>
      </c>
      <c r="M459" s="8">
        <v>14.0</v>
      </c>
      <c r="N459" s="8">
        <v>7.0</v>
      </c>
      <c r="O459" s="8">
        <v>1656.0</v>
      </c>
      <c r="P459" s="8">
        <v>1660.0</v>
      </c>
      <c r="Q459" s="9">
        <v>45839.0</v>
      </c>
      <c r="R459" s="8" t="s">
        <v>2075</v>
      </c>
      <c r="S459" s="8"/>
      <c r="T459" s="8"/>
      <c r="U459" s="8"/>
      <c r="V459" s="8"/>
      <c r="W459" s="8" t="s">
        <v>2197</v>
      </c>
      <c r="X459" s="8"/>
      <c r="Y459" s="8" t="s">
        <v>2196</v>
      </c>
      <c r="Z459" s="8" t="s">
        <v>3562</v>
      </c>
      <c r="AA459" s="8"/>
      <c r="AB459" s="8"/>
      <c r="AC459" s="8"/>
      <c r="AD459" s="8" t="s">
        <v>2080</v>
      </c>
      <c r="AE459" s="8" t="s">
        <v>2080</v>
      </c>
      <c r="AF459" s="8"/>
      <c r="AG459" s="8"/>
      <c r="AH459" s="8" t="s">
        <v>3563</v>
      </c>
      <c r="AI459" s="8" t="s">
        <v>3564</v>
      </c>
      <c r="AJ459" s="8" t="s">
        <v>3565</v>
      </c>
      <c r="AK459" s="8" t="s">
        <v>3566</v>
      </c>
      <c r="AL459" s="8" t="s">
        <v>3567</v>
      </c>
      <c r="AM459" s="8" t="s">
        <v>2086</v>
      </c>
    </row>
    <row r="460" ht="14.25" customHeight="1">
      <c r="A460" s="8">
        <v>8.0</v>
      </c>
      <c r="B460" s="8" t="s">
        <v>974</v>
      </c>
      <c r="C460" s="8"/>
      <c r="D460" s="8" t="s">
        <v>3568</v>
      </c>
      <c r="E460" s="8" t="s">
        <v>3569</v>
      </c>
      <c r="F460" s="8"/>
      <c r="G460" s="8"/>
      <c r="H460" s="7">
        <v>45685.0</v>
      </c>
      <c r="I460" s="7">
        <v>45852.0</v>
      </c>
      <c r="J460" s="8" t="s">
        <v>3570</v>
      </c>
      <c r="K460" s="8" t="s">
        <v>2550</v>
      </c>
      <c r="L460" s="8">
        <v>2025.0</v>
      </c>
      <c r="M460" s="8">
        <v>33.0</v>
      </c>
      <c r="N460" s="8">
        <v>7.0</v>
      </c>
      <c r="O460" s="8">
        <v>2390.0</v>
      </c>
      <c r="P460" s="8">
        <v>2396.0</v>
      </c>
      <c r="Q460" s="9">
        <v>45839.0</v>
      </c>
      <c r="R460" s="8" t="s">
        <v>2075</v>
      </c>
      <c r="S460" s="8"/>
      <c r="T460" s="8"/>
      <c r="U460" s="8"/>
      <c r="V460" s="8"/>
      <c r="W460" s="8" t="s">
        <v>2551</v>
      </c>
      <c r="X460" s="8"/>
      <c r="Y460" s="8"/>
      <c r="Z460" s="8" t="s">
        <v>3571</v>
      </c>
      <c r="AA460" s="8"/>
      <c r="AB460" s="8"/>
      <c r="AC460" s="8"/>
      <c r="AD460" s="8" t="s">
        <v>2080</v>
      </c>
      <c r="AE460" s="8" t="s">
        <v>2080</v>
      </c>
      <c r="AF460" s="8"/>
      <c r="AG460" s="8">
        <v>3.9810716E7</v>
      </c>
      <c r="AH460" s="8" t="s">
        <v>3572</v>
      </c>
      <c r="AI460" s="8" t="s">
        <v>978</v>
      </c>
      <c r="AJ460" s="8" t="s">
        <v>3573</v>
      </c>
      <c r="AK460" s="8" t="s">
        <v>3574</v>
      </c>
      <c r="AL460" s="8" t="s">
        <v>3575</v>
      </c>
      <c r="AM460" s="8" t="s">
        <v>2136</v>
      </c>
    </row>
    <row r="461" ht="14.25" customHeight="1">
      <c r="A461" s="8">
        <v>9.0</v>
      </c>
      <c r="B461" s="8" t="s">
        <v>5732</v>
      </c>
      <c r="C461" s="8"/>
      <c r="D461" s="8"/>
      <c r="E461" s="8"/>
      <c r="F461" s="8"/>
      <c r="G461" s="8"/>
      <c r="H461" s="7">
        <v>45943.0</v>
      </c>
      <c r="I461" s="7">
        <v>45943.0</v>
      </c>
      <c r="J461" s="8" t="s">
        <v>5733</v>
      </c>
      <c r="K461" s="8" t="s">
        <v>2089</v>
      </c>
      <c r="L461" s="8">
        <v>2025.0</v>
      </c>
      <c r="M461" s="8"/>
      <c r="N461" s="8"/>
      <c r="O461" s="8"/>
      <c r="P461" s="8"/>
      <c r="Q461" s="9">
        <v>45826.0</v>
      </c>
      <c r="R461" s="8" t="s">
        <v>2090</v>
      </c>
      <c r="S461" s="8"/>
      <c r="T461" s="8"/>
      <c r="U461" s="8"/>
      <c r="V461" s="8"/>
      <c r="W461" s="8"/>
      <c r="X461" s="8"/>
      <c r="Y461" s="8" t="s">
        <v>2089</v>
      </c>
      <c r="Z461" s="8" t="s">
        <v>5734</v>
      </c>
      <c r="AA461" s="8"/>
      <c r="AB461" s="8"/>
      <c r="AC461" s="8"/>
      <c r="AD461" s="8" t="s">
        <v>2080</v>
      </c>
      <c r="AE461" s="8" t="s">
        <v>2080</v>
      </c>
      <c r="AF461" s="8"/>
      <c r="AG461" s="8"/>
      <c r="AH461" s="8" t="s">
        <v>5735</v>
      </c>
      <c r="AI461" s="8"/>
      <c r="AJ461" s="8" t="s">
        <v>5736</v>
      </c>
      <c r="AK461" s="8" t="s">
        <v>5737</v>
      </c>
      <c r="AL461" s="8"/>
      <c r="AM461" s="8" t="s">
        <v>2095</v>
      </c>
    </row>
    <row r="462" ht="14.25" customHeight="1">
      <c r="A462" s="8">
        <v>10.0</v>
      </c>
      <c r="B462" s="8" t="s">
        <v>3611</v>
      </c>
      <c r="C462" s="8"/>
      <c r="D462" s="8" t="s">
        <v>3612</v>
      </c>
      <c r="E462" s="8" t="s">
        <v>3613</v>
      </c>
      <c r="F462" s="8"/>
      <c r="G462" s="8"/>
      <c r="H462" s="7">
        <v>45832.0</v>
      </c>
      <c r="I462" s="8"/>
      <c r="J462" s="8" t="s">
        <v>3614</v>
      </c>
      <c r="K462" s="8" t="s">
        <v>2550</v>
      </c>
      <c r="L462" s="8">
        <v>2025.0</v>
      </c>
      <c r="M462" s="8"/>
      <c r="N462" s="8"/>
      <c r="O462" s="8"/>
      <c r="P462" s="8"/>
      <c r="Q462" s="9">
        <v>45809.0</v>
      </c>
      <c r="R462" s="8" t="s">
        <v>2116</v>
      </c>
      <c r="S462" s="8"/>
      <c r="T462" s="8"/>
      <c r="U462" s="8"/>
      <c r="V462" s="8"/>
      <c r="W462" s="8" t="s">
        <v>2551</v>
      </c>
      <c r="X462" s="8"/>
      <c r="Y462" s="8"/>
      <c r="Z462" s="8" t="s">
        <v>3615</v>
      </c>
      <c r="AA462" s="8"/>
      <c r="AB462" s="8"/>
      <c r="AC462" s="8"/>
      <c r="AD462" s="8" t="s">
        <v>2080</v>
      </c>
      <c r="AE462" s="8" t="s">
        <v>2080</v>
      </c>
      <c r="AF462" s="8"/>
      <c r="AG462" s="8">
        <v>4.0450566E7</v>
      </c>
      <c r="AH462" s="8" t="s">
        <v>3616</v>
      </c>
      <c r="AI462" s="8" t="s">
        <v>3617</v>
      </c>
      <c r="AJ462" s="8" t="s">
        <v>3618</v>
      </c>
      <c r="AK462" s="8" t="s">
        <v>3619</v>
      </c>
      <c r="AL462" s="8" t="s">
        <v>3620</v>
      </c>
      <c r="AM462" s="8" t="s">
        <v>2136</v>
      </c>
    </row>
    <row r="463" ht="14.25" customHeight="1">
      <c r="A463" s="8">
        <v>11.0</v>
      </c>
      <c r="B463" s="8" t="s">
        <v>3621</v>
      </c>
      <c r="C463" s="8"/>
      <c r="D463" s="8"/>
      <c r="E463" s="8"/>
      <c r="F463" s="8"/>
      <c r="G463" s="8"/>
      <c r="H463" s="7">
        <v>45943.0</v>
      </c>
      <c r="I463" s="7">
        <v>45943.0</v>
      </c>
      <c r="J463" s="8" t="s">
        <v>3622</v>
      </c>
      <c r="K463" s="8" t="s">
        <v>2089</v>
      </c>
      <c r="L463" s="8">
        <v>2025.0</v>
      </c>
      <c r="M463" s="8"/>
      <c r="N463" s="8"/>
      <c r="O463" s="8"/>
      <c r="P463" s="8"/>
      <c r="Q463" s="9">
        <v>45789.0</v>
      </c>
      <c r="R463" s="8" t="s">
        <v>2090</v>
      </c>
      <c r="S463" s="8"/>
      <c r="T463" s="8"/>
      <c r="U463" s="8"/>
      <c r="V463" s="8"/>
      <c r="W463" s="8"/>
      <c r="X463" s="8"/>
      <c r="Y463" s="8" t="s">
        <v>2089</v>
      </c>
      <c r="Z463" s="8" t="s">
        <v>3623</v>
      </c>
      <c r="AA463" s="8"/>
      <c r="AB463" s="8"/>
      <c r="AC463" s="8"/>
      <c r="AD463" s="8" t="s">
        <v>2080</v>
      </c>
      <c r="AE463" s="8" t="s">
        <v>2080</v>
      </c>
      <c r="AF463" s="8"/>
      <c r="AG463" s="8"/>
      <c r="AH463" s="8" t="s">
        <v>3624</v>
      </c>
      <c r="AI463" s="8"/>
      <c r="AJ463" s="8" t="s">
        <v>3625</v>
      </c>
      <c r="AK463" s="8" t="s">
        <v>3626</v>
      </c>
      <c r="AL463" s="8"/>
      <c r="AM463" s="8" t="s">
        <v>2095</v>
      </c>
    </row>
    <row r="464" ht="14.25" customHeight="1">
      <c r="A464" s="8">
        <v>12.0</v>
      </c>
      <c r="B464" s="8" t="s">
        <v>5738</v>
      </c>
      <c r="C464" s="8"/>
      <c r="D464" s="8" t="s">
        <v>5739</v>
      </c>
      <c r="E464" s="8" t="s">
        <v>5740</v>
      </c>
      <c r="F464" s="8" t="s">
        <v>5741</v>
      </c>
      <c r="G464" s="8"/>
      <c r="H464" s="7">
        <v>45575.0</v>
      </c>
      <c r="I464" s="7">
        <v>45793.0</v>
      </c>
      <c r="J464" s="8" t="s">
        <v>5742</v>
      </c>
      <c r="K464" s="8" t="s">
        <v>2241</v>
      </c>
      <c r="L464" s="8">
        <v>2025.0</v>
      </c>
      <c r="M464" s="8">
        <v>41.0</v>
      </c>
      <c r="N464" s="8">
        <v>5.0</v>
      </c>
      <c r="O464" s="8">
        <v>1496.0</v>
      </c>
      <c r="P464" s="8">
        <v>1508.0</v>
      </c>
      <c r="Q464" s="9">
        <v>45778.0</v>
      </c>
      <c r="R464" s="8" t="s">
        <v>2075</v>
      </c>
      <c r="S464" s="8"/>
      <c r="T464" s="8"/>
      <c r="U464" s="8"/>
      <c r="V464" s="8"/>
      <c r="W464" s="8" t="s">
        <v>2242</v>
      </c>
      <c r="X464" s="8"/>
      <c r="Y464" s="8" t="s">
        <v>2243</v>
      </c>
      <c r="Z464" s="8" t="s">
        <v>5743</v>
      </c>
      <c r="AA464" s="8"/>
      <c r="AB464" s="8"/>
      <c r="AC464" s="8" t="s">
        <v>5744</v>
      </c>
      <c r="AD464" s="8" t="s">
        <v>2080</v>
      </c>
      <c r="AE464" s="8" t="s">
        <v>2080</v>
      </c>
      <c r="AF464" s="8"/>
      <c r="AG464" s="8">
        <v>3.904799E7</v>
      </c>
      <c r="AH464" s="8" t="s">
        <v>5745</v>
      </c>
      <c r="AI464" s="8" t="s">
        <v>5746</v>
      </c>
      <c r="AJ464" s="8" t="s">
        <v>5747</v>
      </c>
      <c r="AK464" s="8" t="s">
        <v>5748</v>
      </c>
      <c r="AL464" s="8" t="s">
        <v>5749</v>
      </c>
      <c r="AM464" s="8" t="s">
        <v>2086</v>
      </c>
    </row>
    <row r="465" ht="14.25" customHeight="1">
      <c r="A465" s="8">
        <v>13.0</v>
      </c>
      <c r="B465" s="8" t="s">
        <v>3643</v>
      </c>
      <c r="C465" s="8"/>
      <c r="D465" s="8"/>
      <c r="E465" s="8"/>
      <c r="F465" s="8"/>
      <c r="G465" s="8"/>
      <c r="H465" s="7">
        <v>45817.0</v>
      </c>
      <c r="I465" s="7">
        <v>45817.0</v>
      </c>
      <c r="J465" s="8" t="s">
        <v>3644</v>
      </c>
      <c r="K465" s="8" t="s">
        <v>2089</v>
      </c>
      <c r="L465" s="8">
        <v>2025.0</v>
      </c>
      <c r="M465" s="8"/>
      <c r="N465" s="8"/>
      <c r="O465" s="8"/>
      <c r="P465" s="8"/>
      <c r="Q465" s="9">
        <v>45666.0</v>
      </c>
      <c r="R465" s="8" t="s">
        <v>2090</v>
      </c>
      <c r="S465" s="8"/>
      <c r="T465" s="8"/>
      <c r="U465" s="8"/>
      <c r="V465" s="8"/>
      <c r="W465" s="8"/>
      <c r="X465" s="8"/>
      <c r="Y465" s="8" t="s">
        <v>2089</v>
      </c>
      <c r="Z465" s="8" t="s">
        <v>3645</v>
      </c>
      <c r="AA465" s="8"/>
      <c r="AB465" s="8"/>
      <c r="AC465" s="8"/>
      <c r="AD465" s="8" t="s">
        <v>2080</v>
      </c>
      <c r="AE465" s="8" t="s">
        <v>2080</v>
      </c>
      <c r="AF465" s="8"/>
      <c r="AG465" s="8"/>
      <c r="AH465" s="8" t="s">
        <v>3646</v>
      </c>
      <c r="AI465" s="8"/>
      <c r="AJ465" s="8" t="s">
        <v>3647</v>
      </c>
      <c r="AK465" s="8" t="s">
        <v>3648</v>
      </c>
      <c r="AL465" s="8"/>
      <c r="AM465" s="8" t="s">
        <v>2095</v>
      </c>
    </row>
    <row r="466" ht="14.25" customHeight="1">
      <c r="A466" s="8">
        <v>14.0</v>
      </c>
      <c r="B466" s="8" t="s">
        <v>5750</v>
      </c>
      <c r="C466" s="8"/>
      <c r="D466" s="8" t="s">
        <v>5751</v>
      </c>
      <c r="E466" s="8" t="s">
        <v>5752</v>
      </c>
      <c r="F466" s="8" t="s">
        <v>5753</v>
      </c>
      <c r="G466" s="8"/>
      <c r="H466" s="7">
        <v>45852.0</v>
      </c>
      <c r="I466" s="8"/>
      <c r="J466" s="8" t="s">
        <v>5754</v>
      </c>
      <c r="K466" s="8" t="s">
        <v>5755</v>
      </c>
      <c r="L466" s="8">
        <v>2025.0</v>
      </c>
      <c r="M466" s="8"/>
      <c r="N466" s="8"/>
      <c r="O466" s="8"/>
      <c r="P466" s="8"/>
      <c r="Q466" s="8">
        <v>2025.0</v>
      </c>
      <c r="R466" s="8" t="s">
        <v>2116</v>
      </c>
      <c r="S466" s="8"/>
      <c r="T466" s="8"/>
      <c r="U466" s="8"/>
      <c r="V466" s="8"/>
      <c r="W466" s="8" t="s">
        <v>5756</v>
      </c>
      <c r="X466" s="8"/>
      <c r="Y466" s="8" t="s">
        <v>5757</v>
      </c>
      <c r="Z466" s="8" t="s">
        <v>5758</v>
      </c>
      <c r="AA466" s="8"/>
      <c r="AB466" s="8"/>
      <c r="AC466" s="8"/>
      <c r="AD466" s="8" t="s">
        <v>2080</v>
      </c>
      <c r="AE466" s="8" t="s">
        <v>2080</v>
      </c>
      <c r="AF466" s="8"/>
      <c r="AG466" s="8"/>
      <c r="AH466" s="8" t="s">
        <v>5759</v>
      </c>
      <c r="AI466" s="8" t="s">
        <v>5760</v>
      </c>
      <c r="AJ466" s="8" t="s">
        <v>5761</v>
      </c>
      <c r="AK466" s="8" t="s">
        <v>5762</v>
      </c>
      <c r="AL466" s="8" t="s">
        <v>5763</v>
      </c>
      <c r="AM466" s="8" t="s">
        <v>2086</v>
      </c>
    </row>
    <row r="467" ht="14.25" customHeight="1">
      <c r="A467" s="8">
        <v>15.0</v>
      </c>
      <c r="B467" s="8" t="s">
        <v>3667</v>
      </c>
      <c r="C467" s="8"/>
      <c r="D467" s="8"/>
      <c r="E467" s="8"/>
      <c r="F467" s="8"/>
      <c r="G467" s="8"/>
      <c r="H467" s="7">
        <v>45817.0</v>
      </c>
      <c r="I467" s="7">
        <v>45817.0</v>
      </c>
      <c r="J467" s="8" t="s">
        <v>3668</v>
      </c>
      <c r="K467" s="8" t="s">
        <v>2089</v>
      </c>
      <c r="L467" s="8">
        <v>2024.0</v>
      </c>
      <c r="M467" s="8"/>
      <c r="N467" s="8"/>
      <c r="O467" s="8"/>
      <c r="P467" s="8"/>
      <c r="Q467" s="9">
        <v>45644.0</v>
      </c>
      <c r="R467" s="8" t="s">
        <v>2090</v>
      </c>
      <c r="S467" s="8"/>
      <c r="T467" s="8"/>
      <c r="U467" s="8"/>
      <c r="V467" s="8"/>
      <c r="W467" s="8"/>
      <c r="X467" s="8"/>
      <c r="Y467" s="8" t="s">
        <v>2089</v>
      </c>
      <c r="Z467" s="8" t="s">
        <v>3669</v>
      </c>
      <c r="AA467" s="8"/>
      <c r="AB467" s="8"/>
      <c r="AC467" s="8"/>
      <c r="AD467" s="8" t="s">
        <v>2080</v>
      </c>
      <c r="AE467" s="8" t="s">
        <v>2080</v>
      </c>
      <c r="AF467" s="8"/>
      <c r="AG467" s="8"/>
      <c r="AH467" s="8" t="s">
        <v>3670</v>
      </c>
      <c r="AI467" s="8"/>
      <c r="AJ467" s="8" t="s">
        <v>3671</v>
      </c>
      <c r="AK467" s="8" t="s">
        <v>3672</v>
      </c>
      <c r="AL467" s="8"/>
      <c r="AM467" s="8" t="s">
        <v>2095</v>
      </c>
    </row>
    <row r="468" ht="14.25" customHeight="1">
      <c r="A468" s="8">
        <v>16.0</v>
      </c>
      <c r="B468" s="8" t="s">
        <v>5764</v>
      </c>
      <c r="C468" s="8"/>
      <c r="D468" s="8" t="s">
        <v>5765</v>
      </c>
      <c r="E468" s="8" t="s">
        <v>5766</v>
      </c>
      <c r="F468" s="8" t="s">
        <v>5767</v>
      </c>
      <c r="G468" s="8"/>
      <c r="H468" s="7">
        <v>45398.0</v>
      </c>
      <c r="I468" s="7">
        <v>45405.0</v>
      </c>
      <c r="J468" s="8" t="s">
        <v>5768</v>
      </c>
      <c r="K468" s="8" t="s">
        <v>1966</v>
      </c>
      <c r="L468" s="8">
        <v>2024.0</v>
      </c>
      <c r="M468" s="8">
        <v>25.0</v>
      </c>
      <c r="N468" s="8">
        <v>1.0</v>
      </c>
      <c r="O468" s="8"/>
      <c r="P468" s="8"/>
      <c r="Q468" s="9">
        <v>45627.0</v>
      </c>
      <c r="R468" s="8" t="s">
        <v>2075</v>
      </c>
      <c r="S468" s="8"/>
      <c r="T468" s="8"/>
      <c r="U468" s="8"/>
      <c r="V468" s="8"/>
      <c r="W468" s="8" t="s">
        <v>4554</v>
      </c>
      <c r="X468" s="8"/>
      <c r="Y468" s="8" t="s">
        <v>3498</v>
      </c>
      <c r="Z468" s="8" t="s">
        <v>5769</v>
      </c>
      <c r="AA468" s="8"/>
      <c r="AB468" s="8"/>
      <c r="AC468" s="8" t="s">
        <v>5770</v>
      </c>
      <c r="AD468" s="8" t="s">
        <v>2080</v>
      </c>
      <c r="AE468" s="8" t="s">
        <v>2080</v>
      </c>
      <c r="AF468" s="8"/>
      <c r="AG468" s="8">
        <v>3.8605374E7</v>
      </c>
      <c r="AH468" s="8" t="s">
        <v>5771</v>
      </c>
      <c r="AI468" s="8" t="s">
        <v>5772</v>
      </c>
      <c r="AJ468" s="8" t="s">
        <v>5773</v>
      </c>
      <c r="AK468" s="8" t="s">
        <v>5774</v>
      </c>
      <c r="AL468" s="8" t="s">
        <v>5775</v>
      </c>
      <c r="AM468" s="8" t="s">
        <v>3660</v>
      </c>
    </row>
    <row r="469" ht="14.25" customHeight="1">
      <c r="A469" s="8">
        <v>17.0</v>
      </c>
      <c r="B469" s="8" t="s">
        <v>3673</v>
      </c>
      <c r="C469" s="8"/>
      <c r="D469" s="8"/>
      <c r="E469" s="8"/>
      <c r="F469" s="8"/>
      <c r="G469" s="8"/>
      <c r="H469" s="7">
        <v>45817.0</v>
      </c>
      <c r="I469" s="7">
        <v>45817.0</v>
      </c>
      <c r="J469" s="8" t="s">
        <v>3674</v>
      </c>
      <c r="K469" s="8" t="s">
        <v>2089</v>
      </c>
      <c r="L469" s="8">
        <v>2024.0</v>
      </c>
      <c r="M469" s="8"/>
      <c r="N469" s="8"/>
      <c r="O469" s="8"/>
      <c r="P469" s="8"/>
      <c r="Q469" s="9">
        <v>45626.0</v>
      </c>
      <c r="R469" s="8" t="s">
        <v>2090</v>
      </c>
      <c r="S469" s="8"/>
      <c r="T469" s="8"/>
      <c r="U469" s="8"/>
      <c r="V469" s="8"/>
      <c r="W469" s="8"/>
      <c r="X469" s="8"/>
      <c r="Y469" s="8" t="s">
        <v>2089</v>
      </c>
      <c r="Z469" s="8" t="s">
        <v>3675</v>
      </c>
      <c r="AA469" s="8"/>
      <c r="AB469" s="8"/>
      <c r="AC469" s="8"/>
      <c r="AD469" s="8" t="s">
        <v>2080</v>
      </c>
      <c r="AE469" s="8" t="s">
        <v>2080</v>
      </c>
      <c r="AF469" s="8"/>
      <c r="AG469" s="8"/>
      <c r="AH469" s="8" t="s">
        <v>3676</v>
      </c>
      <c r="AI469" s="8"/>
      <c r="AJ469" s="8" t="s">
        <v>3677</v>
      </c>
      <c r="AK469" s="8" t="s">
        <v>3678</v>
      </c>
      <c r="AL469" s="8"/>
      <c r="AM469" s="8" t="s">
        <v>2095</v>
      </c>
    </row>
    <row r="470" ht="14.25" customHeight="1">
      <c r="A470" s="8">
        <v>18.0</v>
      </c>
      <c r="B470" s="8" t="s">
        <v>5776</v>
      </c>
      <c r="C470" s="8"/>
      <c r="D470" s="8" t="s">
        <v>5777</v>
      </c>
      <c r="E470" s="8" t="s">
        <v>5778</v>
      </c>
      <c r="F470" s="8" t="s">
        <v>5779</v>
      </c>
      <c r="G470" s="8"/>
      <c r="H470" s="7">
        <v>45593.0</v>
      </c>
      <c r="I470" s="7">
        <v>45595.0</v>
      </c>
      <c r="J470" s="8" t="s">
        <v>5780</v>
      </c>
      <c r="K470" s="8" t="s">
        <v>2101</v>
      </c>
      <c r="L470" s="8">
        <v>2024.0</v>
      </c>
      <c r="M470" s="8">
        <v>12.0</v>
      </c>
      <c r="N470" s="8">
        <v>10.0</v>
      </c>
      <c r="O470" s="8"/>
      <c r="P470" s="8"/>
      <c r="Q470" s="9">
        <v>45566.0</v>
      </c>
      <c r="R470" s="8" t="s">
        <v>2075</v>
      </c>
      <c r="S470" s="8"/>
      <c r="T470" s="8"/>
      <c r="U470" s="8"/>
      <c r="V470" s="8"/>
      <c r="W470" s="8" t="s">
        <v>2102</v>
      </c>
      <c r="X470" s="8"/>
      <c r="Y470" s="8" t="s">
        <v>2103</v>
      </c>
      <c r="Z470" s="8" t="s">
        <v>5781</v>
      </c>
      <c r="AA470" s="8"/>
      <c r="AB470" s="8"/>
      <c r="AC470" s="8"/>
      <c r="AD470" s="8" t="s">
        <v>2080</v>
      </c>
      <c r="AE470" s="8" t="s">
        <v>2080</v>
      </c>
      <c r="AF470" s="8"/>
      <c r="AG470" s="8"/>
      <c r="AH470" s="8" t="s">
        <v>5782</v>
      </c>
      <c r="AI470" s="8" t="s">
        <v>5783</v>
      </c>
      <c r="AJ470" s="8" t="s">
        <v>5784</v>
      </c>
      <c r="AK470" s="8" t="s">
        <v>5785</v>
      </c>
      <c r="AL470" s="8" t="s">
        <v>5786</v>
      </c>
      <c r="AM470" s="8" t="s">
        <v>3660</v>
      </c>
    </row>
    <row r="471" ht="14.25" customHeight="1">
      <c r="A471" s="8">
        <v>19.0</v>
      </c>
      <c r="B471" s="8" t="s">
        <v>5787</v>
      </c>
      <c r="C471" s="8"/>
      <c r="D471" s="8" t="s">
        <v>5788</v>
      </c>
      <c r="E471" s="8" t="s">
        <v>5789</v>
      </c>
      <c r="F471" s="8" t="s">
        <v>5790</v>
      </c>
      <c r="G471" s="8"/>
      <c r="H471" s="7">
        <v>45566.0</v>
      </c>
      <c r="I471" s="7">
        <v>45569.0</v>
      </c>
      <c r="J471" s="8" t="s">
        <v>5791</v>
      </c>
      <c r="K471" s="8" t="s">
        <v>5792</v>
      </c>
      <c r="L471" s="8">
        <v>2024.0</v>
      </c>
      <c r="M471" s="8">
        <v>31.0</v>
      </c>
      <c r="N471" s="8">
        <v>9.0</v>
      </c>
      <c r="O471" s="8">
        <v>645.0</v>
      </c>
      <c r="P471" s="8">
        <v>651.0</v>
      </c>
      <c r="Q471" s="9">
        <v>45537.0</v>
      </c>
      <c r="R471" s="8" t="s">
        <v>2075</v>
      </c>
      <c r="S471" s="8"/>
      <c r="T471" s="8"/>
      <c r="U471" s="8"/>
      <c r="V471" s="8"/>
      <c r="W471" s="8" t="s">
        <v>5793</v>
      </c>
      <c r="X471" s="8"/>
      <c r="Y471" s="8" t="s">
        <v>5794</v>
      </c>
      <c r="Z471" s="8" t="s">
        <v>5795</v>
      </c>
      <c r="AA471" s="8"/>
      <c r="AB471" s="8"/>
      <c r="AC471" s="8"/>
      <c r="AD471" s="8" t="s">
        <v>2080</v>
      </c>
      <c r="AE471" s="8" t="s">
        <v>2080</v>
      </c>
      <c r="AF471" s="8"/>
      <c r="AG471" s="8"/>
      <c r="AH471" s="8" t="s">
        <v>5796</v>
      </c>
      <c r="AI471" s="8" t="s">
        <v>5797</v>
      </c>
      <c r="AJ471" s="8" t="s">
        <v>5798</v>
      </c>
      <c r="AK471" s="8" t="s">
        <v>5799</v>
      </c>
      <c r="AL471" s="8" t="s">
        <v>5800</v>
      </c>
      <c r="AM471" s="8" t="s">
        <v>3660</v>
      </c>
    </row>
    <row r="472" ht="14.25" customHeight="1">
      <c r="A472" s="8">
        <v>20.0</v>
      </c>
      <c r="B472" s="8" t="s">
        <v>5801</v>
      </c>
      <c r="C472" s="8"/>
      <c r="D472" s="8"/>
      <c r="E472" s="8"/>
      <c r="F472" s="8"/>
      <c r="G472" s="8"/>
      <c r="H472" s="7">
        <v>45813.0</v>
      </c>
      <c r="I472" s="7">
        <v>45813.0</v>
      </c>
      <c r="J472" s="8" t="s">
        <v>5802</v>
      </c>
      <c r="K472" s="8" t="s">
        <v>2089</v>
      </c>
      <c r="L472" s="8">
        <v>2024.0</v>
      </c>
      <c r="M472" s="8"/>
      <c r="N472" s="8"/>
      <c r="O472" s="8"/>
      <c r="P472" s="8"/>
      <c r="Q472" s="9">
        <v>45429.0</v>
      </c>
      <c r="R472" s="8" t="s">
        <v>2090</v>
      </c>
      <c r="S472" s="8"/>
      <c r="T472" s="8"/>
      <c r="U472" s="8"/>
      <c r="V472" s="8"/>
      <c r="W472" s="8"/>
      <c r="X472" s="8"/>
      <c r="Y472" s="8" t="s">
        <v>2089</v>
      </c>
      <c r="Z472" s="8" t="s">
        <v>5803</v>
      </c>
      <c r="AA472" s="8"/>
      <c r="AB472" s="8"/>
      <c r="AC472" s="8"/>
      <c r="AD472" s="8" t="s">
        <v>2080</v>
      </c>
      <c r="AE472" s="8" t="s">
        <v>2080</v>
      </c>
      <c r="AF472" s="8"/>
      <c r="AG472" s="8"/>
      <c r="AH472" s="8" t="s">
        <v>5804</v>
      </c>
      <c r="AI472" s="8"/>
      <c r="AJ472" s="8" t="s">
        <v>5805</v>
      </c>
      <c r="AK472" s="8" t="s">
        <v>5806</v>
      </c>
      <c r="AL472" s="8"/>
      <c r="AM472" s="8" t="s">
        <v>2095</v>
      </c>
    </row>
    <row r="473" ht="14.25" customHeight="1">
      <c r="A473" s="8">
        <v>21.0</v>
      </c>
      <c r="B473" s="8" t="s">
        <v>1013</v>
      </c>
      <c r="C473" s="8"/>
      <c r="D473" s="8" t="s">
        <v>3700</v>
      </c>
      <c r="E473" s="8" t="s">
        <v>3701</v>
      </c>
      <c r="F473" s="8"/>
      <c r="G473" s="8"/>
      <c r="H473" s="7">
        <v>45329.0</v>
      </c>
      <c r="I473" s="7">
        <v>45362.0</v>
      </c>
      <c r="J473" s="8" t="s">
        <v>3702</v>
      </c>
      <c r="K473" s="8" t="s">
        <v>2128</v>
      </c>
      <c r="L473" s="8">
        <v>2024.0</v>
      </c>
      <c r="M473" s="8">
        <v>52.0</v>
      </c>
      <c r="N473" s="8">
        <v>3.0</v>
      </c>
      <c r="O473" s="8">
        <v>660.0</v>
      </c>
      <c r="P473" s="8">
        <v>669.0</v>
      </c>
      <c r="Q473" s="9">
        <v>45352.0</v>
      </c>
      <c r="R473" s="8" t="s">
        <v>2075</v>
      </c>
      <c r="S473" s="8"/>
      <c r="T473" s="8"/>
      <c r="U473" s="8"/>
      <c r="V473" s="8"/>
      <c r="W473" s="8" t="s">
        <v>2129</v>
      </c>
      <c r="X473" s="8"/>
      <c r="Y473" s="8"/>
      <c r="Z473" s="8" t="s">
        <v>3703</v>
      </c>
      <c r="AA473" s="8"/>
      <c r="AB473" s="8"/>
      <c r="AC473" s="8"/>
      <c r="AD473" s="8" t="s">
        <v>2080</v>
      </c>
      <c r="AE473" s="8" t="s">
        <v>2080</v>
      </c>
      <c r="AF473" s="8"/>
      <c r="AG473" s="8">
        <v>3.8284303E7</v>
      </c>
      <c r="AH473" s="8" t="s">
        <v>3704</v>
      </c>
      <c r="AI473" s="8" t="s">
        <v>1018</v>
      </c>
      <c r="AJ473" s="8" t="s">
        <v>3705</v>
      </c>
      <c r="AK473" s="8" t="s">
        <v>3706</v>
      </c>
      <c r="AL473" s="8" t="s">
        <v>3707</v>
      </c>
      <c r="AM473" s="8" t="s">
        <v>2136</v>
      </c>
    </row>
    <row r="474" ht="14.25" customHeight="1">
      <c r="A474" s="8">
        <v>22.0</v>
      </c>
      <c r="B474" s="8" t="s">
        <v>1044</v>
      </c>
      <c r="C474" s="8"/>
      <c r="D474" s="8" t="s">
        <v>3724</v>
      </c>
      <c r="E474" s="8" t="s">
        <v>3725</v>
      </c>
      <c r="F474" s="8" t="s">
        <v>3726</v>
      </c>
      <c r="G474" s="8"/>
      <c r="H474" s="7">
        <v>45132.0</v>
      </c>
      <c r="I474" s="7">
        <v>45307.0</v>
      </c>
      <c r="J474" s="8" t="s">
        <v>3727</v>
      </c>
      <c r="K474" s="8" t="s">
        <v>3728</v>
      </c>
      <c r="L474" s="8">
        <v>2024.0</v>
      </c>
      <c r="M474" s="8">
        <v>34.0</v>
      </c>
      <c r="N474" s="8">
        <v>1.0</v>
      </c>
      <c r="O474" s="8">
        <v>293.0</v>
      </c>
      <c r="P474" s="8">
        <v>301.0</v>
      </c>
      <c r="Q474" s="9">
        <v>45292.0</v>
      </c>
      <c r="R474" s="8" t="s">
        <v>2075</v>
      </c>
      <c r="S474" s="8"/>
      <c r="T474" s="8"/>
      <c r="U474" s="8"/>
      <c r="V474" s="8"/>
      <c r="W474" s="8" t="s">
        <v>3729</v>
      </c>
      <c r="X474" s="8"/>
      <c r="Y474" s="8" t="s">
        <v>3595</v>
      </c>
      <c r="Z474" s="8" t="s">
        <v>3730</v>
      </c>
      <c r="AA474" s="8"/>
      <c r="AB474" s="8"/>
      <c r="AC474" s="8"/>
      <c r="AD474" s="8" t="s">
        <v>2080</v>
      </c>
      <c r="AE474" s="8" t="s">
        <v>2080</v>
      </c>
      <c r="AF474" s="8"/>
      <c r="AG474" s="8">
        <v>3.7468645E7</v>
      </c>
      <c r="AH474" s="8" t="s">
        <v>3731</v>
      </c>
      <c r="AI474" s="8" t="s">
        <v>1048</v>
      </c>
      <c r="AJ474" s="8" t="s">
        <v>3732</v>
      </c>
      <c r="AK474" s="8" t="s">
        <v>3733</v>
      </c>
      <c r="AL474" s="8" t="s">
        <v>3734</v>
      </c>
      <c r="AM474" s="8" t="s">
        <v>3660</v>
      </c>
    </row>
    <row r="475" ht="14.25" customHeight="1">
      <c r="A475" s="8">
        <v>23.0</v>
      </c>
      <c r="B475" s="8" t="s">
        <v>5807</v>
      </c>
      <c r="C475" s="8"/>
      <c r="D475" s="8" t="s">
        <v>5808</v>
      </c>
      <c r="E475" s="8" t="s">
        <v>5809</v>
      </c>
      <c r="F475" s="8" t="s">
        <v>5810</v>
      </c>
      <c r="G475" s="8"/>
      <c r="H475" s="7">
        <v>45345.0</v>
      </c>
      <c r="I475" s="7">
        <v>45349.0</v>
      </c>
      <c r="J475" s="8" t="s">
        <v>5811</v>
      </c>
      <c r="K475" s="8" t="s">
        <v>3548</v>
      </c>
      <c r="L475" s="8">
        <v>2024.0</v>
      </c>
      <c r="M475" s="8">
        <v>11.0</v>
      </c>
      <c r="N475" s="8">
        <v>1.0</v>
      </c>
      <c r="O475" s="8">
        <v>22.0</v>
      </c>
      <c r="P475" s="8">
        <v>27.0</v>
      </c>
      <c r="Q475" s="9">
        <v>45292.0</v>
      </c>
      <c r="R475" s="8" t="s">
        <v>2075</v>
      </c>
      <c r="S475" s="8"/>
      <c r="T475" s="8"/>
      <c r="U475" s="8"/>
      <c r="V475" s="8"/>
      <c r="W475" s="8" t="s">
        <v>3549</v>
      </c>
      <c r="X475" s="8"/>
      <c r="Y475" s="8" t="s">
        <v>3550</v>
      </c>
      <c r="Z475" s="8" t="s">
        <v>5812</v>
      </c>
      <c r="AA475" s="8"/>
      <c r="AB475" s="8"/>
      <c r="AC475" s="8"/>
      <c r="AD475" s="8" t="s">
        <v>2080</v>
      </c>
      <c r="AE475" s="8" t="s">
        <v>2080</v>
      </c>
      <c r="AF475" s="8"/>
      <c r="AG475" s="8"/>
      <c r="AH475" s="8" t="s">
        <v>5813</v>
      </c>
      <c r="AI475" s="8" t="s">
        <v>5814</v>
      </c>
      <c r="AJ475" s="8" t="s">
        <v>5815</v>
      </c>
      <c r="AK475" s="8" t="s">
        <v>5816</v>
      </c>
      <c r="AL475" s="8" t="s">
        <v>5817</v>
      </c>
      <c r="AM475" s="8" t="s">
        <v>3660</v>
      </c>
    </row>
    <row r="476" ht="14.25" customHeight="1">
      <c r="A476" s="8">
        <v>24.0</v>
      </c>
      <c r="B476" s="8" t="s">
        <v>1956</v>
      </c>
      <c r="C476" s="8"/>
      <c r="D476" s="8" t="s">
        <v>5818</v>
      </c>
      <c r="E476" s="8" t="s">
        <v>5819</v>
      </c>
      <c r="F476" s="8" t="s">
        <v>5820</v>
      </c>
      <c r="G476" s="8"/>
      <c r="H476" s="7">
        <v>45595.0</v>
      </c>
      <c r="I476" s="8"/>
      <c r="J476" s="8" t="s">
        <v>5821</v>
      </c>
      <c r="K476" s="8" t="s">
        <v>5312</v>
      </c>
      <c r="L476" s="8">
        <v>2024.0</v>
      </c>
      <c r="M476" s="8"/>
      <c r="N476" s="8"/>
      <c r="O476" s="8"/>
      <c r="P476" s="8"/>
      <c r="Q476" s="8">
        <v>2024.0</v>
      </c>
      <c r="R476" s="8" t="s">
        <v>2116</v>
      </c>
      <c r="S476" s="8"/>
      <c r="T476" s="8"/>
      <c r="U476" s="8"/>
      <c r="V476" s="8"/>
      <c r="W476" s="8" t="s">
        <v>5822</v>
      </c>
      <c r="X476" s="8"/>
      <c r="Y476" s="8" t="s">
        <v>3776</v>
      </c>
      <c r="Z476" s="8" t="s">
        <v>5823</v>
      </c>
      <c r="AA476" s="8"/>
      <c r="AB476" s="8"/>
      <c r="AC476" s="8"/>
      <c r="AD476" s="8" t="s">
        <v>2080</v>
      </c>
      <c r="AE476" s="8" t="s">
        <v>2080</v>
      </c>
      <c r="AF476" s="8"/>
      <c r="AG476" s="8">
        <v>3.9385323E7</v>
      </c>
      <c r="AH476" s="8" t="s">
        <v>5824</v>
      </c>
      <c r="AI476" s="8" t="s">
        <v>1961</v>
      </c>
      <c r="AJ476" s="8" t="s">
        <v>5825</v>
      </c>
      <c r="AK476" s="8" t="s">
        <v>5826</v>
      </c>
      <c r="AL476" s="8" t="s">
        <v>5827</v>
      </c>
      <c r="AM476" s="8" t="s">
        <v>3660</v>
      </c>
    </row>
    <row r="477" ht="14.25" customHeight="1">
      <c r="A477" s="8">
        <v>25.0</v>
      </c>
      <c r="B477" s="8" t="s">
        <v>2143</v>
      </c>
      <c r="C477" s="8"/>
      <c r="D477" s="8"/>
      <c r="E477" s="8"/>
      <c r="F477" s="8"/>
      <c r="G477" s="8"/>
      <c r="H477" s="7">
        <v>45812.0</v>
      </c>
      <c r="I477" s="7">
        <v>45812.0</v>
      </c>
      <c r="J477" s="8" t="s">
        <v>2144</v>
      </c>
      <c r="K477" s="8" t="s">
        <v>2089</v>
      </c>
      <c r="L477" s="8">
        <v>2023.0</v>
      </c>
      <c r="M477" s="8"/>
      <c r="N477" s="8"/>
      <c r="O477" s="8"/>
      <c r="P477" s="8"/>
      <c r="Q477" s="9">
        <v>45262.0</v>
      </c>
      <c r="R477" s="8" t="s">
        <v>2090</v>
      </c>
      <c r="S477" s="8"/>
      <c r="T477" s="8"/>
      <c r="U477" s="8"/>
      <c r="V477" s="8"/>
      <c r="W477" s="8"/>
      <c r="X477" s="8"/>
      <c r="Y477" s="8" t="s">
        <v>2089</v>
      </c>
      <c r="Z477" s="8" t="s">
        <v>2145</v>
      </c>
      <c r="AA477" s="8"/>
      <c r="AB477" s="8"/>
      <c r="AC477" s="8"/>
      <c r="AD477" s="8" t="s">
        <v>2080</v>
      </c>
      <c r="AE477" s="8" t="s">
        <v>2080</v>
      </c>
      <c r="AF477" s="8"/>
      <c r="AG477" s="8"/>
      <c r="AH477" s="8" t="s">
        <v>2146</v>
      </c>
      <c r="AI477" s="8"/>
      <c r="AJ477" s="8" t="s">
        <v>2147</v>
      </c>
      <c r="AK477" s="8" t="s">
        <v>2148</v>
      </c>
      <c r="AL477" s="8"/>
      <c r="AM477" s="8" t="s">
        <v>2095</v>
      </c>
    </row>
    <row r="478" ht="14.25" customHeight="1">
      <c r="A478" s="8">
        <v>26.0</v>
      </c>
      <c r="B478" s="8" t="s">
        <v>3839</v>
      </c>
      <c r="C478" s="8"/>
      <c r="D478" s="8" t="s">
        <v>3840</v>
      </c>
      <c r="E478" s="8" t="s">
        <v>3841</v>
      </c>
      <c r="F478" s="8" t="s">
        <v>3842</v>
      </c>
      <c r="G478" s="8"/>
      <c r="H478" s="7">
        <v>45580.0</v>
      </c>
      <c r="I478" s="7">
        <v>45581.0</v>
      </c>
      <c r="J478" s="8" t="s">
        <v>3843</v>
      </c>
      <c r="K478" s="8" t="s">
        <v>3844</v>
      </c>
      <c r="L478" s="8">
        <v>2023.0</v>
      </c>
      <c r="M478" s="8">
        <v>17.0</v>
      </c>
      <c r="N478" s="8">
        <v>8.0</v>
      </c>
      <c r="O478" s="8" t="s">
        <v>3845</v>
      </c>
      <c r="P478" s="8" t="s">
        <v>3846</v>
      </c>
      <c r="Q478" s="9">
        <v>45139.0</v>
      </c>
      <c r="R478" s="8" t="s">
        <v>2075</v>
      </c>
      <c r="S478" s="8"/>
      <c r="T478" s="8"/>
      <c r="U478" s="8"/>
      <c r="V478" s="8"/>
      <c r="W478" s="8" t="s">
        <v>3847</v>
      </c>
      <c r="X478" s="8"/>
      <c r="Y478" s="8" t="s">
        <v>3848</v>
      </c>
      <c r="Z478" s="8" t="s">
        <v>3849</v>
      </c>
      <c r="AA478" s="8"/>
      <c r="AB478" s="8"/>
      <c r="AC478" s="8"/>
      <c r="AD478" s="8" t="s">
        <v>2080</v>
      </c>
      <c r="AE478" s="8" t="s">
        <v>2080</v>
      </c>
      <c r="AF478" s="8"/>
      <c r="AG478" s="8"/>
      <c r="AH478" s="8" t="s">
        <v>3850</v>
      </c>
      <c r="AI478" s="8" t="s">
        <v>3851</v>
      </c>
      <c r="AJ478" s="8" t="s">
        <v>3852</v>
      </c>
      <c r="AK478" s="8" t="s">
        <v>3853</v>
      </c>
      <c r="AL478" s="8" t="s">
        <v>3854</v>
      </c>
      <c r="AM478" s="8" t="s">
        <v>3660</v>
      </c>
    </row>
    <row r="479" ht="14.25" customHeight="1">
      <c r="A479" s="8">
        <v>27.0</v>
      </c>
      <c r="B479" s="8" t="s">
        <v>3884</v>
      </c>
      <c r="C479" s="8"/>
      <c r="D479" s="8"/>
      <c r="E479" s="8"/>
      <c r="F479" s="8"/>
      <c r="G479" s="8"/>
      <c r="H479" s="7">
        <v>45782.0</v>
      </c>
      <c r="I479" s="7">
        <v>45782.0</v>
      </c>
      <c r="J479" s="8" t="s">
        <v>3885</v>
      </c>
      <c r="K479" s="8" t="s">
        <v>2089</v>
      </c>
      <c r="L479" s="8">
        <v>2023.0</v>
      </c>
      <c r="M479" s="8"/>
      <c r="N479" s="8"/>
      <c r="O479" s="8"/>
      <c r="P479" s="8"/>
      <c r="Q479" s="9">
        <v>45073.0</v>
      </c>
      <c r="R479" s="8" t="s">
        <v>2090</v>
      </c>
      <c r="S479" s="8"/>
      <c r="T479" s="8"/>
      <c r="U479" s="8"/>
      <c r="V479" s="8"/>
      <c r="W479" s="8"/>
      <c r="X479" s="8"/>
      <c r="Y479" s="8" t="s">
        <v>2089</v>
      </c>
      <c r="Z479" s="8" t="s">
        <v>3886</v>
      </c>
      <c r="AA479" s="8"/>
      <c r="AB479" s="8"/>
      <c r="AC479" s="8"/>
      <c r="AD479" s="8" t="s">
        <v>2080</v>
      </c>
      <c r="AE479" s="8" t="s">
        <v>2080</v>
      </c>
      <c r="AF479" s="8"/>
      <c r="AG479" s="8"/>
      <c r="AH479" s="8" t="s">
        <v>3887</v>
      </c>
      <c r="AI479" s="8"/>
      <c r="AJ479" s="8" t="s">
        <v>3888</v>
      </c>
      <c r="AK479" s="8" t="s">
        <v>3889</v>
      </c>
      <c r="AL479" s="8"/>
      <c r="AM479" s="8" t="s">
        <v>2095</v>
      </c>
    </row>
    <row r="480" ht="14.25" customHeight="1">
      <c r="A480" s="8">
        <v>28.0</v>
      </c>
      <c r="B480" s="8" t="s">
        <v>2185</v>
      </c>
      <c r="C480" s="8"/>
      <c r="D480" s="8"/>
      <c r="E480" s="8"/>
      <c r="F480" s="8"/>
      <c r="G480" s="8"/>
      <c r="H480" s="7">
        <v>45799.0</v>
      </c>
      <c r="I480" s="7">
        <v>45799.0</v>
      </c>
      <c r="J480" s="8" t="s">
        <v>2186</v>
      </c>
      <c r="K480" s="8" t="s">
        <v>2089</v>
      </c>
      <c r="L480" s="8">
        <v>2023.0</v>
      </c>
      <c r="M480" s="8"/>
      <c r="N480" s="8"/>
      <c r="O480" s="8"/>
      <c r="P480" s="8"/>
      <c r="Q480" s="9">
        <v>45033.0</v>
      </c>
      <c r="R480" s="8" t="s">
        <v>2090</v>
      </c>
      <c r="S480" s="8"/>
      <c r="T480" s="8"/>
      <c r="U480" s="8"/>
      <c r="V480" s="8"/>
      <c r="W480" s="8"/>
      <c r="X480" s="8"/>
      <c r="Y480" s="8" t="s">
        <v>2089</v>
      </c>
      <c r="Z480" s="8" t="s">
        <v>2187</v>
      </c>
      <c r="AA480" s="8"/>
      <c r="AB480" s="8"/>
      <c r="AC480" s="8"/>
      <c r="AD480" s="8" t="s">
        <v>2080</v>
      </c>
      <c r="AE480" s="8" t="s">
        <v>2080</v>
      </c>
      <c r="AF480" s="8"/>
      <c r="AG480" s="8"/>
      <c r="AH480" s="8" t="s">
        <v>2188</v>
      </c>
      <c r="AI480" s="8"/>
      <c r="AJ480" s="8" t="s">
        <v>2189</v>
      </c>
      <c r="AK480" s="8" t="s">
        <v>2190</v>
      </c>
      <c r="AL480" s="8"/>
      <c r="AM480" s="8" t="s">
        <v>2095</v>
      </c>
    </row>
    <row r="481" ht="14.25" customHeight="1">
      <c r="A481" s="8">
        <v>29.0</v>
      </c>
      <c r="B481" s="8" t="s">
        <v>2213</v>
      </c>
      <c r="C481" s="8"/>
      <c r="D481" s="8"/>
      <c r="E481" s="8"/>
      <c r="F481" s="8"/>
      <c r="G481" s="8"/>
      <c r="H481" s="7">
        <v>45783.0</v>
      </c>
      <c r="I481" s="7">
        <v>45783.0</v>
      </c>
      <c r="J481" s="8" t="s">
        <v>2214</v>
      </c>
      <c r="K481" s="8" t="s">
        <v>2089</v>
      </c>
      <c r="L481" s="8">
        <v>2023.0</v>
      </c>
      <c r="M481" s="8"/>
      <c r="N481" s="8"/>
      <c r="O481" s="8"/>
      <c r="P481" s="8"/>
      <c r="Q481" s="9">
        <v>44930.0</v>
      </c>
      <c r="R481" s="8" t="s">
        <v>2090</v>
      </c>
      <c r="S481" s="8"/>
      <c r="T481" s="8"/>
      <c r="U481" s="8"/>
      <c r="V481" s="8"/>
      <c r="W481" s="8"/>
      <c r="X481" s="8"/>
      <c r="Y481" s="8" t="s">
        <v>2089</v>
      </c>
      <c r="Z481" s="8" t="s">
        <v>2215</v>
      </c>
      <c r="AA481" s="8"/>
      <c r="AB481" s="8"/>
      <c r="AC481" s="8"/>
      <c r="AD481" s="8" t="s">
        <v>2080</v>
      </c>
      <c r="AE481" s="8" t="s">
        <v>2080</v>
      </c>
      <c r="AF481" s="8"/>
      <c r="AG481" s="8"/>
      <c r="AH481" s="8" t="s">
        <v>2216</v>
      </c>
      <c r="AI481" s="8"/>
      <c r="AJ481" s="8" t="s">
        <v>2217</v>
      </c>
      <c r="AK481" s="8" t="s">
        <v>2218</v>
      </c>
      <c r="AL481" s="8"/>
      <c r="AM481" s="8" t="s">
        <v>2095</v>
      </c>
    </row>
    <row r="482" ht="14.25" customHeight="1">
      <c r="A482" s="8">
        <v>30.0</v>
      </c>
      <c r="B482" s="8" t="s">
        <v>1962</v>
      </c>
      <c r="C482" s="8"/>
      <c r="D482" s="8" t="s">
        <v>5828</v>
      </c>
      <c r="E482" s="8" t="s">
        <v>5829</v>
      </c>
      <c r="F482" s="8" t="s">
        <v>5830</v>
      </c>
      <c r="G482" s="8"/>
      <c r="H482" s="7">
        <v>44831.0</v>
      </c>
      <c r="I482" s="7">
        <v>44957.0</v>
      </c>
      <c r="J482" s="8" t="s">
        <v>5831</v>
      </c>
      <c r="K482" s="8" t="s">
        <v>1966</v>
      </c>
      <c r="L482" s="8">
        <v>2022.0</v>
      </c>
      <c r="M482" s="8">
        <v>23.0</v>
      </c>
      <c r="N482" s="8">
        <v>1.0</v>
      </c>
      <c r="O482" s="8"/>
      <c r="P482" s="8"/>
      <c r="Q482" s="9">
        <v>44896.0</v>
      </c>
      <c r="R482" s="8" t="s">
        <v>2075</v>
      </c>
      <c r="S482" s="8"/>
      <c r="T482" s="8"/>
      <c r="U482" s="8"/>
      <c r="V482" s="8"/>
      <c r="W482" s="8" t="s">
        <v>4554</v>
      </c>
      <c r="X482" s="8"/>
      <c r="Y482" s="8" t="s">
        <v>3498</v>
      </c>
      <c r="Z482" s="8" t="s">
        <v>5832</v>
      </c>
      <c r="AA482" s="8" t="s">
        <v>5833</v>
      </c>
      <c r="AB482" s="8"/>
      <c r="AC482" s="8" t="s">
        <v>5834</v>
      </c>
      <c r="AD482" s="8" t="s">
        <v>2080</v>
      </c>
      <c r="AE482" s="8" t="s">
        <v>2080</v>
      </c>
      <c r="AF482" s="8"/>
      <c r="AG482" s="8">
        <v>3.6096886E7</v>
      </c>
      <c r="AH482" s="8" t="s">
        <v>5835</v>
      </c>
      <c r="AI482" s="8" t="s">
        <v>1968</v>
      </c>
      <c r="AJ482" s="8" t="s">
        <v>5836</v>
      </c>
      <c r="AK482" s="8" t="s">
        <v>5837</v>
      </c>
      <c r="AL482" s="8" t="s">
        <v>5838</v>
      </c>
      <c r="AM482" s="8" t="s">
        <v>2162</v>
      </c>
    </row>
    <row r="483" ht="14.25" customHeight="1">
      <c r="A483" s="8">
        <v>31.0</v>
      </c>
      <c r="B483" s="8" t="s">
        <v>3951</v>
      </c>
      <c r="C483" s="8"/>
      <c r="D483" s="8"/>
      <c r="E483" s="8"/>
      <c r="F483" s="8"/>
      <c r="G483" s="8"/>
      <c r="H483" s="7">
        <v>45808.0</v>
      </c>
      <c r="I483" s="7">
        <v>45808.0</v>
      </c>
      <c r="J483" s="8" t="s">
        <v>3952</v>
      </c>
      <c r="K483" s="8" t="s">
        <v>2089</v>
      </c>
      <c r="L483" s="8">
        <v>2022.0</v>
      </c>
      <c r="M483" s="8"/>
      <c r="N483" s="8"/>
      <c r="O483" s="8"/>
      <c r="P483" s="8"/>
      <c r="Q483" s="9">
        <v>44867.0</v>
      </c>
      <c r="R483" s="8" t="s">
        <v>2090</v>
      </c>
      <c r="S483" s="8"/>
      <c r="T483" s="8"/>
      <c r="U483" s="8"/>
      <c r="V483" s="8"/>
      <c r="W483" s="8"/>
      <c r="X483" s="8"/>
      <c r="Y483" s="8" t="s">
        <v>2089</v>
      </c>
      <c r="Z483" s="8" t="s">
        <v>3953</v>
      </c>
      <c r="AA483" s="8"/>
      <c r="AB483" s="8"/>
      <c r="AC483" s="8"/>
      <c r="AD483" s="8" t="s">
        <v>2080</v>
      </c>
      <c r="AE483" s="8" t="s">
        <v>2080</v>
      </c>
      <c r="AF483" s="8"/>
      <c r="AG483" s="8"/>
      <c r="AH483" s="8" t="s">
        <v>3954</v>
      </c>
      <c r="AI483" s="8"/>
      <c r="AJ483" s="8" t="s">
        <v>3955</v>
      </c>
      <c r="AK483" s="8" t="s">
        <v>3956</v>
      </c>
      <c r="AL483" s="8"/>
      <c r="AM483" s="8" t="s">
        <v>2095</v>
      </c>
    </row>
    <row r="484" ht="14.25" customHeight="1">
      <c r="A484" s="8">
        <v>32.0</v>
      </c>
      <c r="B484" s="8" t="s">
        <v>1092</v>
      </c>
      <c r="C484" s="8"/>
      <c r="D484" s="8" t="s">
        <v>3965</v>
      </c>
      <c r="E484" s="8" t="s">
        <v>3966</v>
      </c>
      <c r="F484" s="8"/>
      <c r="G484" s="8"/>
      <c r="H484" s="7">
        <v>44844.0</v>
      </c>
      <c r="I484" s="7">
        <v>44873.0</v>
      </c>
      <c r="J484" s="8" t="s">
        <v>3967</v>
      </c>
      <c r="K484" s="8" t="s">
        <v>3968</v>
      </c>
      <c r="L484" s="8">
        <v>2022.0</v>
      </c>
      <c r="M484" s="8">
        <v>54.0</v>
      </c>
      <c r="N484" s="8"/>
      <c r="O484" s="8" t="s">
        <v>3969</v>
      </c>
      <c r="P484" s="8"/>
      <c r="Q484" s="9">
        <v>44866.0</v>
      </c>
      <c r="R484" s="8" t="s">
        <v>2075</v>
      </c>
      <c r="S484" s="8"/>
      <c r="T484" s="8"/>
      <c r="U484" s="8"/>
      <c r="V484" s="8"/>
      <c r="W484" s="8" t="s">
        <v>3970</v>
      </c>
      <c r="X484" s="8"/>
      <c r="Y484" s="8" t="s">
        <v>2325</v>
      </c>
      <c r="Z484" s="8" t="s">
        <v>3971</v>
      </c>
      <c r="AA484" s="8"/>
      <c r="AB484" s="8"/>
      <c r="AC484" s="8"/>
      <c r="AD484" s="8" t="s">
        <v>2080</v>
      </c>
      <c r="AE484" s="8" t="s">
        <v>2080</v>
      </c>
      <c r="AF484" s="8"/>
      <c r="AG484" s="8">
        <v>3.6190389E7</v>
      </c>
      <c r="AH484" s="8" t="s">
        <v>3972</v>
      </c>
      <c r="AI484" s="8" t="s">
        <v>1098</v>
      </c>
      <c r="AJ484" s="8" t="s">
        <v>3973</v>
      </c>
      <c r="AK484" s="8" t="s">
        <v>3974</v>
      </c>
      <c r="AL484" s="8" t="s">
        <v>3975</v>
      </c>
      <c r="AM484" s="8" t="s">
        <v>2136</v>
      </c>
    </row>
    <row r="485" ht="14.25" customHeight="1">
      <c r="A485" s="8">
        <v>33.0</v>
      </c>
      <c r="B485" s="8" t="s">
        <v>2225</v>
      </c>
      <c r="C485" s="8"/>
      <c r="D485" s="8"/>
      <c r="E485" s="8"/>
      <c r="F485" s="8"/>
      <c r="G485" s="8"/>
      <c r="H485" s="7">
        <v>45811.0</v>
      </c>
      <c r="I485" s="7">
        <v>45811.0</v>
      </c>
      <c r="J485" s="8" t="s">
        <v>2226</v>
      </c>
      <c r="K485" s="8" t="s">
        <v>2089</v>
      </c>
      <c r="L485" s="8">
        <v>2022.0</v>
      </c>
      <c r="M485" s="8"/>
      <c r="N485" s="8"/>
      <c r="O485" s="8"/>
      <c r="P485" s="8"/>
      <c r="Q485" s="9">
        <v>44831.0</v>
      </c>
      <c r="R485" s="8" t="s">
        <v>2090</v>
      </c>
      <c r="S485" s="8"/>
      <c r="T485" s="8"/>
      <c r="U485" s="8"/>
      <c r="V485" s="8"/>
      <c r="W485" s="8"/>
      <c r="X485" s="8"/>
      <c r="Y485" s="8" t="s">
        <v>2089</v>
      </c>
      <c r="Z485" s="8" t="s">
        <v>2227</v>
      </c>
      <c r="AA485" s="8"/>
      <c r="AB485" s="8"/>
      <c r="AC485" s="8"/>
      <c r="AD485" s="8" t="s">
        <v>2080</v>
      </c>
      <c r="AE485" s="8" t="s">
        <v>2080</v>
      </c>
      <c r="AF485" s="8"/>
      <c r="AG485" s="8"/>
      <c r="AH485" s="8" t="s">
        <v>2228</v>
      </c>
      <c r="AI485" s="8"/>
      <c r="AJ485" s="8" t="s">
        <v>2229</v>
      </c>
      <c r="AK485" s="8" t="s">
        <v>2230</v>
      </c>
      <c r="AL485" s="8"/>
      <c r="AM485" s="8" t="s">
        <v>2095</v>
      </c>
    </row>
    <row r="486" ht="14.25" customHeight="1">
      <c r="A486" s="8">
        <v>34.0</v>
      </c>
      <c r="B486" s="8" t="s">
        <v>4043</v>
      </c>
      <c r="C486" s="8"/>
      <c r="D486" s="8"/>
      <c r="E486" s="8"/>
      <c r="F486" s="8"/>
      <c r="G486" s="8"/>
      <c r="H486" s="7">
        <v>45797.0</v>
      </c>
      <c r="I486" s="7">
        <v>45797.0</v>
      </c>
      <c r="J486" s="8" t="s">
        <v>4044</v>
      </c>
      <c r="K486" s="8" t="s">
        <v>2089</v>
      </c>
      <c r="L486" s="8">
        <v>2022.0</v>
      </c>
      <c r="M486" s="8"/>
      <c r="N486" s="8"/>
      <c r="O486" s="8"/>
      <c r="P486" s="8"/>
      <c r="Q486" s="9">
        <v>44776.0</v>
      </c>
      <c r="R486" s="8" t="s">
        <v>2090</v>
      </c>
      <c r="S486" s="8"/>
      <c r="T486" s="8"/>
      <c r="U486" s="8"/>
      <c r="V486" s="8"/>
      <c r="W486" s="8"/>
      <c r="X486" s="8"/>
      <c r="Y486" s="8" t="s">
        <v>2089</v>
      </c>
      <c r="Z486" s="8" t="s">
        <v>4045</v>
      </c>
      <c r="AA486" s="8"/>
      <c r="AB486" s="8"/>
      <c r="AC486" s="8"/>
      <c r="AD486" s="8" t="s">
        <v>2080</v>
      </c>
      <c r="AE486" s="8" t="s">
        <v>2080</v>
      </c>
      <c r="AF486" s="8"/>
      <c r="AG486" s="8"/>
      <c r="AH486" s="8" t="s">
        <v>4046</v>
      </c>
      <c r="AI486" s="8"/>
      <c r="AJ486" s="8" t="s">
        <v>4047</v>
      </c>
      <c r="AK486" s="8" t="s">
        <v>4048</v>
      </c>
      <c r="AL486" s="8"/>
      <c r="AM486" s="8" t="s">
        <v>2095</v>
      </c>
    </row>
    <row r="487" ht="14.25" customHeight="1">
      <c r="A487" s="8">
        <v>35.0</v>
      </c>
      <c r="B487" s="8" t="s">
        <v>2231</v>
      </c>
      <c r="C487" s="8"/>
      <c r="D487" s="8"/>
      <c r="E487" s="8"/>
      <c r="F487" s="8"/>
      <c r="G487" s="8"/>
      <c r="H487" s="7">
        <v>45811.0</v>
      </c>
      <c r="I487" s="7">
        <v>45811.0</v>
      </c>
      <c r="J487" s="8" t="s">
        <v>2232</v>
      </c>
      <c r="K487" s="8" t="s">
        <v>2089</v>
      </c>
      <c r="L487" s="8">
        <v>2022.0</v>
      </c>
      <c r="M487" s="8"/>
      <c r="N487" s="8"/>
      <c r="O487" s="8"/>
      <c r="P487" s="8"/>
      <c r="Q487" s="9">
        <v>44740.0</v>
      </c>
      <c r="R487" s="8" t="s">
        <v>2090</v>
      </c>
      <c r="S487" s="8"/>
      <c r="T487" s="8"/>
      <c r="U487" s="8"/>
      <c r="V487" s="8"/>
      <c r="W487" s="8"/>
      <c r="X487" s="8"/>
      <c r="Y487" s="8" t="s">
        <v>2089</v>
      </c>
      <c r="Z487" s="8" t="s">
        <v>2233</v>
      </c>
      <c r="AA487" s="8"/>
      <c r="AB487" s="8"/>
      <c r="AC487" s="8"/>
      <c r="AD487" s="8" t="s">
        <v>2080</v>
      </c>
      <c r="AE487" s="8" t="s">
        <v>2080</v>
      </c>
      <c r="AF487" s="8"/>
      <c r="AG487" s="8"/>
      <c r="AH487" s="8" t="s">
        <v>2234</v>
      </c>
      <c r="AI487" s="8"/>
      <c r="AJ487" s="8" t="s">
        <v>2235</v>
      </c>
      <c r="AK487" s="8" t="s">
        <v>2236</v>
      </c>
      <c r="AL487" s="8"/>
      <c r="AM487" s="8" t="s">
        <v>2095</v>
      </c>
    </row>
    <row r="488" ht="14.25" customHeight="1">
      <c r="A488" s="8">
        <v>36.0</v>
      </c>
      <c r="B488" s="8" t="s">
        <v>5839</v>
      </c>
      <c r="C488" s="8"/>
      <c r="D488" s="8"/>
      <c r="E488" s="8"/>
      <c r="F488" s="8"/>
      <c r="G488" s="8"/>
      <c r="H488" s="7">
        <v>45811.0</v>
      </c>
      <c r="I488" s="7">
        <v>45811.0</v>
      </c>
      <c r="J488" s="8" t="s">
        <v>5840</v>
      </c>
      <c r="K488" s="8" t="s">
        <v>2089</v>
      </c>
      <c r="L488" s="8">
        <v>2022.0</v>
      </c>
      <c r="M488" s="8"/>
      <c r="N488" s="8"/>
      <c r="O488" s="8"/>
      <c r="P488" s="8"/>
      <c r="Q488" s="9">
        <v>44732.0</v>
      </c>
      <c r="R488" s="8" t="s">
        <v>2090</v>
      </c>
      <c r="S488" s="8"/>
      <c r="T488" s="8"/>
      <c r="U488" s="8"/>
      <c r="V488" s="8"/>
      <c r="W488" s="8"/>
      <c r="X488" s="8"/>
      <c r="Y488" s="8" t="s">
        <v>2089</v>
      </c>
      <c r="Z488" s="8" t="s">
        <v>5841</v>
      </c>
      <c r="AA488" s="8"/>
      <c r="AB488" s="8"/>
      <c r="AC488" s="8"/>
      <c r="AD488" s="8" t="s">
        <v>2080</v>
      </c>
      <c r="AE488" s="8" t="s">
        <v>2080</v>
      </c>
      <c r="AF488" s="8"/>
      <c r="AG488" s="8"/>
      <c r="AH488" s="8" t="s">
        <v>5842</v>
      </c>
      <c r="AI488" s="8"/>
      <c r="AJ488" s="8" t="s">
        <v>5843</v>
      </c>
      <c r="AK488" s="8" t="s">
        <v>5844</v>
      </c>
      <c r="AL488" s="8"/>
      <c r="AM488" s="8" t="s">
        <v>2095</v>
      </c>
    </row>
    <row r="489" ht="14.25" customHeight="1">
      <c r="A489" s="8">
        <v>37.0</v>
      </c>
      <c r="B489" s="8" t="s">
        <v>5845</v>
      </c>
      <c r="C489" s="8"/>
      <c r="D489" s="8"/>
      <c r="E489" s="8"/>
      <c r="F489" s="8"/>
      <c r="G489" s="8"/>
      <c r="H489" s="7">
        <v>45810.0</v>
      </c>
      <c r="I489" s="7">
        <v>45810.0</v>
      </c>
      <c r="J489" s="8" t="s">
        <v>5846</v>
      </c>
      <c r="K489" s="8" t="s">
        <v>2089</v>
      </c>
      <c r="L489" s="8">
        <v>2022.0</v>
      </c>
      <c r="M489" s="8"/>
      <c r="N489" s="8"/>
      <c r="O489" s="8"/>
      <c r="P489" s="8"/>
      <c r="Q489" s="9">
        <v>44714.0</v>
      </c>
      <c r="R489" s="8" t="s">
        <v>2090</v>
      </c>
      <c r="S489" s="8"/>
      <c r="T489" s="8"/>
      <c r="U489" s="8"/>
      <c r="V489" s="8"/>
      <c r="W489" s="8"/>
      <c r="X489" s="8"/>
      <c r="Y489" s="8" t="s">
        <v>2089</v>
      </c>
      <c r="Z489" s="8" t="s">
        <v>5847</v>
      </c>
      <c r="AA489" s="8"/>
      <c r="AB489" s="8"/>
      <c r="AC489" s="8"/>
      <c r="AD489" s="8" t="s">
        <v>2080</v>
      </c>
      <c r="AE489" s="8" t="s">
        <v>2080</v>
      </c>
      <c r="AF489" s="8"/>
      <c r="AG489" s="8"/>
      <c r="AH489" s="8" t="s">
        <v>5848</v>
      </c>
      <c r="AI489" s="8"/>
      <c r="AJ489" s="8" t="s">
        <v>5849</v>
      </c>
      <c r="AK489" s="8" t="s">
        <v>5850</v>
      </c>
      <c r="AL489" s="8"/>
      <c r="AM489" s="8" t="s">
        <v>2095</v>
      </c>
    </row>
    <row r="490" ht="14.25" customHeight="1">
      <c r="A490" s="8">
        <v>38.0</v>
      </c>
      <c r="B490" s="8" t="s">
        <v>176</v>
      </c>
      <c r="C490" s="8"/>
      <c r="D490" s="8" t="s">
        <v>2250</v>
      </c>
      <c r="E490" s="8" t="s">
        <v>2251</v>
      </c>
      <c r="F490" s="8" t="s">
        <v>2252</v>
      </c>
      <c r="G490" s="8"/>
      <c r="H490" s="8"/>
      <c r="I490" s="7">
        <v>44690.0</v>
      </c>
      <c r="J490" s="8" t="s">
        <v>2253</v>
      </c>
      <c r="K490" s="8" t="s">
        <v>180</v>
      </c>
      <c r="L490" s="8">
        <v>2022.0</v>
      </c>
      <c r="M490" s="8">
        <v>36.0</v>
      </c>
      <c r="N490" s="8"/>
      <c r="O490" s="8">
        <v>33.0</v>
      </c>
      <c r="P490" s="8">
        <v>43.0</v>
      </c>
      <c r="Q490" s="9">
        <v>44713.0</v>
      </c>
      <c r="R490" s="8" t="s">
        <v>2075</v>
      </c>
      <c r="S490" s="8"/>
      <c r="T490" s="8"/>
      <c r="U490" s="8"/>
      <c r="V490" s="8"/>
      <c r="W490" s="8" t="s">
        <v>2254</v>
      </c>
      <c r="X490" s="8"/>
      <c r="Y490" s="8" t="s">
        <v>2255</v>
      </c>
      <c r="Z490" s="8" t="s">
        <v>2256</v>
      </c>
      <c r="AA490" s="8"/>
      <c r="AB490" s="8"/>
      <c r="AC490" s="8"/>
      <c r="AD490" s="8" t="s">
        <v>2080</v>
      </c>
      <c r="AE490" s="8" t="s">
        <v>2080</v>
      </c>
      <c r="AF490" s="8"/>
      <c r="AG490" s="8">
        <v>3.546833E7</v>
      </c>
      <c r="AH490" s="8" t="s">
        <v>2257</v>
      </c>
      <c r="AI490" s="8" t="s">
        <v>181</v>
      </c>
      <c r="AJ490" s="8" t="s">
        <v>2258</v>
      </c>
      <c r="AK490" s="8" t="s">
        <v>2259</v>
      </c>
      <c r="AL490" s="8" t="s">
        <v>2260</v>
      </c>
      <c r="AM490" s="8" t="s">
        <v>2249</v>
      </c>
    </row>
    <row r="491" ht="14.25" customHeight="1">
      <c r="A491" s="8">
        <v>39.0</v>
      </c>
      <c r="B491" s="8" t="s">
        <v>1969</v>
      </c>
      <c r="C491" s="8"/>
      <c r="D491" s="8" t="s">
        <v>5851</v>
      </c>
      <c r="E491" s="8" t="s">
        <v>5852</v>
      </c>
      <c r="F491" s="8"/>
      <c r="G491" s="8"/>
      <c r="H491" s="7">
        <v>44690.0</v>
      </c>
      <c r="I491" s="7">
        <v>44721.0</v>
      </c>
      <c r="J491" s="8" t="s">
        <v>5853</v>
      </c>
      <c r="K491" s="8" t="s">
        <v>2128</v>
      </c>
      <c r="L491" s="8">
        <v>2022.0</v>
      </c>
      <c r="M491" s="8">
        <v>50.0</v>
      </c>
      <c r="N491" s="8">
        <v>7.0</v>
      </c>
      <c r="O491" s="8">
        <v>1779.0</v>
      </c>
      <c r="P491" s="8">
        <v>1787.0</v>
      </c>
      <c r="Q491" s="9">
        <v>44713.0</v>
      </c>
      <c r="R491" s="8" t="s">
        <v>2075</v>
      </c>
      <c r="S491" s="8"/>
      <c r="T491" s="8"/>
      <c r="U491" s="8"/>
      <c r="V491" s="8"/>
      <c r="W491" s="8" t="s">
        <v>2129</v>
      </c>
      <c r="X491" s="8"/>
      <c r="Y491" s="8" t="s">
        <v>2325</v>
      </c>
      <c r="Z491" s="8" t="s">
        <v>5854</v>
      </c>
      <c r="AA491" s="8"/>
      <c r="AB491" s="8"/>
      <c r="AC491" s="8"/>
      <c r="AD491" s="8" t="s">
        <v>2080</v>
      </c>
      <c r="AE491" s="8" t="s">
        <v>2080</v>
      </c>
      <c r="AF491" s="8"/>
      <c r="AG491" s="8">
        <v>3.5486517E7</v>
      </c>
      <c r="AH491" s="8" t="s">
        <v>5855</v>
      </c>
      <c r="AI491" s="8" t="s">
        <v>1972</v>
      </c>
      <c r="AJ491" s="8" t="s">
        <v>5856</v>
      </c>
      <c r="AK491" s="8" t="s">
        <v>5857</v>
      </c>
      <c r="AL491" s="8" t="s">
        <v>5858</v>
      </c>
      <c r="AM491" s="8" t="s">
        <v>2136</v>
      </c>
    </row>
    <row r="492" ht="14.25" customHeight="1">
      <c r="A492" s="8">
        <v>40.0</v>
      </c>
      <c r="B492" s="8" t="s">
        <v>2261</v>
      </c>
      <c r="C492" s="8"/>
      <c r="D492" s="8" t="s">
        <v>2262</v>
      </c>
      <c r="E492" s="8" t="s">
        <v>2263</v>
      </c>
      <c r="F492" s="8" t="s">
        <v>2264</v>
      </c>
      <c r="G492" s="8"/>
      <c r="H492" s="7">
        <v>44677.0</v>
      </c>
      <c r="I492" s="7">
        <v>44690.0</v>
      </c>
      <c r="J492" s="8" t="s">
        <v>2265</v>
      </c>
      <c r="K492" s="8" t="s">
        <v>2101</v>
      </c>
      <c r="L492" s="8">
        <v>2022.0</v>
      </c>
      <c r="M492" s="8">
        <v>10.0</v>
      </c>
      <c r="N492" s="8">
        <v>4.0</v>
      </c>
      <c r="O492" s="8"/>
      <c r="P492" s="8"/>
      <c r="Q492" s="9">
        <v>44669.0</v>
      </c>
      <c r="R492" s="8" t="s">
        <v>2075</v>
      </c>
      <c r="S492" s="8"/>
      <c r="T492" s="8"/>
      <c r="U492" s="8"/>
      <c r="V492" s="8"/>
      <c r="W492" s="8" t="s">
        <v>2102</v>
      </c>
      <c r="X492" s="8"/>
      <c r="Y492" s="8" t="s">
        <v>2103</v>
      </c>
      <c r="Z492" s="8" t="s">
        <v>2266</v>
      </c>
      <c r="AA492" s="8"/>
      <c r="AB492" s="8"/>
      <c r="AC492" s="8"/>
      <c r="AD492" s="8" t="s">
        <v>2080</v>
      </c>
      <c r="AE492" s="8" t="s">
        <v>2080</v>
      </c>
      <c r="AF492" s="8"/>
      <c r="AG492" s="8"/>
      <c r="AH492" s="8" t="s">
        <v>2267</v>
      </c>
      <c r="AI492" s="8" t="s">
        <v>2268</v>
      </c>
      <c r="AJ492" s="8" t="s">
        <v>2269</v>
      </c>
      <c r="AK492" s="8" t="s">
        <v>2270</v>
      </c>
      <c r="AL492" s="8" t="s">
        <v>2271</v>
      </c>
      <c r="AM492" s="8" t="s">
        <v>2249</v>
      </c>
    </row>
    <row r="493" ht="14.25" customHeight="1">
      <c r="A493" s="8">
        <v>41.0</v>
      </c>
      <c r="B493" s="8" t="s">
        <v>2272</v>
      </c>
      <c r="C493" s="8"/>
      <c r="D493" s="8"/>
      <c r="E493" s="8"/>
      <c r="F493" s="8"/>
      <c r="G493" s="8"/>
      <c r="H493" s="7">
        <v>45810.0</v>
      </c>
      <c r="I493" s="7">
        <v>45810.0</v>
      </c>
      <c r="J493" s="8" t="s">
        <v>2273</v>
      </c>
      <c r="K493" s="8" t="s">
        <v>2089</v>
      </c>
      <c r="L493" s="8">
        <v>2022.0</v>
      </c>
      <c r="M493" s="8"/>
      <c r="N493" s="8"/>
      <c r="O493" s="8"/>
      <c r="P493" s="8"/>
      <c r="Q493" s="9">
        <v>44655.0</v>
      </c>
      <c r="R493" s="8" t="s">
        <v>2090</v>
      </c>
      <c r="S493" s="8"/>
      <c r="T493" s="8"/>
      <c r="U493" s="8"/>
      <c r="V493" s="8"/>
      <c r="W493" s="8"/>
      <c r="X493" s="8"/>
      <c r="Y493" s="8" t="s">
        <v>2089</v>
      </c>
      <c r="Z493" s="8" t="s">
        <v>2274</v>
      </c>
      <c r="AA493" s="8"/>
      <c r="AB493" s="8"/>
      <c r="AC493" s="8"/>
      <c r="AD493" s="8" t="s">
        <v>2080</v>
      </c>
      <c r="AE493" s="8" t="s">
        <v>2080</v>
      </c>
      <c r="AF493" s="8"/>
      <c r="AG493" s="8"/>
      <c r="AH493" s="8" t="s">
        <v>2275</v>
      </c>
      <c r="AI493" s="8"/>
      <c r="AJ493" s="8" t="s">
        <v>2276</v>
      </c>
      <c r="AK493" s="8" t="s">
        <v>2277</v>
      </c>
      <c r="AL493" s="8"/>
      <c r="AM493" s="8" t="s">
        <v>2095</v>
      </c>
    </row>
    <row r="494" ht="14.25" customHeight="1">
      <c r="A494" s="8">
        <v>42.0</v>
      </c>
      <c r="B494" s="8" t="s">
        <v>1147</v>
      </c>
      <c r="C494" s="8"/>
      <c r="D494" s="8" t="s">
        <v>4063</v>
      </c>
      <c r="E494" s="8" t="s">
        <v>4064</v>
      </c>
      <c r="F494" s="8" t="s">
        <v>4065</v>
      </c>
      <c r="G494" s="8"/>
      <c r="H494" s="7">
        <v>44286.0</v>
      </c>
      <c r="I494" s="7">
        <v>44613.0</v>
      </c>
      <c r="J494" s="8" t="s">
        <v>4066</v>
      </c>
      <c r="K494" s="8" t="s">
        <v>2369</v>
      </c>
      <c r="L494" s="8">
        <v>2022.0</v>
      </c>
      <c r="M494" s="8">
        <v>142.0</v>
      </c>
      <c r="N494" s="8">
        <v>2.0</v>
      </c>
      <c r="O494" s="8">
        <v>281.0</v>
      </c>
      <c r="P494" s="8">
        <v>289.0</v>
      </c>
      <c r="Q494" s="9">
        <v>44593.0</v>
      </c>
      <c r="R494" s="8" t="s">
        <v>2075</v>
      </c>
      <c r="S494" s="8"/>
      <c r="T494" s="8"/>
      <c r="U494" s="8"/>
      <c r="V494" s="8"/>
      <c r="W494" s="8" t="s">
        <v>2370</v>
      </c>
      <c r="X494" s="8"/>
      <c r="Y494" s="8" t="s">
        <v>2357</v>
      </c>
      <c r="Z494" s="8" t="s">
        <v>4067</v>
      </c>
      <c r="AA494" s="8"/>
      <c r="AB494" s="8"/>
      <c r="AC494" s="8"/>
      <c r="AD494" s="8" t="s">
        <v>2080</v>
      </c>
      <c r="AE494" s="8" t="s">
        <v>2080</v>
      </c>
      <c r="AF494" s="8"/>
      <c r="AG494" s="8">
        <v>3.3742222E7</v>
      </c>
      <c r="AH494" s="8" t="s">
        <v>4068</v>
      </c>
      <c r="AI494" s="8" t="s">
        <v>1152</v>
      </c>
      <c r="AJ494" s="8" t="s">
        <v>4069</v>
      </c>
      <c r="AK494" s="8" t="s">
        <v>4070</v>
      </c>
      <c r="AL494" s="8" t="s">
        <v>4071</v>
      </c>
      <c r="AM494" s="8" t="s">
        <v>2249</v>
      </c>
    </row>
    <row r="495" ht="14.25" customHeight="1">
      <c r="A495" s="8">
        <v>43.0</v>
      </c>
      <c r="B495" s="8" t="s">
        <v>2284</v>
      </c>
      <c r="C495" s="8"/>
      <c r="D495" s="8" t="s">
        <v>2285</v>
      </c>
      <c r="E495" s="8" t="s">
        <v>2286</v>
      </c>
      <c r="F495" s="8" t="s">
        <v>2287</v>
      </c>
      <c r="G495" s="8"/>
      <c r="H495" s="7">
        <v>44761.0</v>
      </c>
      <c r="I495" s="7">
        <v>44764.0</v>
      </c>
      <c r="J495" s="8" t="s">
        <v>2288</v>
      </c>
      <c r="K495" s="8" t="s">
        <v>2101</v>
      </c>
      <c r="L495" s="8">
        <v>2022.0</v>
      </c>
      <c r="M495" s="8">
        <v>10.0</v>
      </c>
      <c r="N495" s="8">
        <v>2.0</v>
      </c>
      <c r="O495" s="8"/>
      <c r="P495" s="8"/>
      <c r="Q495" s="9">
        <v>44593.0</v>
      </c>
      <c r="R495" s="8" t="s">
        <v>2075</v>
      </c>
      <c r="S495" s="8"/>
      <c r="T495" s="8"/>
      <c r="U495" s="8"/>
      <c r="V495" s="8"/>
      <c r="W495" s="8" t="s">
        <v>2102</v>
      </c>
      <c r="X495" s="8"/>
      <c r="Y495" s="8" t="s">
        <v>2103</v>
      </c>
      <c r="Z495" s="8" t="s">
        <v>2289</v>
      </c>
      <c r="AA495" s="8"/>
      <c r="AB495" s="8"/>
      <c r="AC495" s="8" t="s">
        <v>2290</v>
      </c>
      <c r="AD495" s="8" t="s">
        <v>2080</v>
      </c>
      <c r="AE495" s="8" t="s">
        <v>2080</v>
      </c>
      <c r="AF495" s="8"/>
      <c r="AG495" s="8"/>
      <c r="AH495" s="8" t="s">
        <v>2291</v>
      </c>
      <c r="AI495" s="8" t="s">
        <v>2292</v>
      </c>
      <c r="AJ495" s="8" t="s">
        <v>2293</v>
      </c>
      <c r="AK495" s="8" t="s">
        <v>2294</v>
      </c>
      <c r="AL495" s="8" t="s">
        <v>2295</v>
      </c>
      <c r="AM495" s="8" t="s">
        <v>2249</v>
      </c>
    </row>
    <row r="496" ht="14.25" customHeight="1">
      <c r="A496" s="8">
        <v>44.0</v>
      </c>
      <c r="B496" s="8" t="s">
        <v>2296</v>
      </c>
      <c r="C496" s="8"/>
      <c r="D496" s="8" t="s">
        <v>2297</v>
      </c>
      <c r="E496" s="8" t="s">
        <v>2298</v>
      </c>
      <c r="F496" s="8" t="s">
        <v>2299</v>
      </c>
      <c r="G496" s="8"/>
      <c r="H496" s="7">
        <v>44943.0</v>
      </c>
      <c r="I496" s="7">
        <v>44957.0</v>
      </c>
      <c r="J496" s="8" t="s">
        <v>2300</v>
      </c>
      <c r="K496" s="8" t="s">
        <v>2301</v>
      </c>
      <c r="L496" s="8">
        <v>2022.0</v>
      </c>
      <c r="M496" s="8">
        <v>13.0</v>
      </c>
      <c r="N496" s="8"/>
      <c r="O496" s="8">
        <v>9034.0</v>
      </c>
      <c r="P496" s="8">
        <v>9040.0</v>
      </c>
      <c r="Q496" s="8">
        <v>2022.0</v>
      </c>
      <c r="R496" s="8" t="s">
        <v>2075</v>
      </c>
      <c r="S496" s="8"/>
      <c r="T496" s="8"/>
      <c r="U496" s="8"/>
      <c r="V496" s="8"/>
      <c r="W496" s="8" t="s">
        <v>2302</v>
      </c>
      <c r="X496" s="8"/>
      <c r="Y496" s="8" t="s">
        <v>2303</v>
      </c>
      <c r="Z496" s="8" t="s">
        <v>2304</v>
      </c>
      <c r="AA496" s="8"/>
      <c r="AB496" s="8"/>
      <c r="AC496" s="8"/>
      <c r="AD496" s="8" t="s">
        <v>2080</v>
      </c>
      <c r="AE496" s="8" t="s">
        <v>2080</v>
      </c>
      <c r="AF496" s="8"/>
      <c r="AG496" s="8"/>
      <c r="AH496" s="8" t="s">
        <v>2305</v>
      </c>
      <c r="AI496" s="8" t="s">
        <v>2306</v>
      </c>
      <c r="AJ496" s="8" t="s">
        <v>2307</v>
      </c>
      <c r="AK496" s="8" t="s">
        <v>2308</v>
      </c>
      <c r="AL496" s="8" t="s">
        <v>2309</v>
      </c>
      <c r="AM496" s="8" t="s">
        <v>2162</v>
      </c>
    </row>
    <row r="497" ht="14.25" customHeight="1">
      <c r="A497" s="8">
        <v>45.0</v>
      </c>
      <c r="B497" s="8" t="s">
        <v>5859</v>
      </c>
      <c r="C497" s="8"/>
      <c r="D497" s="8"/>
      <c r="E497" s="8"/>
      <c r="F497" s="8"/>
      <c r="G497" s="8"/>
      <c r="H497" s="7">
        <v>45808.0</v>
      </c>
      <c r="I497" s="7">
        <v>45808.0</v>
      </c>
      <c r="J497" s="8" t="s">
        <v>5860</v>
      </c>
      <c r="K497" s="8" t="s">
        <v>2089</v>
      </c>
      <c r="L497" s="8">
        <v>2021.0</v>
      </c>
      <c r="M497" s="8"/>
      <c r="N497" s="8"/>
      <c r="O497" s="8"/>
      <c r="P497" s="8"/>
      <c r="Q497" s="9">
        <v>44547.0</v>
      </c>
      <c r="R497" s="8" t="s">
        <v>2090</v>
      </c>
      <c r="S497" s="8"/>
      <c r="T497" s="8"/>
      <c r="U497" s="8"/>
      <c r="V497" s="8"/>
      <c r="W497" s="8"/>
      <c r="X497" s="8"/>
      <c r="Y497" s="8" t="s">
        <v>2089</v>
      </c>
      <c r="Z497" s="8" t="s">
        <v>5861</v>
      </c>
      <c r="AA497" s="8"/>
      <c r="AB497" s="8"/>
      <c r="AC497" s="8"/>
      <c r="AD497" s="8" t="s">
        <v>2080</v>
      </c>
      <c r="AE497" s="8" t="s">
        <v>2080</v>
      </c>
      <c r="AF497" s="8"/>
      <c r="AG497" s="8"/>
      <c r="AH497" s="8" t="s">
        <v>5862</v>
      </c>
      <c r="AI497" s="8"/>
      <c r="AJ497" s="8" t="s">
        <v>5863</v>
      </c>
      <c r="AK497" s="8" t="s">
        <v>5864</v>
      </c>
      <c r="AL497" s="8"/>
      <c r="AM497" s="8" t="s">
        <v>2095</v>
      </c>
    </row>
    <row r="498" ht="14.25" customHeight="1">
      <c r="A498" s="8">
        <v>46.0</v>
      </c>
      <c r="B498" s="8" t="s">
        <v>1140</v>
      </c>
      <c r="C498" s="8"/>
      <c r="D498" s="8" t="s">
        <v>4120</v>
      </c>
      <c r="E498" s="8" t="s">
        <v>4121</v>
      </c>
      <c r="F498" s="8" t="s">
        <v>4122</v>
      </c>
      <c r="G498" s="8"/>
      <c r="H498" s="7">
        <v>44420.0</v>
      </c>
      <c r="I498" s="8"/>
      <c r="J498" s="8" t="s">
        <v>4123</v>
      </c>
      <c r="K498" s="8" t="s">
        <v>3496</v>
      </c>
      <c r="L498" s="8">
        <v>2021.0</v>
      </c>
      <c r="M498" s="8">
        <v>22.0</v>
      </c>
      <c r="N498" s="8">
        <v>1.0</v>
      </c>
      <c r="O498" s="8"/>
      <c r="P498" s="8"/>
      <c r="Q498" s="9">
        <v>44531.0</v>
      </c>
      <c r="R498" s="8" t="s">
        <v>2075</v>
      </c>
      <c r="S498" s="8"/>
      <c r="T498" s="8"/>
      <c r="U498" s="8"/>
      <c r="V498" s="8"/>
      <c r="W498" s="8" t="s">
        <v>3497</v>
      </c>
      <c r="X498" s="8"/>
      <c r="Y498" s="8" t="s">
        <v>3498</v>
      </c>
      <c r="Z498" s="8" t="s">
        <v>4124</v>
      </c>
      <c r="AA498" s="8"/>
      <c r="AB498" s="8"/>
      <c r="AC498" s="8"/>
      <c r="AD498" s="8" t="s">
        <v>2080</v>
      </c>
      <c r="AE498" s="8" t="s">
        <v>2080</v>
      </c>
      <c r="AF498" s="8"/>
      <c r="AG498" s="8">
        <v>3.4348704E7</v>
      </c>
      <c r="AH498" s="8" t="s">
        <v>4125</v>
      </c>
      <c r="AI498" s="8" t="s">
        <v>1146</v>
      </c>
      <c r="AJ498" s="8" t="s">
        <v>4126</v>
      </c>
      <c r="AK498" s="8" t="s">
        <v>4127</v>
      </c>
      <c r="AL498" s="8" t="s">
        <v>4128</v>
      </c>
      <c r="AM498" s="8" t="s">
        <v>2349</v>
      </c>
    </row>
    <row r="499" ht="14.25" customHeight="1">
      <c r="A499" s="8">
        <v>47.0</v>
      </c>
      <c r="B499" s="8" t="s">
        <v>1973</v>
      </c>
      <c r="C499" s="8"/>
      <c r="D499" s="8" t="s">
        <v>5865</v>
      </c>
      <c r="E499" s="8" t="s">
        <v>5866</v>
      </c>
      <c r="F499" s="8" t="s">
        <v>5867</v>
      </c>
      <c r="G499" s="8"/>
      <c r="H499" s="7">
        <v>44530.0</v>
      </c>
      <c r="I499" s="7">
        <v>44754.0</v>
      </c>
      <c r="J499" s="8" t="s">
        <v>5868</v>
      </c>
      <c r="K499" s="8" t="s">
        <v>3496</v>
      </c>
      <c r="L499" s="8">
        <v>2021.0</v>
      </c>
      <c r="M499" s="8">
        <v>22.0</v>
      </c>
      <c r="N499" s="8">
        <v>1.0</v>
      </c>
      <c r="O499" s="8"/>
      <c r="P499" s="8"/>
      <c r="Q499" s="9">
        <v>44531.0</v>
      </c>
      <c r="R499" s="8" t="s">
        <v>2075</v>
      </c>
      <c r="S499" s="8"/>
      <c r="T499" s="8"/>
      <c r="U499" s="8"/>
      <c r="V499" s="8"/>
      <c r="W499" s="8" t="s">
        <v>3497</v>
      </c>
      <c r="X499" s="8"/>
      <c r="Y499" s="8" t="s">
        <v>3498</v>
      </c>
      <c r="Z499" s="8" t="s">
        <v>5869</v>
      </c>
      <c r="AA499" s="8"/>
      <c r="AB499" s="8"/>
      <c r="AC499" s="8"/>
      <c r="AD499" s="8" t="s">
        <v>2080</v>
      </c>
      <c r="AE499" s="8" t="s">
        <v>2080</v>
      </c>
      <c r="AF499" s="8"/>
      <c r="AG499" s="8">
        <v>3.4814896E7</v>
      </c>
      <c r="AH499" s="8" t="s">
        <v>5870</v>
      </c>
      <c r="AI499" s="8" t="s">
        <v>1978</v>
      </c>
      <c r="AJ499" s="8" t="s">
        <v>5871</v>
      </c>
      <c r="AK499" s="8" t="s">
        <v>5872</v>
      </c>
      <c r="AL499" s="8" t="s">
        <v>5873</v>
      </c>
      <c r="AM499" s="8" t="s">
        <v>2249</v>
      </c>
    </row>
    <row r="500" ht="14.25" customHeight="1">
      <c r="A500" s="8">
        <v>48.0</v>
      </c>
      <c r="B500" s="8" t="s">
        <v>1979</v>
      </c>
      <c r="C500" s="8"/>
      <c r="D500" s="8" t="s">
        <v>5874</v>
      </c>
      <c r="E500" s="8" t="s">
        <v>5875</v>
      </c>
      <c r="F500" s="8"/>
      <c r="G500" s="8"/>
      <c r="H500" s="7">
        <v>44482.0</v>
      </c>
      <c r="I500" s="7">
        <v>44613.0</v>
      </c>
      <c r="J500" s="8" t="s">
        <v>5876</v>
      </c>
      <c r="K500" s="8" t="s">
        <v>5877</v>
      </c>
      <c r="L500" s="8">
        <v>2021.0</v>
      </c>
      <c r="M500" s="8">
        <v>121.0</v>
      </c>
      <c r="N500" s="8">
        <v>12.0</v>
      </c>
      <c r="O500" s="8">
        <v>3551.0</v>
      </c>
      <c r="P500" s="8">
        <v>3559.0</v>
      </c>
      <c r="Q500" s="9">
        <v>44531.0</v>
      </c>
      <c r="R500" s="8" t="s">
        <v>2075</v>
      </c>
      <c r="S500" s="8"/>
      <c r="T500" s="8"/>
      <c r="U500" s="8"/>
      <c r="V500" s="8"/>
      <c r="W500" s="8" t="s">
        <v>5878</v>
      </c>
      <c r="X500" s="8"/>
      <c r="Y500" s="8" t="s">
        <v>2325</v>
      </c>
      <c r="Z500" s="8" t="s">
        <v>5879</v>
      </c>
      <c r="AA500" s="8"/>
      <c r="AB500" s="8"/>
      <c r="AC500" s="8" t="s">
        <v>5880</v>
      </c>
      <c r="AD500" s="8" t="s">
        <v>2080</v>
      </c>
      <c r="AE500" s="8" t="s">
        <v>2080</v>
      </c>
      <c r="AF500" s="8"/>
      <c r="AG500" s="8">
        <v>3.4542671E7</v>
      </c>
      <c r="AH500" s="8" t="s">
        <v>5881</v>
      </c>
      <c r="AI500" s="8" t="s">
        <v>1984</v>
      </c>
      <c r="AJ500" s="8" t="s">
        <v>5882</v>
      </c>
      <c r="AK500" s="8" t="s">
        <v>5883</v>
      </c>
      <c r="AL500" s="8" t="s">
        <v>5884</v>
      </c>
      <c r="AM500" s="8" t="s">
        <v>2136</v>
      </c>
    </row>
    <row r="501" ht="14.25" customHeight="1">
      <c r="A501" s="8">
        <v>49.0</v>
      </c>
      <c r="B501" s="8" t="s">
        <v>5885</v>
      </c>
      <c r="C501" s="8"/>
      <c r="D501" s="8"/>
      <c r="E501" s="8"/>
      <c r="F501" s="8"/>
      <c r="G501" s="8"/>
      <c r="H501" s="7">
        <v>45808.0</v>
      </c>
      <c r="I501" s="7">
        <v>45808.0</v>
      </c>
      <c r="J501" s="8" t="s">
        <v>5886</v>
      </c>
      <c r="K501" s="8" t="s">
        <v>2089</v>
      </c>
      <c r="L501" s="8">
        <v>2021.0</v>
      </c>
      <c r="M501" s="8"/>
      <c r="N501" s="8"/>
      <c r="O501" s="8"/>
      <c r="P501" s="8"/>
      <c r="Q501" s="9">
        <v>44523.0</v>
      </c>
      <c r="R501" s="8" t="s">
        <v>2090</v>
      </c>
      <c r="S501" s="8"/>
      <c r="T501" s="8"/>
      <c r="U501" s="8"/>
      <c r="V501" s="8"/>
      <c r="W501" s="8"/>
      <c r="X501" s="8"/>
      <c r="Y501" s="8" t="s">
        <v>2089</v>
      </c>
      <c r="Z501" s="8" t="s">
        <v>5887</v>
      </c>
      <c r="AA501" s="8"/>
      <c r="AB501" s="8"/>
      <c r="AC501" s="8"/>
      <c r="AD501" s="8" t="s">
        <v>2080</v>
      </c>
      <c r="AE501" s="8" t="s">
        <v>2080</v>
      </c>
      <c r="AF501" s="8"/>
      <c r="AG501" s="8"/>
      <c r="AH501" s="8" t="s">
        <v>5888</v>
      </c>
      <c r="AI501" s="8"/>
      <c r="AJ501" s="8" t="s">
        <v>5889</v>
      </c>
      <c r="AK501" s="8" t="s">
        <v>5890</v>
      </c>
      <c r="AL501" s="8"/>
      <c r="AM501" s="8" t="s">
        <v>2095</v>
      </c>
    </row>
    <row r="502" ht="14.25" customHeight="1">
      <c r="A502" s="8">
        <v>50.0</v>
      </c>
      <c r="B502" s="8" t="s">
        <v>1985</v>
      </c>
      <c r="C502" s="8"/>
      <c r="D502" s="8" t="s">
        <v>5891</v>
      </c>
      <c r="E502" s="8" t="s">
        <v>5892</v>
      </c>
      <c r="F502" s="8"/>
      <c r="G502" s="8"/>
      <c r="H502" s="7">
        <v>44335.0</v>
      </c>
      <c r="I502" s="7">
        <v>44454.0</v>
      </c>
      <c r="J502" s="8" t="s">
        <v>5893</v>
      </c>
      <c r="K502" s="8" t="s">
        <v>2550</v>
      </c>
      <c r="L502" s="8">
        <v>2021.0</v>
      </c>
      <c r="M502" s="8">
        <v>29.0</v>
      </c>
      <c r="N502" s="8">
        <v>8.0</v>
      </c>
      <c r="O502" s="8">
        <v>2665.0</v>
      </c>
      <c r="P502" s="8">
        <v>2675.0</v>
      </c>
      <c r="Q502" s="9">
        <v>44409.0</v>
      </c>
      <c r="R502" s="8" t="s">
        <v>2075</v>
      </c>
      <c r="S502" s="8"/>
      <c r="T502" s="8"/>
      <c r="U502" s="8"/>
      <c r="V502" s="8"/>
      <c r="W502" s="8" t="s">
        <v>2551</v>
      </c>
      <c r="X502" s="8"/>
      <c r="Y502" s="8" t="s">
        <v>2325</v>
      </c>
      <c r="Z502" s="8" t="s">
        <v>5894</v>
      </c>
      <c r="AA502" s="8"/>
      <c r="AB502" s="8"/>
      <c r="AC502" s="8"/>
      <c r="AD502" s="8" t="s">
        <v>2080</v>
      </c>
      <c r="AE502" s="8" t="s">
        <v>2080</v>
      </c>
      <c r="AF502" s="8"/>
      <c r="AG502" s="8">
        <v>3.3970295E7</v>
      </c>
      <c r="AH502" s="8" t="s">
        <v>5895</v>
      </c>
      <c r="AI502" s="8" t="s">
        <v>1990</v>
      </c>
      <c r="AJ502" s="8" t="s">
        <v>5896</v>
      </c>
      <c r="AK502" s="8" t="s">
        <v>5897</v>
      </c>
      <c r="AL502" s="8" t="s">
        <v>5898</v>
      </c>
      <c r="AM502" s="8" t="s">
        <v>2136</v>
      </c>
    </row>
    <row r="503" ht="14.25" customHeight="1">
      <c r="A503" s="8">
        <v>51.0</v>
      </c>
      <c r="B503" s="8" t="s">
        <v>4160</v>
      </c>
      <c r="C503" s="8"/>
      <c r="D503" s="8"/>
      <c r="E503" s="8"/>
      <c r="F503" s="8"/>
      <c r="G503" s="8"/>
      <c r="H503" s="7">
        <v>45805.0</v>
      </c>
      <c r="I503" s="7">
        <v>45805.0</v>
      </c>
      <c r="J503" s="8" t="s">
        <v>4161</v>
      </c>
      <c r="K503" s="8" t="s">
        <v>2089</v>
      </c>
      <c r="L503" s="8">
        <v>2021.0</v>
      </c>
      <c r="M503" s="8"/>
      <c r="N503" s="8"/>
      <c r="O503" s="8"/>
      <c r="P503" s="8"/>
      <c r="Q503" s="9">
        <v>44358.0</v>
      </c>
      <c r="R503" s="8" t="s">
        <v>2090</v>
      </c>
      <c r="S503" s="8"/>
      <c r="T503" s="8"/>
      <c r="U503" s="8"/>
      <c r="V503" s="8"/>
      <c r="W503" s="8"/>
      <c r="X503" s="8"/>
      <c r="Y503" s="8" t="s">
        <v>2089</v>
      </c>
      <c r="Z503" s="8" t="s">
        <v>4162</v>
      </c>
      <c r="AA503" s="8"/>
      <c r="AB503" s="8"/>
      <c r="AC503" s="8"/>
      <c r="AD503" s="8" t="s">
        <v>2080</v>
      </c>
      <c r="AE503" s="8" t="s">
        <v>2080</v>
      </c>
      <c r="AF503" s="8"/>
      <c r="AG503" s="8"/>
      <c r="AH503" s="8" t="s">
        <v>4163</v>
      </c>
      <c r="AI503" s="8"/>
      <c r="AJ503" s="8" t="s">
        <v>4164</v>
      </c>
      <c r="AK503" s="8" t="s">
        <v>4165</v>
      </c>
      <c r="AL503" s="8"/>
      <c r="AM503" s="8" t="s">
        <v>2095</v>
      </c>
    </row>
    <row r="504" ht="14.25" customHeight="1">
      <c r="A504" s="8">
        <v>52.0</v>
      </c>
      <c r="B504" s="8" t="s">
        <v>2332</v>
      </c>
      <c r="C504" s="8"/>
      <c r="D504" s="8"/>
      <c r="E504" s="8"/>
      <c r="F504" s="8"/>
      <c r="G504" s="8"/>
      <c r="H504" s="7">
        <v>45807.0</v>
      </c>
      <c r="I504" s="7">
        <v>45807.0</v>
      </c>
      <c r="J504" s="8" t="s">
        <v>2333</v>
      </c>
      <c r="K504" s="8" t="s">
        <v>2089</v>
      </c>
      <c r="L504" s="8">
        <v>2021.0</v>
      </c>
      <c r="M504" s="8"/>
      <c r="N504" s="8"/>
      <c r="O504" s="8"/>
      <c r="P504" s="8"/>
      <c r="Q504" s="9">
        <v>44328.0</v>
      </c>
      <c r="R504" s="8" t="s">
        <v>2090</v>
      </c>
      <c r="S504" s="8"/>
      <c r="T504" s="8"/>
      <c r="U504" s="8"/>
      <c r="V504" s="8"/>
      <c r="W504" s="8"/>
      <c r="X504" s="8"/>
      <c r="Y504" s="8" t="s">
        <v>2089</v>
      </c>
      <c r="Z504" s="8" t="s">
        <v>2334</v>
      </c>
      <c r="AA504" s="8"/>
      <c r="AB504" s="8"/>
      <c r="AC504" s="8"/>
      <c r="AD504" s="8" t="s">
        <v>2080</v>
      </c>
      <c r="AE504" s="8" t="s">
        <v>2080</v>
      </c>
      <c r="AF504" s="8"/>
      <c r="AG504" s="8"/>
      <c r="AH504" s="8" t="s">
        <v>2335</v>
      </c>
      <c r="AI504" s="8"/>
      <c r="AJ504" s="8" t="s">
        <v>2336</v>
      </c>
      <c r="AK504" s="8" t="s">
        <v>2337</v>
      </c>
      <c r="AL504" s="8"/>
      <c r="AM504" s="8" t="s">
        <v>2095</v>
      </c>
    </row>
    <row r="505" ht="14.25" customHeight="1">
      <c r="A505" s="8">
        <v>53.0</v>
      </c>
      <c r="B505" s="8" t="s">
        <v>4250</v>
      </c>
      <c r="C505" s="8"/>
      <c r="D505" s="8"/>
      <c r="E505" s="8"/>
      <c r="F505" s="8"/>
      <c r="G505" s="8"/>
      <c r="H505" s="7">
        <v>45800.0</v>
      </c>
      <c r="I505" s="7">
        <v>45800.0</v>
      </c>
      <c r="J505" s="8" t="s">
        <v>4251</v>
      </c>
      <c r="K505" s="8" t="s">
        <v>2089</v>
      </c>
      <c r="L505" s="8">
        <v>2020.0</v>
      </c>
      <c r="M505" s="8"/>
      <c r="N505" s="8"/>
      <c r="O505" s="8"/>
      <c r="P505" s="8"/>
      <c r="Q505" s="9">
        <v>44182.0</v>
      </c>
      <c r="R505" s="8" t="s">
        <v>2090</v>
      </c>
      <c r="S505" s="8"/>
      <c r="T505" s="8"/>
      <c r="U505" s="8"/>
      <c r="V505" s="8"/>
      <c r="W505" s="8"/>
      <c r="X505" s="8"/>
      <c r="Y505" s="8" t="s">
        <v>2089</v>
      </c>
      <c r="Z505" s="8" t="s">
        <v>4252</v>
      </c>
      <c r="AA505" s="8"/>
      <c r="AB505" s="8"/>
      <c r="AC505" s="8"/>
      <c r="AD505" s="8" t="s">
        <v>2080</v>
      </c>
      <c r="AE505" s="8" t="s">
        <v>2080</v>
      </c>
      <c r="AF505" s="8"/>
      <c r="AG505" s="8"/>
      <c r="AH505" s="8" t="s">
        <v>4253</v>
      </c>
      <c r="AI505" s="8"/>
      <c r="AJ505" s="8" t="s">
        <v>4254</v>
      </c>
      <c r="AK505" s="8" t="s">
        <v>4255</v>
      </c>
      <c r="AL505" s="8"/>
      <c r="AM505" s="8" t="s">
        <v>2095</v>
      </c>
    </row>
    <row r="506" ht="14.25" customHeight="1">
      <c r="A506" s="8">
        <v>54.0</v>
      </c>
      <c r="B506" s="8" t="s">
        <v>199</v>
      </c>
      <c r="C506" s="8"/>
      <c r="D506" s="8" t="s">
        <v>2365</v>
      </c>
      <c r="E506" s="8" t="s">
        <v>2366</v>
      </c>
      <c r="F506" s="8" t="s">
        <v>2367</v>
      </c>
      <c r="G506" s="8"/>
      <c r="H506" s="7">
        <v>44012.0</v>
      </c>
      <c r="I506" s="7">
        <v>44103.0</v>
      </c>
      <c r="J506" s="8" t="s">
        <v>2368</v>
      </c>
      <c r="K506" s="8" t="s">
        <v>2369</v>
      </c>
      <c r="L506" s="8">
        <v>2020.0</v>
      </c>
      <c r="M506" s="8">
        <v>140.0</v>
      </c>
      <c r="N506" s="8">
        <v>10.0</v>
      </c>
      <c r="O506" s="8">
        <v>1465.0</v>
      </c>
      <c r="P506" s="8">
        <v>1474.0</v>
      </c>
      <c r="Q506" s="9">
        <v>44105.0</v>
      </c>
      <c r="R506" s="8" t="s">
        <v>2075</v>
      </c>
      <c r="S506" s="8"/>
      <c r="T506" s="8"/>
      <c r="U506" s="8"/>
      <c r="V506" s="8"/>
      <c r="W506" s="8" t="s">
        <v>2370</v>
      </c>
      <c r="X506" s="8"/>
      <c r="Y506" s="8" t="s">
        <v>2371</v>
      </c>
      <c r="Z506" s="8" t="s">
        <v>2372</v>
      </c>
      <c r="AA506" s="8"/>
      <c r="AB506" s="8"/>
      <c r="AC506" s="8"/>
      <c r="AD506" s="8" t="s">
        <v>2080</v>
      </c>
      <c r="AE506" s="8" t="s">
        <v>2080</v>
      </c>
      <c r="AF506" s="8"/>
      <c r="AG506" s="8">
        <v>3.2504178E7</v>
      </c>
      <c r="AH506" s="8" t="s">
        <v>2373</v>
      </c>
      <c r="AI506" s="8" t="s">
        <v>204</v>
      </c>
      <c r="AJ506" s="8" t="s">
        <v>2374</v>
      </c>
      <c r="AK506" s="8" t="s">
        <v>2375</v>
      </c>
      <c r="AL506" s="8" t="s">
        <v>2376</v>
      </c>
      <c r="AM506" s="8" t="s">
        <v>2377</v>
      </c>
    </row>
    <row r="507" ht="14.25" customHeight="1">
      <c r="A507" s="8">
        <v>55.0</v>
      </c>
      <c r="B507" s="8" t="s">
        <v>1996</v>
      </c>
      <c r="C507" s="8"/>
      <c r="D507" s="8" t="s">
        <v>5899</v>
      </c>
      <c r="E507" s="8" t="s">
        <v>5900</v>
      </c>
      <c r="F507" s="8"/>
      <c r="G507" s="8"/>
      <c r="H507" s="8"/>
      <c r="I507" s="7">
        <v>44124.0</v>
      </c>
      <c r="J507" s="8" t="s">
        <v>5901</v>
      </c>
      <c r="K507" s="8" t="s">
        <v>5902</v>
      </c>
      <c r="L507" s="8">
        <v>2020.0</v>
      </c>
      <c r="M507" s="8">
        <v>24.0</v>
      </c>
      <c r="N507" s="8">
        <v>5.0</v>
      </c>
      <c r="O507" s="8">
        <v>424.0</v>
      </c>
      <c r="P507" s="8">
        <v>432.0</v>
      </c>
      <c r="Q507" s="9">
        <v>44075.0</v>
      </c>
      <c r="R507" s="8" t="s">
        <v>2075</v>
      </c>
      <c r="S507" s="8"/>
      <c r="T507" s="8"/>
      <c r="U507" s="8"/>
      <c r="V507" s="8"/>
      <c r="W507" s="8" t="s">
        <v>5903</v>
      </c>
      <c r="X507" s="8"/>
      <c r="Y507" s="8" t="s">
        <v>2325</v>
      </c>
      <c r="Z507" s="8" t="s">
        <v>5904</v>
      </c>
      <c r="AA507" s="8"/>
      <c r="AB507" s="8"/>
      <c r="AC507" s="8"/>
      <c r="AD507" s="8" t="s">
        <v>2080</v>
      </c>
      <c r="AE507" s="8" t="s">
        <v>2080</v>
      </c>
      <c r="AF507" s="8"/>
      <c r="AG507" s="8">
        <v>3.1351901E7</v>
      </c>
      <c r="AH507" s="8" t="s">
        <v>5905</v>
      </c>
      <c r="AI507" s="8" t="s">
        <v>2002</v>
      </c>
      <c r="AJ507" s="8" t="s">
        <v>5906</v>
      </c>
      <c r="AK507" s="8" t="s">
        <v>5907</v>
      </c>
      <c r="AL507" s="8" t="s">
        <v>5908</v>
      </c>
      <c r="AM507" s="8" t="s">
        <v>2136</v>
      </c>
    </row>
    <row r="508" ht="14.25" customHeight="1">
      <c r="A508" s="8">
        <v>56.0</v>
      </c>
      <c r="B508" s="8" t="s">
        <v>1175</v>
      </c>
      <c r="C508" s="8"/>
      <c r="D508" s="8" t="s">
        <v>4276</v>
      </c>
      <c r="E508" s="8" t="s">
        <v>4277</v>
      </c>
      <c r="F508" s="8"/>
      <c r="G508" s="8"/>
      <c r="H508" s="7">
        <v>44042.0</v>
      </c>
      <c r="I508" s="7">
        <v>44197.0</v>
      </c>
      <c r="J508" s="8" t="s">
        <v>4278</v>
      </c>
      <c r="K508" s="8" t="s">
        <v>2550</v>
      </c>
      <c r="L508" s="8">
        <v>2020.0</v>
      </c>
      <c r="M508" s="8">
        <v>28.0</v>
      </c>
      <c r="N508" s="8">
        <v>8.0</v>
      </c>
      <c r="O508" s="8">
        <v>2468.0</v>
      </c>
      <c r="P508" s="8">
        <v>2477.0</v>
      </c>
      <c r="Q508" s="9">
        <v>44044.0</v>
      </c>
      <c r="R508" s="8" t="s">
        <v>2075</v>
      </c>
      <c r="S508" s="8"/>
      <c r="T508" s="8"/>
      <c r="U508" s="8"/>
      <c r="V508" s="8"/>
      <c r="W508" s="8" t="s">
        <v>2551</v>
      </c>
      <c r="X508" s="8"/>
      <c r="Y508" s="8" t="s">
        <v>2325</v>
      </c>
      <c r="Z508" s="8" t="s">
        <v>4279</v>
      </c>
      <c r="AA508" s="8"/>
      <c r="AB508" s="8"/>
      <c r="AC508" s="8"/>
      <c r="AD508" s="8" t="s">
        <v>2080</v>
      </c>
      <c r="AE508" s="8" t="s">
        <v>2080</v>
      </c>
      <c r="AF508" s="8"/>
      <c r="AG508" s="8">
        <v>3.2699919E7</v>
      </c>
      <c r="AH508" s="8" t="s">
        <v>4280</v>
      </c>
      <c r="AI508" s="8" t="s">
        <v>1179</v>
      </c>
      <c r="AJ508" s="8" t="s">
        <v>4281</v>
      </c>
      <c r="AK508" s="8" t="s">
        <v>4282</v>
      </c>
      <c r="AL508" s="8" t="s">
        <v>4283</v>
      </c>
      <c r="AM508" s="8" t="s">
        <v>2136</v>
      </c>
    </row>
    <row r="509" ht="14.25" customHeight="1">
      <c r="A509" s="8">
        <v>57.0</v>
      </c>
      <c r="B509" s="8" t="s">
        <v>4284</v>
      </c>
      <c r="C509" s="8"/>
      <c r="D509" s="8"/>
      <c r="E509" s="8"/>
      <c r="F509" s="8"/>
      <c r="G509" s="8"/>
      <c r="H509" s="7">
        <v>45807.0</v>
      </c>
      <c r="I509" s="7">
        <v>45807.0</v>
      </c>
      <c r="J509" s="8" t="s">
        <v>4285</v>
      </c>
      <c r="K509" s="8" t="s">
        <v>2089</v>
      </c>
      <c r="L509" s="8">
        <v>2020.0</v>
      </c>
      <c r="M509" s="8"/>
      <c r="N509" s="8"/>
      <c r="O509" s="8"/>
      <c r="P509" s="8"/>
      <c r="Q509" s="9">
        <v>44028.0</v>
      </c>
      <c r="R509" s="8" t="s">
        <v>2090</v>
      </c>
      <c r="S509" s="8"/>
      <c r="T509" s="8"/>
      <c r="U509" s="8"/>
      <c r="V509" s="8"/>
      <c r="W509" s="8"/>
      <c r="X509" s="8"/>
      <c r="Y509" s="8" t="s">
        <v>2089</v>
      </c>
      <c r="Z509" s="8" t="s">
        <v>4286</v>
      </c>
      <c r="AA509" s="8"/>
      <c r="AB509" s="8"/>
      <c r="AC509" s="8"/>
      <c r="AD509" s="8" t="s">
        <v>2080</v>
      </c>
      <c r="AE509" s="8" t="s">
        <v>2080</v>
      </c>
      <c r="AF509" s="8"/>
      <c r="AG509" s="8"/>
      <c r="AH509" s="8" t="s">
        <v>4287</v>
      </c>
      <c r="AI509" s="8"/>
      <c r="AJ509" s="8" t="s">
        <v>4288</v>
      </c>
      <c r="AK509" s="8" t="s">
        <v>4289</v>
      </c>
      <c r="AL509" s="8"/>
      <c r="AM509" s="8" t="s">
        <v>2095</v>
      </c>
    </row>
    <row r="510" ht="14.25" customHeight="1">
      <c r="A510" s="8">
        <v>58.0</v>
      </c>
      <c r="B510" s="8" t="s">
        <v>1197</v>
      </c>
      <c r="C510" s="8"/>
      <c r="D510" s="8" t="s">
        <v>4303</v>
      </c>
      <c r="E510" s="8" t="s">
        <v>4304</v>
      </c>
      <c r="F510" s="8"/>
      <c r="G510" s="8"/>
      <c r="H510" s="7">
        <v>43906.0</v>
      </c>
      <c r="I510" s="7">
        <v>44266.0</v>
      </c>
      <c r="J510" s="8" t="s">
        <v>4305</v>
      </c>
      <c r="K510" s="8" t="s">
        <v>4306</v>
      </c>
      <c r="L510" s="8">
        <v>2020.0</v>
      </c>
      <c r="M510" s="8">
        <v>50.0</v>
      </c>
      <c r="N510" s="8">
        <v>7.0</v>
      </c>
      <c r="O510" s="8">
        <v>1393.0</v>
      </c>
      <c r="P510" s="8">
        <v>1403.0</v>
      </c>
      <c r="Q510" s="9">
        <v>44013.0</v>
      </c>
      <c r="R510" s="8" t="s">
        <v>2075</v>
      </c>
      <c r="S510" s="8"/>
      <c r="T510" s="8"/>
      <c r="U510" s="8"/>
      <c r="V510" s="8"/>
      <c r="W510" s="8" t="s">
        <v>4307</v>
      </c>
      <c r="X510" s="8"/>
      <c r="Y510" s="8" t="s">
        <v>2325</v>
      </c>
      <c r="Z510" s="8" t="s">
        <v>4308</v>
      </c>
      <c r="AA510" s="8"/>
      <c r="AB510" s="8"/>
      <c r="AC510" s="8" t="s">
        <v>4309</v>
      </c>
      <c r="AD510" s="8" t="s">
        <v>2080</v>
      </c>
      <c r="AE510" s="8" t="s">
        <v>2080</v>
      </c>
      <c r="AF510" s="8"/>
      <c r="AG510" s="8">
        <v>3.2125668E7</v>
      </c>
      <c r="AH510" s="8" t="s">
        <v>4310</v>
      </c>
      <c r="AI510" s="8" t="s">
        <v>1202</v>
      </c>
      <c r="AJ510" s="8" t="s">
        <v>4311</v>
      </c>
      <c r="AK510" s="8" t="s">
        <v>4312</v>
      </c>
      <c r="AL510" s="8" t="s">
        <v>4313</v>
      </c>
      <c r="AM510" s="8" t="s">
        <v>2136</v>
      </c>
    </row>
    <row r="511" ht="14.25" customHeight="1">
      <c r="A511" s="8">
        <v>59.0</v>
      </c>
      <c r="B511" s="8" t="s">
        <v>5909</v>
      </c>
      <c r="C511" s="8"/>
      <c r="D511" s="8"/>
      <c r="E511" s="8"/>
      <c r="F511" s="8"/>
      <c r="G511" s="8"/>
      <c r="H511" s="7">
        <v>45800.0</v>
      </c>
      <c r="I511" s="7">
        <v>45800.0</v>
      </c>
      <c r="J511" s="8" t="s">
        <v>5910</v>
      </c>
      <c r="K511" s="8" t="s">
        <v>2089</v>
      </c>
      <c r="L511" s="8">
        <v>2020.0</v>
      </c>
      <c r="M511" s="8"/>
      <c r="N511" s="8"/>
      <c r="O511" s="8"/>
      <c r="P511" s="8"/>
      <c r="Q511" s="9">
        <v>43963.0</v>
      </c>
      <c r="R511" s="8" t="s">
        <v>2090</v>
      </c>
      <c r="S511" s="8"/>
      <c r="T511" s="8"/>
      <c r="U511" s="8"/>
      <c r="V511" s="8"/>
      <c r="W511" s="8"/>
      <c r="X511" s="8"/>
      <c r="Y511" s="8" t="s">
        <v>2089</v>
      </c>
      <c r="Z511" s="8" t="s">
        <v>5911</v>
      </c>
      <c r="AA511" s="8"/>
      <c r="AB511" s="8"/>
      <c r="AC511" s="8"/>
      <c r="AD511" s="8" t="s">
        <v>2080</v>
      </c>
      <c r="AE511" s="8" t="s">
        <v>2080</v>
      </c>
      <c r="AF511" s="8"/>
      <c r="AG511" s="8"/>
      <c r="AH511" s="8" t="s">
        <v>5912</v>
      </c>
      <c r="AI511" s="8"/>
      <c r="AJ511" s="8" t="s">
        <v>5913</v>
      </c>
      <c r="AK511" s="8" t="s">
        <v>5914</v>
      </c>
      <c r="AL511" s="8"/>
      <c r="AM511" s="8" t="s">
        <v>2095</v>
      </c>
    </row>
    <row r="512" ht="14.25" customHeight="1">
      <c r="A512" s="8">
        <v>60.0</v>
      </c>
      <c r="B512" s="8" t="s">
        <v>1991</v>
      </c>
      <c r="C512" s="8"/>
      <c r="D512" s="8" t="s">
        <v>5915</v>
      </c>
      <c r="E512" s="8" t="s">
        <v>5916</v>
      </c>
      <c r="F512" s="8"/>
      <c r="G512" s="8"/>
      <c r="H512" s="7">
        <v>43910.0</v>
      </c>
      <c r="I512" s="7">
        <v>44028.0</v>
      </c>
      <c r="J512" s="8" t="s">
        <v>5917</v>
      </c>
      <c r="K512" s="8" t="s">
        <v>3968</v>
      </c>
      <c r="L512" s="8">
        <v>2020.0</v>
      </c>
      <c r="M512" s="8">
        <v>52.0</v>
      </c>
      <c r="N512" s="8">
        <v>3.0</v>
      </c>
      <c r="O512" s="8" t="s">
        <v>5918</v>
      </c>
      <c r="P512" s="8"/>
      <c r="Q512" s="9">
        <v>43921.0</v>
      </c>
      <c r="R512" s="8" t="s">
        <v>2075</v>
      </c>
      <c r="S512" s="8"/>
      <c r="T512" s="8"/>
      <c r="U512" s="8"/>
      <c r="V512" s="8"/>
      <c r="W512" s="8" t="s">
        <v>3970</v>
      </c>
      <c r="X512" s="8"/>
      <c r="Y512" s="8" t="s">
        <v>2325</v>
      </c>
      <c r="Z512" s="8" t="s">
        <v>5919</v>
      </c>
      <c r="AA512" s="8"/>
      <c r="AB512" s="8"/>
      <c r="AC512" s="8"/>
      <c r="AD512" s="8" t="s">
        <v>2080</v>
      </c>
      <c r="AE512" s="8" t="s">
        <v>2080</v>
      </c>
      <c r="AF512" s="8"/>
      <c r="AG512" s="8">
        <v>3.2152642E7</v>
      </c>
      <c r="AH512" s="8" t="s">
        <v>5920</v>
      </c>
      <c r="AI512" s="8" t="s">
        <v>1995</v>
      </c>
      <c r="AJ512" s="8" t="s">
        <v>5921</v>
      </c>
      <c r="AK512" s="8" t="s">
        <v>5922</v>
      </c>
      <c r="AL512" s="8" t="s">
        <v>5923</v>
      </c>
      <c r="AM512" s="8" t="s">
        <v>2136</v>
      </c>
    </row>
    <row r="513" ht="14.25" customHeight="1">
      <c r="A513" s="8">
        <v>61.0</v>
      </c>
      <c r="B513" s="8" t="s">
        <v>2432</v>
      </c>
      <c r="C513" s="8"/>
      <c r="D513" s="8"/>
      <c r="E513" s="8"/>
      <c r="F513" s="8"/>
      <c r="G513" s="8"/>
      <c r="H513" s="7">
        <v>45798.0</v>
      </c>
      <c r="I513" s="7">
        <v>45798.0</v>
      </c>
      <c r="J513" s="8" t="s">
        <v>2433</v>
      </c>
      <c r="K513" s="8" t="s">
        <v>2089</v>
      </c>
      <c r="L513" s="8">
        <v>2020.0</v>
      </c>
      <c r="M513" s="8"/>
      <c r="N513" s="8"/>
      <c r="O513" s="8"/>
      <c r="P513" s="8"/>
      <c r="Q513" s="9">
        <v>43896.0</v>
      </c>
      <c r="R513" s="8" t="s">
        <v>2090</v>
      </c>
      <c r="S513" s="8"/>
      <c r="T513" s="8"/>
      <c r="U513" s="8"/>
      <c r="V513" s="8"/>
      <c r="W513" s="8"/>
      <c r="X513" s="8"/>
      <c r="Y513" s="8" t="s">
        <v>2089</v>
      </c>
      <c r="Z513" s="8" t="s">
        <v>2434</v>
      </c>
      <c r="AA513" s="8"/>
      <c r="AB513" s="8"/>
      <c r="AC513" s="8"/>
      <c r="AD513" s="8" t="s">
        <v>2080</v>
      </c>
      <c r="AE513" s="8" t="s">
        <v>2080</v>
      </c>
      <c r="AF513" s="8"/>
      <c r="AG513" s="8"/>
      <c r="AH513" s="8" t="s">
        <v>2435</v>
      </c>
      <c r="AI513" s="8"/>
      <c r="AJ513" s="8" t="s">
        <v>2436</v>
      </c>
      <c r="AK513" s="8" t="s">
        <v>2437</v>
      </c>
      <c r="AL513" s="8"/>
      <c r="AM513" s="8" t="s">
        <v>2095</v>
      </c>
    </row>
    <row r="514" ht="14.25" customHeight="1">
      <c r="A514" s="8">
        <v>62.0</v>
      </c>
      <c r="B514" s="8" t="s">
        <v>4331</v>
      </c>
      <c r="C514" s="8"/>
      <c r="D514" s="8"/>
      <c r="E514" s="8"/>
      <c r="F514" s="8"/>
      <c r="G514" s="8"/>
      <c r="H514" s="7">
        <v>45798.0</v>
      </c>
      <c r="I514" s="7">
        <v>45798.0</v>
      </c>
      <c r="J514" s="8" t="s">
        <v>4332</v>
      </c>
      <c r="K514" s="8" t="s">
        <v>2089</v>
      </c>
      <c r="L514" s="8">
        <v>2020.0</v>
      </c>
      <c r="M514" s="8"/>
      <c r="N514" s="8"/>
      <c r="O514" s="8"/>
      <c r="P514" s="8"/>
      <c r="Q514" s="9">
        <v>43887.0</v>
      </c>
      <c r="R514" s="8" t="s">
        <v>2090</v>
      </c>
      <c r="S514" s="8"/>
      <c r="T514" s="8"/>
      <c r="U514" s="8"/>
      <c r="V514" s="8"/>
      <c r="W514" s="8"/>
      <c r="X514" s="8"/>
      <c r="Y514" s="8" t="s">
        <v>2089</v>
      </c>
      <c r="Z514" s="8" t="s">
        <v>4333</v>
      </c>
      <c r="AA514" s="8"/>
      <c r="AB514" s="8"/>
      <c r="AC514" s="8"/>
      <c r="AD514" s="8" t="s">
        <v>2080</v>
      </c>
      <c r="AE514" s="8" t="s">
        <v>2080</v>
      </c>
      <c r="AF514" s="8"/>
      <c r="AG514" s="8"/>
      <c r="AH514" s="8" t="s">
        <v>4334</v>
      </c>
      <c r="AI514" s="8"/>
      <c r="AJ514" s="8" t="s">
        <v>4335</v>
      </c>
      <c r="AK514" s="8" t="s">
        <v>4336</v>
      </c>
      <c r="AL514" s="8"/>
      <c r="AM514" s="8" t="s">
        <v>2095</v>
      </c>
    </row>
    <row r="515" ht="14.25" customHeight="1">
      <c r="A515" s="8">
        <v>63.0</v>
      </c>
      <c r="B515" s="8" t="s">
        <v>1213</v>
      </c>
      <c r="C515" s="8"/>
      <c r="D515" s="8" t="s">
        <v>4337</v>
      </c>
      <c r="E515" s="8" t="s">
        <v>4338</v>
      </c>
      <c r="F515" s="8"/>
      <c r="G515" s="8"/>
      <c r="H515" s="7">
        <v>43784.0</v>
      </c>
      <c r="I515" s="7">
        <v>43867.0</v>
      </c>
      <c r="J515" s="8" t="s">
        <v>4339</v>
      </c>
      <c r="K515" s="8" t="s">
        <v>4340</v>
      </c>
      <c r="L515" s="8">
        <v>2020.0</v>
      </c>
      <c r="M515" s="8">
        <v>54.0</v>
      </c>
      <c r="N515" s="8">
        <v>3.0</v>
      </c>
      <c r="O515" s="8">
        <v>183.0</v>
      </c>
      <c r="P515" s="8">
        <v>187.0</v>
      </c>
      <c r="Q515" s="9">
        <v>43862.0</v>
      </c>
      <c r="R515" s="8" t="s">
        <v>2075</v>
      </c>
      <c r="S515" s="8"/>
      <c r="T515" s="8"/>
      <c r="U515" s="8"/>
      <c r="V515" s="8"/>
      <c r="W515" s="8" t="s">
        <v>4341</v>
      </c>
      <c r="X515" s="8"/>
      <c r="Y515" s="8" t="s">
        <v>2325</v>
      </c>
      <c r="Z515" s="8" t="s">
        <v>4342</v>
      </c>
      <c r="AA515" s="8"/>
      <c r="AB515" s="8"/>
      <c r="AC515" s="8" t="s">
        <v>4309</v>
      </c>
      <c r="AD515" s="8" t="s">
        <v>2080</v>
      </c>
      <c r="AE515" s="8" t="s">
        <v>2080</v>
      </c>
      <c r="AF515" s="8"/>
      <c r="AG515" s="8">
        <v>3.1704697E7</v>
      </c>
      <c r="AH515" s="8" t="s">
        <v>4343</v>
      </c>
      <c r="AI515" s="8" t="s">
        <v>1218</v>
      </c>
      <c r="AJ515" s="8" t="s">
        <v>4344</v>
      </c>
      <c r="AK515" s="8" t="s">
        <v>4345</v>
      </c>
      <c r="AL515" s="8" t="s">
        <v>4346</v>
      </c>
      <c r="AM515" s="8" t="s">
        <v>2136</v>
      </c>
    </row>
    <row r="516" ht="14.25" customHeight="1">
      <c r="A516" s="8">
        <v>64.0</v>
      </c>
      <c r="B516" s="8" t="s">
        <v>1203</v>
      </c>
      <c r="C516" s="8" t="s">
        <v>4347</v>
      </c>
      <c r="D516" s="8" t="s">
        <v>4348</v>
      </c>
      <c r="E516" s="8" t="s">
        <v>4349</v>
      </c>
      <c r="F516" s="8" t="s">
        <v>4350</v>
      </c>
      <c r="G516" s="8"/>
      <c r="H516" s="7">
        <v>43861.0</v>
      </c>
      <c r="I516" s="7">
        <v>43866.0</v>
      </c>
      <c r="J516" s="8" t="s">
        <v>4351</v>
      </c>
      <c r="K516" s="8" t="s">
        <v>4352</v>
      </c>
      <c r="L516" s="8">
        <v>2020.0</v>
      </c>
      <c r="M516" s="8">
        <v>88.0</v>
      </c>
      <c r="N516" s="8">
        <v>1.0</v>
      </c>
      <c r="O516" s="8">
        <v>76.0</v>
      </c>
      <c r="P516" s="8">
        <v>81.0</v>
      </c>
      <c r="Q516" s="8">
        <v>2020.0</v>
      </c>
      <c r="R516" s="8" t="s">
        <v>2075</v>
      </c>
      <c r="S516" s="8"/>
      <c r="T516" s="8"/>
      <c r="U516" s="8"/>
      <c r="V516" s="8"/>
      <c r="W516" s="8" t="s">
        <v>4353</v>
      </c>
      <c r="X516" s="8"/>
      <c r="Y516" s="8" t="s">
        <v>4354</v>
      </c>
      <c r="Z516" s="8" t="s">
        <v>4355</v>
      </c>
      <c r="AA516" s="8"/>
      <c r="AB516" s="8"/>
      <c r="AC516" s="8"/>
      <c r="AD516" s="8" t="s">
        <v>2080</v>
      </c>
      <c r="AE516" s="8" t="s">
        <v>4356</v>
      </c>
      <c r="AF516" s="8"/>
      <c r="AG516" s="8">
        <v>3.1967599E7</v>
      </c>
      <c r="AH516" s="8" t="s">
        <v>4357</v>
      </c>
      <c r="AI516" s="8" t="s">
        <v>1208</v>
      </c>
      <c r="AJ516" s="8" t="s">
        <v>4358</v>
      </c>
      <c r="AK516" s="8" t="s">
        <v>4359</v>
      </c>
      <c r="AL516" s="8" t="s">
        <v>4360</v>
      </c>
      <c r="AM516" s="8" t="s">
        <v>2377</v>
      </c>
    </row>
    <row r="517" ht="14.25" customHeight="1">
      <c r="A517" s="8">
        <v>65.0</v>
      </c>
      <c r="B517" s="8" t="s">
        <v>4375</v>
      </c>
      <c r="C517" s="8"/>
      <c r="D517" s="8" t="s">
        <v>4376</v>
      </c>
      <c r="E517" s="8" t="s">
        <v>4377</v>
      </c>
      <c r="F517" s="8"/>
      <c r="G517" s="8"/>
      <c r="H517" s="7">
        <v>43728.0</v>
      </c>
      <c r="I517" s="7">
        <v>45321.0</v>
      </c>
      <c r="J517" s="8" t="s">
        <v>4378</v>
      </c>
      <c r="K517" s="8" t="s">
        <v>3691</v>
      </c>
      <c r="L517" s="8">
        <v>2019.0</v>
      </c>
      <c r="M517" s="8">
        <v>33.0</v>
      </c>
      <c r="N517" s="8">
        <v>9.0</v>
      </c>
      <c r="O517" s="8">
        <v>1088.0</v>
      </c>
      <c r="P517" s="8">
        <v>1094.0</v>
      </c>
      <c r="Q517" s="9">
        <v>43723.0</v>
      </c>
      <c r="R517" s="8" t="s">
        <v>2075</v>
      </c>
      <c r="S517" s="8"/>
      <c r="T517" s="8"/>
      <c r="U517" s="8"/>
      <c r="V517" s="8"/>
      <c r="W517" s="8" t="s">
        <v>3692</v>
      </c>
      <c r="X517" s="8"/>
      <c r="Y517" s="8" t="s">
        <v>2325</v>
      </c>
      <c r="Z517" s="8" t="s">
        <v>4379</v>
      </c>
      <c r="AA517" s="8"/>
      <c r="AB517" s="8"/>
      <c r="AC517" s="8"/>
      <c r="AD517" s="8" t="s">
        <v>3695</v>
      </c>
      <c r="AE517" s="8" t="s">
        <v>2080</v>
      </c>
      <c r="AF517" s="8"/>
      <c r="AG517" s="8">
        <v>3.1512448E7</v>
      </c>
      <c r="AH517" s="8" t="s">
        <v>4380</v>
      </c>
      <c r="AI517" s="8" t="s">
        <v>1224</v>
      </c>
      <c r="AJ517" s="8" t="s">
        <v>4381</v>
      </c>
      <c r="AK517" s="8" t="s">
        <v>4382</v>
      </c>
      <c r="AL517" s="8" t="s">
        <v>4383</v>
      </c>
      <c r="AM517" s="8" t="s">
        <v>2136</v>
      </c>
    </row>
    <row r="518" ht="14.25" customHeight="1">
      <c r="A518" s="8">
        <v>66.0</v>
      </c>
      <c r="B518" s="8" t="s">
        <v>4404</v>
      </c>
      <c r="C518" s="8"/>
      <c r="D518" s="8"/>
      <c r="E518" s="8"/>
      <c r="F518" s="8"/>
      <c r="G518" s="8"/>
      <c r="H518" s="7">
        <v>45796.0</v>
      </c>
      <c r="I518" s="7">
        <v>45796.0</v>
      </c>
      <c r="J518" s="8" t="s">
        <v>4405</v>
      </c>
      <c r="K518" s="8" t="s">
        <v>2089</v>
      </c>
      <c r="L518" s="8">
        <v>2019.0</v>
      </c>
      <c r="M518" s="8"/>
      <c r="N518" s="8"/>
      <c r="O518" s="8"/>
      <c r="P518" s="8"/>
      <c r="Q518" s="9">
        <v>43551.0</v>
      </c>
      <c r="R518" s="8" t="s">
        <v>2090</v>
      </c>
      <c r="S518" s="8"/>
      <c r="T518" s="8"/>
      <c r="U518" s="8"/>
      <c r="V518" s="8"/>
      <c r="W518" s="8"/>
      <c r="X518" s="8"/>
      <c r="Y518" s="8" t="s">
        <v>2089</v>
      </c>
      <c r="Z518" s="8" t="s">
        <v>4406</v>
      </c>
      <c r="AA518" s="8"/>
      <c r="AB518" s="8"/>
      <c r="AC518" s="8"/>
      <c r="AD518" s="8" t="s">
        <v>2080</v>
      </c>
      <c r="AE518" s="8" t="s">
        <v>2080</v>
      </c>
      <c r="AF518" s="8"/>
      <c r="AG518" s="8"/>
      <c r="AH518" s="8" t="s">
        <v>4407</v>
      </c>
      <c r="AI518" s="8"/>
      <c r="AJ518" s="8" t="s">
        <v>4408</v>
      </c>
      <c r="AK518" s="8" t="s">
        <v>4409</v>
      </c>
      <c r="AL518" s="8"/>
      <c r="AM518" s="8" t="s">
        <v>2095</v>
      </c>
    </row>
    <row r="519" ht="14.25" customHeight="1">
      <c r="A519" s="8">
        <v>67.0</v>
      </c>
      <c r="B519" s="8" t="s">
        <v>2470</v>
      </c>
      <c r="C519" s="8"/>
      <c r="D519" s="8" t="s">
        <v>2471</v>
      </c>
      <c r="E519" s="8" t="s">
        <v>2472</v>
      </c>
      <c r="F519" s="8" t="s">
        <v>2473</v>
      </c>
      <c r="G519" s="8"/>
      <c r="H519" s="7">
        <v>43504.0</v>
      </c>
      <c r="I519" s="7">
        <v>43536.0</v>
      </c>
      <c r="J519" s="8" t="s">
        <v>2474</v>
      </c>
      <c r="K519" s="8" t="s">
        <v>2241</v>
      </c>
      <c r="L519" s="8">
        <v>2019.0</v>
      </c>
      <c r="M519" s="8">
        <v>35.0</v>
      </c>
      <c r="N519" s="8">
        <v>3.0</v>
      </c>
      <c r="O519" s="8">
        <v>921.0</v>
      </c>
      <c r="P519" s="8">
        <v>929.0</v>
      </c>
      <c r="Q519" s="9">
        <v>43525.0</v>
      </c>
      <c r="R519" s="8" t="s">
        <v>2075</v>
      </c>
      <c r="S519" s="8"/>
      <c r="T519" s="8"/>
      <c r="U519" s="8"/>
      <c r="V519" s="8"/>
      <c r="W519" s="8" t="s">
        <v>2242</v>
      </c>
      <c r="X519" s="8"/>
      <c r="Y519" s="8" t="s">
        <v>2243</v>
      </c>
      <c r="Z519" s="8" t="s">
        <v>2475</v>
      </c>
      <c r="AA519" s="8" t="s">
        <v>2476</v>
      </c>
      <c r="AB519" s="8"/>
      <c r="AC519" s="8"/>
      <c r="AD519" s="8" t="s">
        <v>2080</v>
      </c>
      <c r="AE519" s="8" t="s">
        <v>2080</v>
      </c>
      <c r="AF519" s="8"/>
      <c r="AG519" s="8">
        <v>3.0733025E7</v>
      </c>
      <c r="AH519" s="8" t="s">
        <v>2477</v>
      </c>
      <c r="AI519" s="8" t="s">
        <v>242</v>
      </c>
      <c r="AJ519" s="8" t="s">
        <v>2478</v>
      </c>
      <c r="AK519" s="8" t="s">
        <v>2479</v>
      </c>
      <c r="AL519" s="8" t="s">
        <v>2480</v>
      </c>
      <c r="AM519" s="8" t="s">
        <v>2456</v>
      </c>
    </row>
    <row r="520" ht="14.25" customHeight="1">
      <c r="A520" s="8">
        <v>68.0</v>
      </c>
      <c r="B520" s="8" t="s">
        <v>1248</v>
      </c>
      <c r="C520" s="8"/>
      <c r="D520" s="8" t="s">
        <v>4410</v>
      </c>
      <c r="E520" s="8" t="s">
        <v>4411</v>
      </c>
      <c r="F520" s="8"/>
      <c r="G520" s="8"/>
      <c r="H520" s="8"/>
      <c r="I520" s="7">
        <v>44096.0</v>
      </c>
      <c r="J520" s="8" t="s">
        <v>4412</v>
      </c>
      <c r="K520" s="8" t="s">
        <v>2128</v>
      </c>
      <c r="L520" s="8">
        <v>2019.0</v>
      </c>
      <c r="M520" s="8">
        <v>47.0</v>
      </c>
      <c r="N520" s="8">
        <v>3.0</v>
      </c>
      <c r="O520" s="8">
        <v>567.0</v>
      </c>
      <c r="P520" s="8">
        <v>577.0</v>
      </c>
      <c r="Q520" s="9">
        <v>43525.0</v>
      </c>
      <c r="R520" s="8" t="s">
        <v>2075</v>
      </c>
      <c r="S520" s="8"/>
      <c r="T520" s="8"/>
      <c r="U520" s="8"/>
      <c r="V520" s="8"/>
      <c r="W520" s="8" t="s">
        <v>2129</v>
      </c>
      <c r="X520" s="8"/>
      <c r="Y520" s="8" t="s">
        <v>2325</v>
      </c>
      <c r="Z520" s="8" t="s">
        <v>4413</v>
      </c>
      <c r="AA520" s="8"/>
      <c r="AB520" s="8"/>
      <c r="AC520" s="8" t="s">
        <v>4414</v>
      </c>
      <c r="AD520" s="8" t="s">
        <v>2080</v>
      </c>
      <c r="AE520" s="8" t="s">
        <v>2080</v>
      </c>
      <c r="AF520" s="8"/>
      <c r="AG520" s="8">
        <v>3.0822124E7</v>
      </c>
      <c r="AH520" s="8" t="s">
        <v>4415</v>
      </c>
      <c r="AI520" s="8" t="s">
        <v>1252</v>
      </c>
      <c r="AJ520" s="8" t="s">
        <v>4416</v>
      </c>
      <c r="AK520" s="8" t="s">
        <v>4417</v>
      </c>
      <c r="AL520" s="8" t="s">
        <v>4418</v>
      </c>
      <c r="AM520" s="8" t="s">
        <v>2136</v>
      </c>
    </row>
    <row r="521" ht="14.25" customHeight="1">
      <c r="A521" s="8">
        <v>69.0</v>
      </c>
      <c r="B521" s="8" t="s">
        <v>1253</v>
      </c>
      <c r="C521" s="8"/>
      <c r="D521" s="8" t="s">
        <v>4444</v>
      </c>
      <c r="E521" s="8" t="s">
        <v>4445</v>
      </c>
      <c r="F521" s="8"/>
      <c r="G521" s="8"/>
      <c r="H521" s="8"/>
      <c r="I521" s="7">
        <v>43599.0</v>
      </c>
      <c r="J521" s="8" t="s">
        <v>4446</v>
      </c>
      <c r="K521" s="8" t="s">
        <v>2550</v>
      </c>
      <c r="L521" s="8">
        <v>2019.0</v>
      </c>
      <c r="M521" s="8">
        <v>27.0</v>
      </c>
      <c r="N521" s="8">
        <v>1.0</v>
      </c>
      <c r="O521" s="8">
        <v>68.0</v>
      </c>
      <c r="P521" s="8">
        <v>75.0</v>
      </c>
      <c r="Q521" s="9">
        <v>43466.0</v>
      </c>
      <c r="R521" s="8" t="s">
        <v>2075</v>
      </c>
      <c r="S521" s="8"/>
      <c r="T521" s="8"/>
      <c r="U521" s="8"/>
      <c r="V521" s="8"/>
      <c r="W521" s="8" t="s">
        <v>2551</v>
      </c>
      <c r="X521" s="8"/>
      <c r="Y521" s="8" t="s">
        <v>2325</v>
      </c>
      <c r="Z521" s="8" t="s">
        <v>4447</v>
      </c>
      <c r="AA521" s="8"/>
      <c r="AB521" s="8"/>
      <c r="AC521" s="8"/>
      <c r="AD521" s="8" t="s">
        <v>2080</v>
      </c>
      <c r="AE521" s="8" t="s">
        <v>2080</v>
      </c>
      <c r="AF521" s="8"/>
      <c r="AG521" s="8">
        <v>2.9959448E7</v>
      </c>
      <c r="AH521" s="8" t="s">
        <v>4448</v>
      </c>
      <c r="AI521" s="8" t="s">
        <v>1257</v>
      </c>
      <c r="AJ521" s="8" t="s">
        <v>4449</v>
      </c>
      <c r="AK521" s="8" t="s">
        <v>4450</v>
      </c>
      <c r="AL521" s="8" t="s">
        <v>4451</v>
      </c>
      <c r="AM521" s="8" t="s">
        <v>2136</v>
      </c>
    </row>
    <row r="522" ht="14.25" customHeight="1">
      <c r="A522" s="8">
        <v>70.0</v>
      </c>
      <c r="B522" s="8" t="s">
        <v>5924</v>
      </c>
      <c r="C522" s="8"/>
      <c r="D522" s="8"/>
      <c r="E522" s="8"/>
      <c r="F522" s="8"/>
      <c r="G522" s="8"/>
      <c r="H522" s="7">
        <v>45807.0</v>
      </c>
      <c r="I522" s="7">
        <v>45807.0</v>
      </c>
      <c r="J522" s="8" t="s">
        <v>5925</v>
      </c>
      <c r="K522" s="8" t="s">
        <v>2089</v>
      </c>
      <c r="L522" s="8">
        <v>2018.0</v>
      </c>
      <c r="M522" s="8"/>
      <c r="N522" s="8"/>
      <c r="O522" s="8"/>
      <c r="P522" s="8"/>
      <c r="Q522" s="9">
        <v>43454.0</v>
      </c>
      <c r="R522" s="8" t="s">
        <v>2090</v>
      </c>
      <c r="S522" s="8"/>
      <c r="T522" s="8"/>
      <c r="U522" s="8"/>
      <c r="V522" s="8"/>
      <c r="W522" s="8"/>
      <c r="X522" s="8"/>
      <c r="Y522" s="8" t="s">
        <v>2089</v>
      </c>
      <c r="Z522" s="8" t="s">
        <v>5926</v>
      </c>
      <c r="AA522" s="8"/>
      <c r="AB522" s="8"/>
      <c r="AC522" s="8"/>
      <c r="AD522" s="8" t="s">
        <v>2080</v>
      </c>
      <c r="AE522" s="8" t="s">
        <v>2080</v>
      </c>
      <c r="AF522" s="8"/>
      <c r="AG522" s="8"/>
      <c r="AH522" s="8" t="s">
        <v>5927</v>
      </c>
      <c r="AI522" s="8"/>
      <c r="AJ522" s="8" t="s">
        <v>5928</v>
      </c>
      <c r="AK522" s="8" t="s">
        <v>5929</v>
      </c>
      <c r="AL522" s="8"/>
      <c r="AM522" s="8" t="s">
        <v>2095</v>
      </c>
    </row>
    <row r="523" ht="14.25" customHeight="1">
      <c r="A523" s="8">
        <v>71.0</v>
      </c>
      <c r="B523" s="8" t="s">
        <v>5930</v>
      </c>
      <c r="C523" s="8"/>
      <c r="D523" s="8" t="s">
        <v>5931</v>
      </c>
      <c r="E523" s="8" t="s">
        <v>5932</v>
      </c>
      <c r="F523" s="8" t="s">
        <v>5933</v>
      </c>
      <c r="G523" s="8"/>
      <c r="H523" s="7">
        <v>43388.0</v>
      </c>
      <c r="I523" s="7">
        <v>43390.0</v>
      </c>
      <c r="J523" s="8" t="s">
        <v>5934</v>
      </c>
      <c r="K523" s="8" t="s">
        <v>2101</v>
      </c>
      <c r="L523" s="8">
        <v>2018.0</v>
      </c>
      <c r="M523" s="8">
        <v>6.0</v>
      </c>
      <c r="N523" s="8">
        <v>9.0</v>
      </c>
      <c r="O523" s="8"/>
      <c r="P523" s="8"/>
      <c r="Q523" s="9">
        <v>43344.0</v>
      </c>
      <c r="R523" s="8" t="s">
        <v>2075</v>
      </c>
      <c r="S523" s="8"/>
      <c r="T523" s="8"/>
      <c r="U523" s="8"/>
      <c r="V523" s="8"/>
      <c r="W523" s="8" t="s">
        <v>2102</v>
      </c>
      <c r="X523" s="8"/>
      <c r="Y523" s="8" t="s">
        <v>2497</v>
      </c>
      <c r="Z523" s="8" t="s">
        <v>5935</v>
      </c>
      <c r="AA523" s="8" t="s">
        <v>5936</v>
      </c>
      <c r="AB523" s="8"/>
      <c r="AC523" s="8" t="s">
        <v>5937</v>
      </c>
      <c r="AD523" s="8" t="s">
        <v>2080</v>
      </c>
      <c r="AE523" s="8" t="s">
        <v>2080</v>
      </c>
      <c r="AF523" s="8">
        <v>2.0180706618E10</v>
      </c>
      <c r="AG523" s="8"/>
      <c r="AH523" s="8" t="s">
        <v>5938</v>
      </c>
      <c r="AI523" s="8" t="s">
        <v>5939</v>
      </c>
      <c r="AJ523" s="8" t="s">
        <v>5940</v>
      </c>
      <c r="AK523" s="8" t="s">
        <v>5941</v>
      </c>
      <c r="AL523" s="8" t="s">
        <v>5942</v>
      </c>
      <c r="AM523" s="8" t="s">
        <v>2504</v>
      </c>
    </row>
    <row r="524" ht="14.25" customHeight="1">
      <c r="A524" s="8">
        <v>72.0</v>
      </c>
      <c r="B524" s="8" t="s">
        <v>1262</v>
      </c>
      <c r="C524" s="8"/>
      <c r="D524" s="8" t="s">
        <v>4469</v>
      </c>
      <c r="E524" s="8" t="s">
        <v>4470</v>
      </c>
      <c r="F524" s="8" t="s">
        <v>4471</v>
      </c>
      <c r="G524" s="8"/>
      <c r="H524" s="7">
        <v>43244.0</v>
      </c>
      <c r="I524" s="7">
        <v>43409.0</v>
      </c>
      <c r="J524" s="8" t="s">
        <v>4472</v>
      </c>
      <c r="K524" s="8" t="s">
        <v>180</v>
      </c>
      <c r="L524" s="8">
        <v>2018.0</v>
      </c>
      <c r="M524" s="8">
        <v>25.0</v>
      </c>
      <c r="N524" s="8">
        <v>4.0</v>
      </c>
      <c r="O524" s="8">
        <v>704.0</v>
      </c>
      <c r="P524" s="8">
        <v>714.0</v>
      </c>
      <c r="Q524" s="9">
        <v>43313.0</v>
      </c>
      <c r="R524" s="8" t="s">
        <v>2075</v>
      </c>
      <c r="S524" s="8"/>
      <c r="T524" s="8"/>
      <c r="U524" s="8"/>
      <c r="V524" s="8"/>
      <c r="W524" s="8" t="s">
        <v>2254</v>
      </c>
      <c r="X524" s="8"/>
      <c r="Y524" s="8" t="s">
        <v>2255</v>
      </c>
      <c r="Z524" s="8" t="s">
        <v>4473</v>
      </c>
      <c r="AA524" s="8"/>
      <c r="AB524" s="8"/>
      <c r="AC524" s="8"/>
      <c r="AD524" s="8" t="s">
        <v>2080</v>
      </c>
      <c r="AE524" s="8" t="s">
        <v>2080</v>
      </c>
      <c r="AF524" s="8">
        <v>2.0180354231E10</v>
      </c>
      <c r="AG524" s="8">
        <v>2.9776815E7</v>
      </c>
      <c r="AH524" s="8" t="s">
        <v>4474</v>
      </c>
      <c r="AI524" s="8" t="s">
        <v>1266</v>
      </c>
      <c r="AJ524" s="8" t="s">
        <v>4475</v>
      </c>
      <c r="AK524" s="8" t="s">
        <v>4476</v>
      </c>
      <c r="AL524" s="8" t="s">
        <v>4477</v>
      </c>
      <c r="AM524" s="8" t="s">
        <v>2504</v>
      </c>
    </row>
    <row r="525" ht="14.25" customHeight="1">
      <c r="A525" s="8">
        <v>73.0</v>
      </c>
      <c r="B525" s="8" t="s">
        <v>4549</v>
      </c>
      <c r="C525" s="8"/>
      <c r="D525" s="8" t="s">
        <v>4550</v>
      </c>
      <c r="E525" s="8" t="s">
        <v>4551</v>
      </c>
      <c r="F525" s="8" t="s">
        <v>4552</v>
      </c>
      <c r="G525" s="8"/>
      <c r="H525" s="7">
        <v>43132.0</v>
      </c>
      <c r="I525" s="7">
        <v>43136.0</v>
      </c>
      <c r="J525" s="8" t="s">
        <v>4553</v>
      </c>
      <c r="K525" s="8" t="s">
        <v>1966</v>
      </c>
      <c r="L525" s="8">
        <v>2018.0</v>
      </c>
      <c r="M525" s="8">
        <v>19.0</v>
      </c>
      <c r="N525" s="8">
        <v>1.0</v>
      </c>
      <c r="O525" s="8"/>
      <c r="P525" s="8"/>
      <c r="Q525" s="9">
        <v>43126.0</v>
      </c>
      <c r="R525" s="8" t="s">
        <v>2075</v>
      </c>
      <c r="S525" s="8"/>
      <c r="T525" s="8"/>
      <c r="U525" s="8"/>
      <c r="V525" s="8"/>
      <c r="W525" s="8" t="s">
        <v>4554</v>
      </c>
      <c r="X525" s="8"/>
      <c r="Y525" s="8" t="s">
        <v>4397</v>
      </c>
      <c r="Z525" s="8" t="s">
        <v>4555</v>
      </c>
      <c r="AA525" s="8"/>
      <c r="AB525" s="8"/>
      <c r="AC525" s="8" t="s">
        <v>4556</v>
      </c>
      <c r="AD525" s="8" t="s">
        <v>2080</v>
      </c>
      <c r="AE525" s="8" t="s">
        <v>2080</v>
      </c>
      <c r="AF525" s="8">
        <v>2.0180057389E10</v>
      </c>
      <c r="AG525" s="8">
        <v>2.9373984E7</v>
      </c>
      <c r="AH525" s="8" t="s">
        <v>4557</v>
      </c>
      <c r="AI525" s="8" t="s">
        <v>4558</v>
      </c>
      <c r="AJ525" s="8" t="s">
        <v>4559</v>
      </c>
      <c r="AK525" s="8" t="s">
        <v>4560</v>
      </c>
      <c r="AL525" s="8" t="s">
        <v>4561</v>
      </c>
      <c r="AM525" s="8" t="s">
        <v>2504</v>
      </c>
    </row>
    <row r="526" ht="14.25" customHeight="1">
      <c r="A526" s="8">
        <v>74.0</v>
      </c>
      <c r="B526" s="8" t="s">
        <v>5943</v>
      </c>
      <c r="C526" s="8"/>
      <c r="D526" s="8" t="s">
        <v>5944</v>
      </c>
      <c r="E526" s="8" t="s">
        <v>5945</v>
      </c>
      <c r="F526" s="8" t="s">
        <v>5946</v>
      </c>
      <c r="G526" s="8"/>
      <c r="H526" s="7">
        <v>43290.0</v>
      </c>
      <c r="I526" s="7">
        <v>43461.0</v>
      </c>
      <c r="J526" s="8" t="s">
        <v>5947</v>
      </c>
      <c r="K526" s="8" t="s">
        <v>5948</v>
      </c>
      <c r="L526" s="8">
        <v>2017.0</v>
      </c>
      <c r="M526" s="8">
        <v>39.0</v>
      </c>
      <c r="N526" s="8">
        <v>6.0</v>
      </c>
      <c r="O526" s="8">
        <v>792.0</v>
      </c>
      <c r="P526" s="8">
        <v>799.0</v>
      </c>
      <c r="Q526" s="9">
        <v>43089.0</v>
      </c>
      <c r="R526" s="8" t="s">
        <v>2075</v>
      </c>
      <c r="S526" s="8"/>
      <c r="T526" s="8"/>
      <c r="U526" s="8"/>
      <c r="V526" s="8"/>
      <c r="W526" s="8" t="s">
        <v>5949</v>
      </c>
      <c r="X526" s="8"/>
      <c r="Y526" s="8" t="s">
        <v>5950</v>
      </c>
      <c r="Z526" s="8" t="s">
        <v>5951</v>
      </c>
      <c r="AA526" s="8"/>
      <c r="AB526" s="8"/>
      <c r="AC526" s="8"/>
      <c r="AD526" s="8" t="s">
        <v>3695</v>
      </c>
      <c r="AE526" s="8" t="s">
        <v>4781</v>
      </c>
      <c r="AF526" s="8"/>
      <c r="AG526" s="8">
        <v>2.9338824E7</v>
      </c>
      <c r="AH526" s="8" t="s">
        <v>5952</v>
      </c>
      <c r="AI526" s="8" t="s">
        <v>5953</v>
      </c>
      <c r="AJ526" s="8" t="s">
        <v>5954</v>
      </c>
      <c r="AK526" s="8" t="s">
        <v>5955</v>
      </c>
      <c r="AL526" s="8" t="s">
        <v>5956</v>
      </c>
      <c r="AM526" s="8" t="s">
        <v>2504</v>
      </c>
    </row>
    <row r="527" ht="14.25" customHeight="1">
      <c r="A527" s="8">
        <v>75.0</v>
      </c>
      <c r="B527" s="8" t="s">
        <v>1293</v>
      </c>
      <c r="C527" s="8"/>
      <c r="D527" s="8" t="s">
        <v>4610</v>
      </c>
      <c r="E527" s="8" t="s">
        <v>4611</v>
      </c>
      <c r="F527" s="8" t="s">
        <v>4612</v>
      </c>
      <c r="G527" s="8"/>
      <c r="H527" s="7">
        <v>42978.0</v>
      </c>
      <c r="I527" s="7">
        <v>43040.0</v>
      </c>
      <c r="J527" s="8" t="s">
        <v>4613</v>
      </c>
      <c r="K527" s="8" t="s">
        <v>2369</v>
      </c>
      <c r="L527" s="8">
        <v>2017.0</v>
      </c>
      <c r="M527" s="8">
        <v>137.0</v>
      </c>
      <c r="N527" s="8">
        <v>11.0</v>
      </c>
      <c r="O527" s="8">
        <v>1547.0</v>
      </c>
      <c r="P527" s="8">
        <v>1555.0</v>
      </c>
      <c r="Q527" s="9">
        <v>43040.0</v>
      </c>
      <c r="R527" s="8" t="s">
        <v>2075</v>
      </c>
      <c r="S527" s="8"/>
      <c r="T527" s="8"/>
      <c r="U527" s="8"/>
      <c r="V527" s="8"/>
      <c r="W527" s="8" t="s">
        <v>2370</v>
      </c>
      <c r="X527" s="8"/>
      <c r="Y527" s="8" t="s">
        <v>2577</v>
      </c>
      <c r="Z527" s="8" t="s">
        <v>4614</v>
      </c>
      <c r="AA527" s="8"/>
      <c r="AB527" s="8"/>
      <c r="AC527" s="8"/>
      <c r="AD527" s="8" t="s">
        <v>2080</v>
      </c>
      <c r="AE527" s="8" t="s">
        <v>2080</v>
      </c>
      <c r="AF527" s="8">
        <v>2.0170604066E10</v>
      </c>
      <c r="AG527" s="8">
        <v>2.8840325E7</v>
      </c>
      <c r="AH527" s="8" t="s">
        <v>4615</v>
      </c>
      <c r="AI527" s="8" t="s">
        <v>1297</v>
      </c>
      <c r="AJ527" s="8" t="s">
        <v>4616</v>
      </c>
      <c r="AK527" s="8" t="s">
        <v>4617</v>
      </c>
      <c r="AL527" s="8" t="s">
        <v>4618</v>
      </c>
      <c r="AM527" s="8" t="s">
        <v>2504</v>
      </c>
    </row>
    <row r="528" ht="14.25" customHeight="1">
      <c r="A528" s="8">
        <v>76.0</v>
      </c>
      <c r="B528" s="8" t="s">
        <v>2008</v>
      </c>
      <c r="C528" s="8"/>
      <c r="D528" s="8" t="s">
        <v>5957</v>
      </c>
      <c r="E528" s="8" t="s">
        <v>5958</v>
      </c>
      <c r="F528" s="8" t="s">
        <v>5959</v>
      </c>
      <c r="G528" s="8"/>
      <c r="H528" s="7">
        <v>42794.0</v>
      </c>
      <c r="I528" s="7">
        <v>43528.0</v>
      </c>
      <c r="J528" s="8" t="s">
        <v>5960</v>
      </c>
      <c r="K528" s="8" t="s">
        <v>5961</v>
      </c>
      <c r="L528" s="8">
        <v>2017.0</v>
      </c>
      <c r="M528" s="8">
        <v>475.0</v>
      </c>
      <c r="N528" s="8">
        <v>10.0</v>
      </c>
      <c r="O528" s="8">
        <v>2523.0</v>
      </c>
      <c r="P528" s="8">
        <v>2534.0</v>
      </c>
      <c r="Q528" s="9">
        <v>43009.0</v>
      </c>
      <c r="R528" s="8" t="s">
        <v>2075</v>
      </c>
      <c r="S528" s="8"/>
      <c r="T528" s="8"/>
      <c r="U528" s="8"/>
      <c r="V528" s="8"/>
      <c r="W528" s="8" t="s">
        <v>5962</v>
      </c>
      <c r="X528" s="8"/>
      <c r="Y528" s="8" t="s">
        <v>5963</v>
      </c>
      <c r="Z528" s="8" t="s">
        <v>5964</v>
      </c>
      <c r="AA528" s="8"/>
      <c r="AB528" s="8"/>
      <c r="AC528" s="8"/>
      <c r="AD528" s="8" t="s">
        <v>2080</v>
      </c>
      <c r="AE528" s="8" t="s">
        <v>2080</v>
      </c>
      <c r="AF528" s="8"/>
      <c r="AG528" s="8">
        <v>2.8224443E7</v>
      </c>
      <c r="AH528" s="8" t="s">
        <v>5965</v>
      </c>
      <c r="AI528" s="8" t="s">
        <v>2013</v>
      </c>
      <c r="AJ528" s="8" t="s">
        <v>5966</v>
      </c>
      <c r="AK528" s="8" t="s">
        <v>5967</v>
      </c>
      <c r="AL528" s="8" t="s">
        <v>5968</v>
      </c>
      <c r="AM528" s="8" t="s">
        <v>2456</v>
      </c>
    </row>
    <row r="529" ht="14.25" customHeight="1">
      <c r="A529" s="8">
        <v>77.0</v>
      </c>
      <c r="B529" s="8" t="s">
        <v>1365</v>
      </c>
      <c r="C529" s="8"/>
      <c r="D529" s="8" t="s">
        <v>4619</v>
      </c>
      <c r="E529" s="8" t="s">
        <v>4620</v>
      </c>
      <c r="F529" s="8"/>
      <c r="G529" s="8"/>
      <c r="H529" s="8"/>
      <c r="I529" s="7">
        <v>43168.0</v>
      </c>
      <c r="J529" s="8" t="s">
        <v>4621</v>
      </c>
      <c r="K529" s="8" t="s">
        <v>2550</v>
      </c>
      <c r="L529" s="8">
        <v>2017.0</v>
      </c>
      <c r="M529" s="8">
        <v>25.0</v>
      </c>
      <c r="N529" s="8">
        <v>8.0</v>
      </c>
      <c r="O529" s="8">
        <v>2357.0</v>
      </c>
      <c r="P529" s="8">
        <v>2364.0</v>
      </c>
      <c r="Q529" s="9">
        <v>42948.0</v>
      </c>
      <c r="R529" s="8" t="s">
        <v>2075</v>
      </c>
      <c r="S529" s="8"/>
      <c r="T529" s="8"/>
      <c r="U529" s="8"/>
      <c r="V529" s="8"/>
      <c r="W529" s="8" t="s">
        <v>2551</v>
      </c>
      <c r="X529" s="8"/>
      <c r="Y529" s="8"/>
      <c r="Z529" s="8" t="s">
        <v>4622</v>
      </c>
      <c r="AA529" s="8"/>
      <c r="AB529" s="8"/>
      <c r="AC529" s="8"/>
      <c r="AD529" s="8" t="s">
        <v>2080</v>
      </c>
      <c r="AE529" s="8" t="s">
        <v>2080</v>
      </c>
      <c r="AF529" s="8"/>
      <c r="AG529" s="8">
        <v>2.6231151E7</v>
      </c>
      <c r="AH529" s="8" t="s">
        <v>4623</v>
      </c>
      <c r="AI529" s="8" t="s">
        <v>1369</v>
      </c>
      <c r="AJ529" s="8" t="s">
        <v>4624</v>
      </c>
      <c r="AK529" s="8" t="s">
        <v>4625</v>
      </c>
      <c r="AL529" s="8" t="s">
        <v>4626</v>
      </c>
      <c r="AM529" s="8" t="s">
        <v>4627</v>
      </c>
    </row>
    <row r="530" ht="14.25" customHeight="1">
      <c r="A530" s="8">
        <v>78.0</v>
      </c>
      <c r="B530" s="8" t="s">
        <v>4665</v>
      </c>
      <c r="C530" s="8"/>
      <c r="D530" s="8"/>
      <c r="E530" s="8"/>
      <c r="F530" s="8"/>
      <c r="G530" s="8"/>
      <c r="H530" s="7">
        <v>45807.0</v>
      </c>
      <c r="I530" s="7">
        <v>45807.0</v>
      </c>
      <c r="J530" s="8" t="s">
        <v>4666</v>
      </c>
      <c r="K530" s="8" t="s">
        <v>2089</v>
      </c>
      <c r="L530" s="8">
        <v>2017.0</v>
      </c>
      <c r="M530" s="8"/>
      <c r="N530" s="8"/>
      <c r="O530" s="8"/>
      <c r="P530" s="8"/>
      <c r="Q530" s="9">
        <v>42804.0</v>
      </c>
      <c r="R530" s="8" t="s">
        <v>2090</v>
      </c>
      <c r="S530" s="8"/>
      <c r="T530" s="8"/>
      <c r="U530" s="8"/>
      <c r="V530" s="8"/>
      <c r="W530" s="8"/>
      <c r="X530" s="8"/>
      <c r="Y530" s="8" t="s">
        <v>2089</v>
      </c>
      <c r="Z530" s="8" t="s">
        <v>4667</v>
      </c>
      <c r="AA530" s="8"/>
      <c r="AB530" s="8"/>
      <c r="AC530" s="8"/>
      <c r="AD530" s="8" t="s">
        <v>2080</v>
      </c>
      <c r="AE530" s="8" t="s">
        <v>2080</v>
      </c>
      <c r="AF530" s="8"/>
      <c r="AG530" s="8"/>
      <c r="AH530" s="8" t="s">
        <v>4668</v>
      </c>
      <c r="AI530" s="8"/>
      <c r="AJ530" s="8" t="s">
        <v>4669</v>
      </c>
      <c r="AK530" s="8" t="s">
        <v>4670</v>
      </c>
      <c r="AL530" s="8"/>
      <c r="AM530" s="8" t="s">
        <v>2095</v>
      </c>
    </row>
    <row r="531" ht="14.25" customHeight="1">
      <c r="A531" s="8">
        <v>79.0</v>
      </c>
      <c r="B531" s="8" t="s">
        <v>4682</v>
      </c>
      <c r="C531" s="8"/>
      <c r="D531" s="8"/>
      <c r="E531" s="8"/>
      <c r="F531" s="8"/>
      <c r="G531" s="8"/>
      <c r="H531" s="7">
        <v>45793.0</v>
      </c>
      <c r="I531" s="7">
        <v>45793.0</v>
      </c>
      <c r="J531" s="8" t="s">
        <v>4683</v>
      </c>
      <c r="K531" s="8" t="s">
        <v>2089</v>
      </c>
      <c r="L531" s="8">
        <v>2017.0</v>
      </c>
      <c r="M531" s="8"/>
      <c r="N531" s="8"/>
      <c r="O531" s="8"/>
      <c r="P531" s="8"/>
      <c r="Q531" s="9">
        <v>42789.0</v>
      </c>
      <c r="R531" s="8" t="s">
        <v>2090</v>
      </c>
      <c r="S531" s="8"/>
      <c r="T531" s="8"/>
      <c r="U531" s="8"/>
      <c r="V531" s="8"/>
      <c r="W531" s="8"/>
      <c r="X531" s="8"/>
      <c r="Y531" s="8" t="s">
        <v>2089</v>
      </c>
      <c r="Z531" s="8" t="s">
        <v>4684</v>
      </c>
      <c r="AA531" s="8"/>
      <c r="AB531" s="8"/>
      <c r="AC531" s="8"/>
      <c r="AD531" s="8" t="s">
        <v>2080</v>
      </c>
      <c r="AE531" s="8" t="s">
        <v>2080</v>
      </c>
      <c r="AF531" s="8"/>
      <c r="AG531" s="8"/>
      <c r="AH531" s="8" t="s">
        <v>4685</v>
      </c>
      <c r="AI531" s="8"/>
      <c r="AJ531" s="8" t="s">
        <v>4686</v>
      </c>
      <c r="AK531" s="8" t="s">
        <v>4687</v>
      </c>
      <c r="AL531" s="8"/>
      <c r="AM531" s="8" t="s">
        <v>2095</v>
      </c>
    </row>
    <row r="532" ht="14.25" customHeight="1">
      <c r="A532" s="8">
        <v>80.0</v>
      </c>
      <c r="B532" s="8" t="s">
        <v>4688</v>
      </c>
      <c r="C532" s="8"/>
      <c r="D532" s="8"/>
      <c r="E532" s="8"/>
      <c r="F532" s="8"/>
      <c r="G532" s="8"/>
      <c r="H532" s="7">
        <v>45791.0</v>
      </c>
      <c r="I532" s="7">
        <v>45791.0</v>
      </c>
      <c r="J532" s="8" t="s">
        <v>4689</v>
      </c>
      <c r="K532" s="8" t="s">
        <v>2089</v>
      </c>
      <c r="L532" s="8">
        <v>2017.0</v>
      </c>
      <c r="M532" s="8"/>
      <c r="N532" s="8"/>
      <c r="O532" s="8"/>
      <c r="P532" s="8"/>
      <c r="Q532" s="9">
        <v>42766.0</v>
      </c>
      <c r="R532" s="8" t="s">
        <v>2090</v>
      </c>
      <c r="S532" s="8"/>
      <c r="T532" s="8"/>
      <c r="U532" s="8"/>
      <c r="V532" s="8"/>
      <c r="W532" s="8"/>
      <c r="X532" s="8"/>
      <c r="Y532" s="8" t="s">
        <v>2089</v>
      </c>
      <c r="Z532" s="8" t="s">
        <v>4690</v>
      </c>
      <c r="AA532" s="8"/>
      <c r="AB532" s="8"/>
      <c r="AC532" s="8"/>
      <c r="AD532" s="8" t="s">
        <v>2080</v>
      </c>
      <c r="AE532" s="8" t="s">
        <v>2080</v>
      </c>
      <c r="AF532" s="8"/>
      <c r="AG532" s="8"/>
      <c r="AH532" s="8" t="s">
        <v>4691</v>
      </c>
      <c r="AI532" s="8"/>
      <c r="AJ532" s="8" t="s">
        <v>4692</v>
      </c>
      <c r="AK532" s="8" t="s">
        <v>4693</v>
      </c>
      <c r="AL532" s="8"/>
      <c r="AM532" s="8" t="s">
        <v>2095</v>
      </c>
    </row>
    <row r="533" ht="14.25" customHeight="1">
      <c r="A533" s="8">
        <v>81.0</v>
      </c>
      <c r="B533" s="8" t="s">
        <v>4714</v>
      </c>
      <c r="C533" s="8"/>
      <c r="D533" s="8"/>
      <c r="E533" s="8"/>
      <c r="F533" s="8"/>
      <c r="G533" s="8"/>
      <c r="H533" s="7">
        <v>45792.0</v>
      </c>
      <c r="I533" s="7">
        <v>45792.0</v>
      </c>
      <c r="J533" s="8" t="s">
        <v>4715</v>
      </c>
      <c r="K533" s="8" t="s">
        <v>2089</v>
      </c>
      <c r="L533" s="8">
        <v>2016.0</v>
      </c>
      <c r="M533" s="8"/>
      <c r="N533" s="8"/>
      <c r="O533" s="8"/>
      <c r="P533" s="8"/>
      <c r="Q533" s="9">
        <v>42647.0</v>
      </c>
      <c r="R533" s="8" t="s">
        <v>2090</v>
      </c>
      <c r="S533" s="8"/>
      <c r="T533" s="8"/>
      <c r="U533" s="8"/>
      <c r="V533" s="8"/>
      <c r="W533" s="8"/>
      <c r="X533" s="8"/>
      <c r="Y533" s="8" t="s">
        <v>2089</v>
      </c>
      <c r="Z533" s="8" t="s">
        <v>4716</v>
      </c>
      <c r="AA533" s="8"/>
      <c r="AB533" s="8"/>
      <c r="AC533" s="8"/>
      <c r="AD533" s="8" t="s">
        <v>2080</v>
      </c>
      <c r="AE533" s="8" t="s">
        <v>2080</v>
      </c>
      <c r="AF533" s="8"/>
      <c r="AG533" s="8"/>
      <c r="AH533" s="8" t="s">
        <v>4717</v>
      </c>
      <c r="AI533" s="8"/>
      <c r="AJ533" s="8" t="s">
        <v>4718</v>
      </c>
      <c r="AK533" s="8" t="s">
        <v>4719</v>
      </c>
      <c r="AL533" s="8"/>
      <c r="AM533" s="8" t="s">
        <v>2095</v>
      </c>
    </row>
    <row r="534" ht="14.25" customHeight="1">
      <c r="A534" s="8">
        <v>82.0</v>
      </c>
      <c r="B534" s="8" t="s">
        <v>2019</v>
      </c>
      <c r="C534" s="8"/>
      <c r="D534" s="8" t="s">
        <v>5969</v>
      </c>
      <c r="E534" s="8" t="s">
        <v>5970</v>
      </c>
      <c r="F534" s="8"/>
      <c r="G534" s="8"/>
      <c r="H534" s="8"/>
      <c r="I534" s="7">
        <v>42871.0</v>
      </c>
      <c r="J534" s="8" t="s">
        <v>5971</v>
      </c>
      <c r="K534" s="8" t="s">
        <v>2128</v>
      </c>
      <c r="L534" s="8">
        <v>2016.0</v>
      </c>
      <c r="M534" s="8">
        <v>44.0</v>
      </c>
      <c r="N534" s="8">
        <v>3.0</v>
      </c>
      <c r="O534" s="8">
        <v>609.0</v>
      </c>
      <c r="P534" s="8">
        <v>617.0</v>
      </c>
      <c r="Q534" s="9">
        <v>42430.0</v>
      </c>
      <c r="R534" s="8" t="s">
        <v>2075</v>
      </c>
      <c r="S534" s="8"/>
      <c r="T534" s="8"/>
      <c r="U534" s="8"/>
      <c r="V534" s="8"/>
      <c r="W534" s="8" t="s">
        <v>2129</v>
      </c>
      <c r="X534" s="8"/>
      <c r="Y534" s="8"/>
      <c r="Z534" s="8" t="s">
        <v>5972</v>
      </c>
      <c r="AA534" s="8"/>
      <c r="AB534" s="8"/>
      <c r="AC534" s="8" t="s">
        <v>5973</v>
      </c>
      <c r="AD534" s="8" t="s">
        <v>2080</v>
      </c>
      <c r="AE534" s="8" t="s">
        <v>2080</v>
      </c>
      <c r="AF534" s="8"/>
      <c r="AG534" s="8">
        <v>2.67977E7</v>
      </c>
      <c r="AH534" s="8" t="s">
        <v>5974</v>
      </c>
      <c r="AI534" s="8" t="s">
        <v>2023</v>
      </c>
      <c r="AJ534" s="8" t="s">
        <v>5975</v>
      </c>
      <c r="AK534" s="8" t="s">
        <v>5976</v>
      </c>
      <c r="AL534" s="8" t="s">
        <v>5977</v>
      </c>
      <c r="AM534" s="8" t="s">
        <v>2612</v>
      </c>
    </row>
    <row r="535" ht="14.25" customHeight="1">
      <c r="A535" s="8">
        <v>83.0</v>
      </c>
      <c r="B535" s="8" t="s">
        <v>2014</v>
      </c>
      <c r="C535" s="8"/>
      <c r="D535" s="8" t="s">
        <v>5978</v>
      </c>
      <c r="E535" s="8" t="s">
        <v>5979</v>
      </c>
      <c r="F535" s="8" t="s">
        <v>5980</v>
      </c>
      <c r="G535" s="8"/>
      <c r="H535" s="7">
        <v>42837.0</v>
      </c>
      <c r="I535" s="7">
        <v>42849.0</v>
      </c>
      <c r="J535" s="8" t="s">
        <v>5981</v>
      </c>
      <c r="K535" s="8" t="s">
        <v>5982</v>
      </c>
      <c r="L535" s="8">
        <v>2016.0</v>
      </c>
      <c r="M535" s="8">
        <v>20.0</v>
      </c>
      <c r="N535" s="8">
        <v>2.0</v>
      </c>
      <c r="O535" s="8">
        <v>214.0</v>
      </c>
      <c r="P535" s="8">
        <v>219.0</v>
      </c>
      <c r="Q535" s="8">
        <v>2016.0</v>
      </c>
      <c r="R535" s="8" t="s">
        <v>2075</v>
      </c>
      <c r="S535" s="8"/>
      <c r="T535" s="8"/>
      <c r="U535" s="8"/>
      <c r="V535" s="8"/>
      <c r="W535" s="8" t="s">
        <v>5983</v>
      </c>
      <c r="X535" s="8"/>
      <c r="Y535" s="8" t="s">
        <v>5984</v>
      </c>
      <c r="Z535" s="8" t="s">
        <v>5985</v>
      </c>
      <c r="AA535" s="8"/>
      <c r="AB535" s="8"/>
      <c r="AC535" s="8"/>
      <c r="AD535" s="8" t="s">
        <v>2080</v>
      </c>
      <c r="AE535" s="8" t="s">
        <v>2080</v>
      </c>
      <c r="AF535" s="8">
        <v>2.017025962E10</v>
      </c>
      <c r="AG535" s="8">
        <v>2.6875887E7</v>
      </c>
      <c r="AH535" s="8" t="s">
        <v>5986</v>
      </c>
      <c r="AI535" s="8"/>
      <c r="AJ535" s="8"/>
      <c r="AK535" s="8" t="s">
        <v>5987</v>
      </c>
      <c r="AL535" s="8" t="s">
        <v>5988</v>
      </c>
      <c r="AM535" s="8" t="s">
        <v>2572</v>
      </c>
    </row>
    <row r="536" ht="14.25" customHeight="1">
      <c r="A536" s="8">
        <v>84.0</v>
      </c>
      <c r="B536" s="8" t="s">
        <v>4803</v>
      </c>
      <c r="C536" s="8"/>
      <c r="D536" s="8" t="s">
        <v>4804</v>
      </c>
      <c r="E536" s="8" t="s">
        <v>4805</v>
      </c>
      <c r="F536" s="8" t="s">
        <v>4806</v>
      </c>
      <c r="G536" s="8"/>
      <c r="H536" s="7">
        <v>42110.0</v>
      </c>
      <c r="I536" s="7">
        <v>43263.0</v>
      </c>
      <c r="J536" s="8" t="s">
        <v>4807</v>
      </c>
      <c r="K536" s="8" t="s">
        <v>2369</v>
      </c>
      <c r="L536" s="8">
        <v>2015.0</v>
      </c>
      <c r="M536" s="8">
        <v>135.0</v>
      </c>
      <c r="N536" s="8">
        <v>1.0</v>
      </c>
      <c r="O536" s="8">
        <v>95.0</v>
      </c>
      <c r="P536" s="8">
        <v>102.0</v>
      </c>
      <c r="Q536" s="9">
        <v>42317.0</v>
      </c>
      <c r="R536" s="8" t="s">
        <v>2075</v>
      </c>
      <c r="S536" s="8"/>
      <c r="T536" s="8"/>
      <c r="U536" s="8"/>
      <c r="V536" s="8"/>
      <c r="W536" s="8" t="s">
        <v>2370</v>
      </c>
      <c r="X536" s="8"/>
      <c r="Y536" s="8" t="s">
        <v>2577</v>
      </c>
      <c r="Z536" s="8" t="s">
        <v>4808</v>
      </c>
      <c r="AA536" s="8"/>
      <c r="AB536" s="8"/>
      <c r="AC536" s="8"/>
      <c r="AD536" s="8" t="s">
        <v>2080</v>
      </c>
      <c r="AE536" s="8" t="s">
        <v>2080</v>
      </c>
      <c r="AF536" s="8">
        <v>2.01590686E9</v>
      </c>
      <c r="AG536" s="8">
        <v>2.5381471E7</v>
      </c>
      <c r="AH536" s="8" t="s">
        <v>4809</v>
      </c>
      <c r="AI536" s="8" t="s">
        <v>1404</v>
      </c>
      <c r="AJ536" s="8" t="s">
        <v>4810</v>
      </c>
      <c r="AK536" s="8" t="s">
        <v>4811</v>
      </c>
      <c r="AL536" s="8" t="s">
        <v>4812</v>
      </c>
      <c r="AM536" s="8" t="s">
        <v>2504</v>
      </c>
    </row>
    <row r="537" ht="14.25" customHeight="1">
      <c r="A537" s="8">
        <v>85.0</v>
      </c>
      <c r="B537" s="8" t="s">
        <v>4891</v>
      </c>
      <c r="C537" s="8"/>
      <c r="D537" s="8"/>
      <c r="E537" s="8"/>
      <c r="F537" s="8"/>
      <c r="G537" s="8"/>
      <c r="H537" s="7">
        <v>45810.0</v>
      </c>
      <c r="I537" s="7">
        <v>45810.0</v>
      </c>
      <c r="J537" s="8" t="s">
        <v>4892</v>
      </c>
      <c r="K537" s="8" t="s">
        <v>2089</v>
      </c>
      <c r="L537" s="8">
        <v>2014.0</v>
      </c>
      <c r="M537" s="8"/>
      <c r="N537" s="8"/>
      <c r="O537" s="8"/>
      <c r="P537" s="8"/>
      <c r="Q537" s="9">
        <v>41974.0</v>
      </c>
      <c r="R537" s="8" t="s">
        <v>2090</v>
      </c>
      <c r="S537" s="8"/>
      <c r="T537" s="8"/>
      <c r="U537" s="8"/>
      <c r="V537" s="8"/>
      <c r="W537" s="8"/>
      <c r="X537" s="8"/>
      <c r="Y537" s="8" t="s">
        <v>2089</v>
      </c>
      <c r="Z537" s="8" t="s">
        <v>4893</v>
      </c>
      <c r="AA537" s="8"/>
      <c r="AB537" s="8"/>
      <c r="AC537" s="8"/>
      <c r="AD537" s="8" t="s">
        <v>2080</v>
      </c>
      <c r="AE537" s="8" t="s">
        <v>2080</v>
      </c>
      <c r="AF537" s="8"/>
      <c r="AG537" s="8"/>
      <c r="AH537" s="8" t="s">
        <v>4894</v>
      </c>
      <c r="AI537" s="8"/>
      <c r="AJ537" s="8" t="s">
        <v>4895</v>
      </c>
      <c r="AK537" s="8" t="s">
        <v>4896</v>
      </c>
      <c r="AL537" s="8"/>
      <c r="AM537" s="8" t="s">
        <v>2095</v>
      </c>
    </row>
    <row r="538" ht="14.25" customHeight="1">
      <c r="A538" s="8">
        <v>86.0</v>
      </c>
      <c r="B538" s="8" t="s">
        <v>2716</v>
      </c>
      <c r="C538" s="8"/>
      <c r="D538" s="8" t="s">
        <v>2717</v>
      </c>
      <c r="E538" s="8" t="s">
        <v>2718</v>
      </c>
      <c r="F538" s="8" t="s">
        <v>2719</v>
      </c>
      <c r="G538" s="8"/>
      <c r="H538" s="7">
        <v>41718.0</v>
      </c>
      <c r="I538" s="7">
        <v>41757.0</v>
      </c>
      <c r="J538" s="8" t="s">
        <v>2720</v>
      </c>
      <c r="K538" s="8" t="s">
        <v>2241</v>
      </c>
      <c r="L538" s="8">
        <v>2014.0</v>
      </c>
      <c r="M538" s="8">
        <v>30.0</v>
      </c>
      <c r="N538" s="8">
        <v>5.0</v>
      </c>
      <c r="O538" s="8">
        <v>593.0</v>
      </c>
      <c r="P538" s="8">
        <v>598.0</v>
      </c>
      <c r="Q538" s="10">
        <v>46156.0</v>
      </c>
      <c r="R538" s="8" t="s">
        <v>2075</v>
      </c>
      <c r="S538" s="8"/>
      <c r="T538" s="8"/>
      <c r="U538" s="8"/>
      <c r="V538" s="8"/>
      <c r="W538" s="8" t="s">
        <v>2242</v>
      </c>
      <c r="X538" s="8"/>
      <c r="Y538" s="8" t="s">
        <v>2243</v>
      </c>
      <c r="Z538" s="8" t="s">
        <v>2721</v>
      </c>
      <c r="AA538" s="8"/>
      <c r="AB538" s="8"/>
      <c r="AC538" s="8"/>
      <c r="AD538" s="8" t="s">
        <v>2080</v>
      </c>
      <c r="AE538" s="8" t="s">
        <v>2080</v>
      </c>
      <c r="AF538" s="8">
        <v>2.014250704E9</v>
      </c>
      <c r="AG538" s="8">
        <v>2.4630956E7</v>
      </c>
      <c r="AH538" s="8" t="s">
        <v>2722</v>
      </c>
      <c r="AI538" s="8" t="s">
        <v>355</v>
      </c>
      <c r="AJ538" s="8" t="s">
        <v>2723</v>
      </c>
      <c r="AK538" s="8" t="s">
        <v>2724</v>
      </c>
      <c r="AL538" s="8" t="s">
        <v>2725</v>
      </c>
      <c r="AM538" s="8" t="s">
        <v>2726</v>
      </c>
    </row>
    <row r="539" ht="14.25" customHeight="1">
      <c r="A539" s="8">
        <v>87.0</v>
      </c>
      <c r="B539" s="8" t="s">
        <v>4982</v>
      </c>
      <c r="C539" s="8"/>
      <c r="D539" s="8" t="s">
        <v>4983</v>
      </c>
      <c r="E539" s="8" t="s">
        <v>4984</v>
      </c>
      <c r="F539" s="8"/>
      <c r="G539" s="8"/>
      <c r="H539" s="7">
        <v>42615.0</v>
      </c>
      <c r="I539" s="7">
        <v>42621.0</v>
      </c>
      <c r="J539" s="8" t="s">
        <v>4985</v>
      </c>
      <c r="K539" s="8" t="s">
        <v>2101</v>
      </c>
      <c r="L539" s="8">
        <v>2014.0</v>
      </c>
      <c r="M539" s="8">
        <v>2.0</v>
      </c>
      <c r="N539" s="8">
        <v>11.0</v>
      </c>
      <c r="O539" s="8"/>
      <c r="P539" s="8"/>
      <c r="Q539" s="8">
        <v>2014.0</v>
      </c>
      <c r="R539" s="8" t="s">
        <v>2075</v>
      </c>
      <c r="S539" s="8"/>
      <c r="T539" s="8"/>
      <c r="U539" s="8"/>
      <c r="V539" s="8"/>
      <c r="W539" s="8" t="s">
        <v>2102</v>
      </c>
      <c r="X539" s="8"/>
      <c r="Y539" s="8" t="s">
        <v>2497</v>
      </c>
      <c r="Z539" s="8" t="s">
        <v>4986</v>
      </c>
      <c r="AA539" s="8"/>
      <c r="AB539" s="8"/>
      <c r="AC539" s="8"/>
      <c r="AD539" s="8" t="s">
        <v>2080</v>
      </c>
      <c r="AE539" s="8" t="s">
        <v>2080</v>
      </c>
      <c r="AF539" s="8">
        <v>2.0160626932E10</v>
      </c>
      <c r="AG539" s="8"/>
      <c r="AH539" s="8" t="s">
        <v>4987</v>
      </c>
      <c r="AI539" s="8" t="s">
        <v>4988</v>
      </c>
      <c r="AJ539" s="8" t="s">
        <v>4989</v>
      </c>
      <c r="AK539" s="8" t="s">
        <v>4990</v>
      </c>
      <c r="AL539" s="8" t="s">
        <v>4991</v>
      </c>
      <c r="AM539" s="8" t="s">
        <v>2603</v>
      </c>
    </row>
    <row r="540" ht="14.25" customHeight="1">
      <c r="A540" s="8">
        <v>88.0</v>
      </c>
      <c r="B540" s="8" t="s">
        <v>5004</v>
      </c>
      <c r="C540" s="8"/>
      <c r="D540" s="8" t="s">
        <v>5005</v>
      </c>
      <c r="E540" s="8" t="s">
        <v>5006</v>
      </c>
      <c r="F540" s="8" t="s">
        <v>5007</v>
      </c>
      <c r="G540" s="8"/>
      <c r="H540" s="8"/>
      <c r="I540" s="7">
        <v>41656.0</v>
      </c>
      <c r="J540" s="8" t="s">
        <v>5008</v>
      </c>
      <c r="K540" s="8" t="s">
        <v>2128</v>
      </c>
      <c r="L540" s="8">
        <v>2013.0</v>
      </c>
      <c r="M540" s="8">
        <v>41.0</v>
      </c>
      <c r="N540" s="8">
        <v>4.0</v>
      </c>
      <c r="O540" s="8">
        <v>788.0</v>
      </c>
      <c r="P540" s="8">
        <v>794.0</v>
      </c>
      <c r="Q540" s="10">
        <v>46125.0</v>
      </c>
      <c r="R540" s="8" t="s">
        <v>2075</v>
      </c>
      <c r="S540" s="8"/>
      <c r="T540" s="8"/>
      <c r="U540" s="8"/>
      <c r="V540" s="8"/>
      <c r="W540" s="8" t="s">
        <v>2129</v>
      </c>
      <c r="X540" s="8"/>
      <c r="Y540" s="8"/>
      <c r="Z540" s="8" t="s">
        <v>5009</v>
      </c>
      <c r="AA540" s="8"/>
      <c r="AB540" s="8"/>
      <c r="AC540" s="8"/>
      <c r="AD540" s="8" t="s">
        <v>2080</v>
      </c>
      <c r="AE540" s="8"/>
      <c r="AF540" s="8"/>
      <c r="AG540" s="8">
        <v>2.3423316E7</v>
      </c>
      <c r="AH540" s="8" t="s">
        <v>5010</v>
      </c>
      <c r="AI540" s="8"/>
      <c r="AJ540" s="8"/>
      <c r="AK540" s="8" t="s">
        <v>5011</v>
      </c>
      <c r="AL540" s="8" t="s">
        <v>5012</v>
      </c>
      <c r="AM540" s="8" t="s">
        <v>2763</v>
      </c>
    </row>
    <row r="541" ht="14.25" customHeight="1">
      <c r="A541" s="8">
        <v>89.0</v>
      </c>
      <c r="B541" s="8" t="s">
        <v>1470</v>
      </c>
      <c r="C541" s="8"/>
      <c r="D541" s="8" t="s">
        <v>5022</v>
      </c>
      <c r="E541" s="8" t="s">
        <v>5023</v>
      </c>
      <c r="F541" s="8"/>
      <c r="G541" s="8"/>
      <c r="H541" s="8"/>
      <c r="I541" s="7">
        <v>42452.0</v>
      </c>
      <c r="J541" s="8" t="s">
        <v>5024</v>
      </c>
      <c r="K541" s="8" t="s">
        <v>2128</v>
      </c>
      <c r="L541" s="8">
        <v>2013.0</v>
      </c>
      <c r="M541" s="8">
        <v>41.0</v>
      </c>
      <c r="N541" s="8">
        <v>4.0</v>
      </c>
      <c r="O541" s="8">
        <v>788.0</v>
      </c>
      <c r="P541" s="8">
        <v>794.0</v>
      </c>
      <c r="Q541" s="9">
        <v>41365.0</v>
      </c>
      <c r="R541" s="8" t="s">
        <v>2075</v>
      </c>
      <c r="S541" s="8"/>
      <c r="T541" s="8"/>
      <c r="U541" s="8"/>
      <c r="V541" s="8"/>
      <c r="W541" s="8" t="s">
        <v>2129</v>
      </c>
      <c r="X541" s="8"/>
      <c r="Y541" s="8"/>
      <c r="Z541" s="8" t="s">
        <v>5025</v>
      </c>
      <c r="AA541" s="8"/>
      <c r="AB541" s="8"/>
      <c r="AC541" s="8"/>
      <c r="AD541" s="8" t="s">
        <v>2080</v>
      </c>
      <c r="AE541" s="8" t="s">
        <v>2080</v>
      </c>
      <c r="AF541" s="8"/>
      <c r="AG541" s="8">
        <v>2.3423316E7</v>
      </c>
      <c r="AH541" s="8" t="s">
        <v>5026</v>
      </c>
      <c r="AI541" s="8" t="s">
        <v>1474</v>
      </c>
      <c r="AJ541" s="8" t="s">
        <v>5027</v>
      </c>
      <c r="AK541" s="8" t="s">
        <v>5028</v>
      </c>
      <c r="AL541" s="8" t="s">
        <v>5029</v>
      </c>
      <c r="AM541" s="8" t="s">
        <v>2660</v>
      </c>
    </row>
    <row r="542" ht="14.25" customHeight="1">
      <c r="A542" s="8">
        <v>90.0</v>
      </c>
      <c r="B542" s="8" t="s">
        <v>2816</v>
      </c>
      <c r="C542" s="8"/>
      <c r="D542" s="8" t="s">
        <v>2817</v>
      </c>
      <c r="E542" s="8" t="s">
        <v>2818</v>
      </c>
      <c r="F542" s="8" t="s">
        <v>2819</v>
      </c>
      <c r="G542" s="8"/>
      <c r="H542" s="7">
        <v>40660.0</v>
      </c>
      <c r="I542" s="7">
        <v>40665.0</v>
      </c>
      <c r="J542" s="8" t="s">
        <v>2820</v>
      </c>
      <c r="K542" s="8" t="s">
        <v>2241</v>
      </c>
      <c r="L542" s="8">
        <v>2011.0</v>
      </c>
      <c r="M542" s="8">
        <v>27.0</v>
      </c>
      <c r="N542" s="8">
        <v>5.0</v>
      </c>
      <c r="O542" s="8">
        <v>653.0</v>
      </c>
      <c r="P542" s="8">
        <v>665.0</v>
      </c>
      <c r="Q542" s="10">
        <v>46153.0</v>
      </c>
      <c r="R542" s="8" t="s">
        <v>2075</v>
      </c>
      <c r="S542" s="8"/>
      <c r="T542" s="8"/>
      <c r="U542" s="8"/>
      <c r="V542" s="8"/>
      <c r="W542" s="8" t="s">
        <v>2821</v>
      </c>
      <c r="X542" s="8"/>
      <c r="Y542" s="8" t="s">
        <v>2822</v>
      </c>
      <c r="Z542" s="8" t="s">
        <v>2823</v>
      </c>
      <c r="AA542" s="8"/>
      <c r="AB542" s="8"/>
      <c r="AC542" s="8"/>
      <c r="AD542" s="8" t="s">
        <v>2080</v>
      </c>
      <c r="AE542" s="8" t="s">
        <v>2080</v>
      </c>
      <c r="AF542" s="8">
        <v>2.011213919E9</v>
      </c>
      <c r="AG542" s="8">
        <v>2.1663722E7</v>
      </c>
      <c r="AH542" s="8" t="s">
        <v>2824</v>
      </c>
      <c r="AI542" s="8" t="s">
        <v>421</v>
      </c>
      <c r="AJ542" s="8" t="s">
        <v>2825</v>
      </c>
      <c r="AK542" s="8" t="s">
        <v>2826</v>
      </c>
      <c r="AL542" s="8" t="s">
        <v>2827</v>
      </c>
      <c r="AM542" s="8" t="s">
        <v>2828</v>
      </c>
    </row>
    <row r="543" ht="14.25" customHeight="1">
      <c r="A543" s="8">
        <v>91.0</v>
      </c>
      <c r="B543" s="8" t="s">
        <v>5218</v>
      </c>
      <c r="C543" s="8"/>
      <c r="D543" s="8"/>
      <c r="E543" s="8"/>
      <c r="F543" s="8"/>
      <c r="G543" s="8"/>
      <c r="H543" s="7">
        <v>45805.0</v>
      </c>
      <c r="I543" s="7">
        <v>45805.0</v>
      </c>
      <c r="J543" s="8" t="s">
        <v>5219</v>
      </c>
      <c r="K543" s="8" t="s">
        <v>2089</v>
      </c>
      <c r="L543" s="8">
        <v>2010.0</v>
      </c>
      <c r="M543" s="8"/>
      <c r="N543" s="8"/>
      <c r="O543" s="8"/>
      <c r="P543" s="8"/>
      <c r="Q543" s="9">
        <v>40382.0</v>
      </c>
      <c r="R543" s="8" t="s">
        <v>2090</v>
      </c>
      <c r="S543" s="8"/>
      <c r="T543" s="8"/>
      <c r="U543" s="8"/>
      <c r="V543" s="8"/>
      <c r="W543" s="8"/>
      <c r="X543" s="8"/>
      <c r="Y543" s="8" t="s">
        <v>2089</v>
      </c>
      <c r="Z543" s="8" t="s">
        <v>5220</v>
      </c>
      <c r="AA543" s="8"/>
      <c r="AB543" s="8"/>
      <c r="AC543" s="8"/>
      <c r="AD543" s="8" t="s">
        <v>2080</v>
      </c>
      <c r="AE543" s="8" t="s">
        <v>2080</v>
      </c>
      <c r="AF543" s="8"/>
      <c r="AG543" s="8"/>
      <c r="AH543" s="8" t="s">
        <v>5221</v>
      </c>
      <c r="AI543" s="8"/>
      <c r="AJ543" s="8" t="s">
        <v>5222</v>
      </c>
      <c r="AK543" s="8" t="s">
        <v>5223</v>
      </c>
      <c r="AL543" s="8"/>
      <c r="AM543" s="8" t="s">
        <v>2095</v>
      </c>
    </row>
    <row r="544" ht="14.25" customHeight="1">
      <c r="A544" s="8">
        <v>92.0</v>
      </c>
      <c r="B544" s="8" t="s">
        <v>2878</v>
      </c>
      <c r="C544" s="8"/>
      <c r="D544" s="8" t="s">
        <v>2879</v>
      </c>
      <c r="E544" s="8" t="s">
        <v>2880</v>
      </c>
      <c r="F544" s="8" t="s">
        <v>2881</v>
      </c>
      <c r="G544" s="8"/>
      <c r="H544" s="8"/>
      <c r="I544" s="7">
        <v>40347.0</v>
      </c>
      <c r="J544" s="8" t="s">
        <v>2882</v>
      </c>
      <c r="K544" s="8" t="s">
        <v>2128</v>
      </c>
      <c r="L544" s="8">
        <v>2010.0</v>
      </c>
      <c r="M544" s="8">
        <v>38.0</v>
      </c>
      <c r="N544" s="8">
        <v>3.0</v>
      </c>
      <c r="O544" s="8">
        <v>492.0</v>
      </c>
      <c r="P544" s="8">
        <v>500.0</v>
      </c>
      <c r="Q544" s="10">
        <v>46091.0</v>
      </c>
      <c r="R544" s="8" t="s">
        <v>2075</v>
      </c>
      <c r="S544" s="8"/>
      <c r="T544" s="8"/>
      <c r="U544" s="8"/>
      <c r="V544" s="8"/>
      <c r="W544" s="8" t="s">
        <v>2129</v>
      </c>
      <c r="X544" s="8"/>
      <c r="Y544" s="8"/>
      <c r="Z544" s="8" t="s">
        <v>2883</v>
      </c>
      <c r="AA544" s="8"/>
      <c r="AB544" s="8"/>
      <c r="AC544" s="8"/>
      <c r="AD544" s="8" t="s">
        <v>2080</v>
      </c>
      <c r="AE544" s="8"/>
      <c r="AF544" s="8"/>
      <c r="AG544" s="8">
        <v>2.0194956E7</v>
      </c>
      <c r="AH544" s="8" t="s">
        <v>2884</v>
      </c>
      <c r="AI544" s="8"/>
      <c r="AJ544" s="8"/>
      <c r="AK544" s="8" t="s">
        <v>2885</v>
      </c>
      <c r="AL544" s="8" t="s">
        <v>2886</v>
      </c>
      <c r="AM544" s="8" t="s">
        <v>2763</v>
      </c>
    </row>
    <row r="545" ht="14.25" customHeight="1">
      <c r="A545" s="8">
        <v>93.0</v>
      </c>
      <c r="B545" s="8" t="s">
        <v>1638</v>
      </c>
      <c r="C545" s="8"/>
      <c r="D545" s="8" t="s">
        <v>5277</v>
      </c>
      <c r="E545" s="8" t="s">
        <v>5278</v>
      </c>
      <c r="F545" s="8" t="s">
        <v>5279</v>
      </c>
      <c r="G545" s="8"/>
      <c r="H545" s="8"/>
      <c r="I545" s="7">
        <v>40641.0</v>
      </c>
      <c r="J545" s="8" t="s">
        <v>5280</v>
      </c>
      <c r="K545" s="8" t="s">
        <v>3044</v>
      </c>
      <c r="L545" s="8">
        <v>2010.0</v>
      </c>
      <c r="M545" s="8">
        <v>20.0</v>
      </c>
      <c r="N545" s="8">
        <v>1.0</v>
      </c>
      <c r="O545" s="8">
        <v>154.0</v>
      </c>
      <c r="P545" s="8">
        <v>164.0</v>
      </c>
      <c r="Q545" s="10">
        <v>46063.0</v>
      </c>
      <c r="R545" s="8" t="s">
        <v>2075</v>
      </c>
      <c r="S545" s="8"/>
      <c r="T545" s="8"/>
      <c r="U545" s="8"/>
      <c r="V545" s="8"/>
      <c r="W545" s="8" t="s">
        <v>3045</v>
      </c>
      <c r="X545" s="8"/>
      <c r="Y545" s="8" t="s">
        <v>5281</v>
      </c>
      <c r="Z545" s="8" t="s">
        <v>5282</v>
      </c>
      <c r="AA545" s="8"/>
      <c r="AB545" s="8"/>
      <c r="AC545" s="8"/>
      <c r="AD545" s="8" t="s">
        <v>2080</v>
      </c>
      <c r="AE545" s="8" t="s">
        <v>2080</v>
      </c>
      <c r="AF545" s="8"/>
      <c r="AG545" s="8">
        <v>1.9486478E7</v>
      </c>
      <c r="AH545" s="8" t="s">
        <v>5283</v>
      </c>
      <c r="AI545" s="8" t="s">
        <v>1642</v>
      </c>
      <c r="AJ545" s="8" t="s">
        <v>5284</v>
      </c>
      <c r="AK545" s="8" t="s">
        <v>5285</v>
      </c>
      <c r="AL545" s="8" t="s">
        <v>5286</v>
      </c>
      <c r="AM545" s="8" t="s">
        <v>2763</v>
      </c>
    </row>
    <row r="546" ht="14.25" customHeight="1">
      <c r="A546" s="8">
        <v>94.0</v>
      </c>
      <c r="B546" s="8" t="s">
        <v>5989</v>
      </c>
      <c r="C546" s="8"/>
      <c r="D546" s="8"/>
      <c r="E546" s="8"/>
      <c r="F546" s="8"/>
      <c r="G546" s="8"/>
      <c r="H546" s="7">
        <v>45808.0</v>
      </c>
      <c r="I546" s="7">
        <v>45808.0</v>
      </c>
      <c r="J546" s="8" t="s">
        <v>5990</v>
      </c>
      <c r="K546" s="8" t="s">
        <v>2089</v>
      </c>
      <c r="L546" s="8">
        <v>2008.0</v>
      </c>
      <c r="M546" s="8"/>
      <c r="N546" s="8"/>
      <c r="O546" s="8"/>
      <c r="P546" s="8"/>
      <c r="Q546" s="9">
        <v>39608.0</v>
      </c>
      <c r="R546" s="8" t="s">
        <v>2090</v>
      </c>
      <c r="S546" s="8"/>
      <c r="T546" s="8"/>
      <c r="U546" s="8"/>
      <c r="V546" s="8"/>
      <c r="W546" s="8"/>
      <c r="X546" s="8"/>
      <c r="Y546" s="8" t="s">
        <v>2089</v>
      </c>
      <c r="Z546" s="8" t="s">
        <v>5991</v>
      </c>
      <c r="AA546" s="8"/>
      <c r="AB546" s="8"/>
      <c r="AC546" s="8"/>
      <c r="AD546" s="8" t="s">
        <v>2080</v>
      </c>
      <c r="AE546" s="8" t="s">
        <v>2080</v>
      </c>
      <c r="AF546" s="8"/>
      <c r="AG546" s="8"/>
      <c r="AH546" s="8" t="s">
        <v>5992</v>
      </c>
      <c r="AI546" s="8"/>
      <c r="AJ546" s="8" t="s">
        <v>5993</v>
      </c>
      <c r="AK546" s="8" t="s">
        <v>5994</v>
      </c>
      <c r="AL546" s="8"/>
      <c r="AM546" s="8" t="s">
        <v>2095</v>
      </c>
    </row>
    <row r="547" ht="14.25" customHeight="1">
      <c r="A547" s="8">
        <v>95.0</v>
      </c>
      <c r="B547" s="8" t="s">
        <v>5452</v>
      </c>
      <c r="C547" s="8"/>
      <c r="D547" s="8" t="s">
        <v>5453</v>
      </c>
      <c r="E547" s="8" t="s">
        <v>5454</v>
      </c>
      <c r="F547" s="8" t="s">
        <v>5455</v>
      </c>
      <c r="G547" s="8"/>
      <c r="H547" s="8"/>
      <c r="I547" s="7">
        <v>39482.0</v>
      </c>
      <c r="J547" s="8" t="s">
        <v>5456</v>
      </c>
      <c r="K547" s="8" t="s">
        <v>2892</v>
      </c>
      <c r="L547" s="8">
        <v>2008.0</v>
      </c>
      <c r="M547" s="8">
        <v>36.0</v>
      </c>
      <c r="N547" s="8">
        <v>2.0</v>
      </c>
      <c r="O547" s="8">
        <v>298.0</v>
      </c>
      <c r="P547" s="8">
        <v>307.0</v>
      </c>
      <c r="Q547" s="10">
        <v>46061.0</v>
      </c>
      <c r="R547" s="8" t="s">
        <v>2075</v>
      </c>
      <c r="S547" s="8"/>
      <c r="T547" s="8"/>
      <c r="U547" s="8"/>
      <c r="V547" s="8"/>
      <c r="W547" s="8" t="s">
        <v>2893</v>
      </c>
      <c r="X547" s="8"/>
      <c r="Y547" s="8" t="s">
        <v>2894</v>
      </c>
      <c r="Z547" s="8" t="s">
        <v>5457</v>
      </c>
      <c r="AA547" s="8"/>
      <c r="AB547" s="8"/>
      <c r="AC547" s="8"/>
      <c r="AD547" s="8" t="s">
        <v>2080</v>
      </c>
      <c r="AE547" s="8" t="s">
        <v>2080</v>
      </c>
      <c r="AF547" s="8">
        <v>2.008039076E9</v>
      </c>
      <c r="AG547" s="8">
        <v>1.7940146E7</v>
      </c>
      <c r="AH547" s="8" t="s">
        <v>5458</v>
      </c>
      <c r="AI547" s="8" t="s">
        <v>1735</v>
      </c>
      <c r="AJ547" s="8" t="s">
        <v>5459</v>
      </c>
      <c r="AK547" s="8" t="s">
        <v>5460</v>
      </c>
      <c r="AL547" s="8" t="s">
        <v>5461</v>
      </c>
      <c r="AM547" s="8" t="s">
        <v>2900</v>
      </c>
    </row>
    <row r="548" ht="14.25" customHeight="1">
      <c r="A548" s="8">
        <v>96.0</v>
      </c>
      <c r="B548" s="8" t="s">
        <v>2979</v>
      </c>
      <c r="C548" s="8"/>
      <c r="D548" s="8" t="s">
        <v>2980</v>
      </c>
      <c r="E548" s="8" t="s">
        <v>2981</v>
      </c>
      <c r="F548" s="8" t="s">
        <v>2982</v>
      </c>
      <c r="G548" s="8"/>
      <c r="H548" s="8"/>
      <c r="I548" s="7">
        <v>39247.0</v>
      </c>
      <c r="J548" s="8" t="s">
        <v>2983</v>
      </c>
      <c r="K548" s="8" t="s">
        <v>2755</v>
      </c>
      <c r="L548" s="8">
        <v>2007.0</v>
      </c>
      <c r="M548" s="8">
        <v>15.0</v>
      </c>
      <c r="N548" s="8">
        <v>4.0</v>
      </c>
      <c r="O548" s="8">
        <v>402.0</v>
      </c>
      <c r="P548" s="8">
        <v>414.0</v>
      </c>
      <c r="Q548" s="10">
        <v>46119.0</v>
      </c>
      <c r="R548" s="8" t="s">
        <v>2075</v>
      </c>
      <c r="S548" s="8"/>
      <c r="T548" s="8"/>
      <c r="U548" s="8"/>
      <c r="V548" s="8"/>
      <c r="W548" s="8" t="s">
        <v>2756</v>
      </c>
      <c r="X548" s="8"/>
      <c r="Y548" s="8" t="s">
        <v>2674</v>
      </c>
      <c r="Z548" s="8" t="s">
        <v>2984</v>
      </c>
      <c r="AA548" s="8"/>
      <c r="AB548" s="8"/>
      <c r="AC548" s="8"/>
      <c r="AD548" s="8" t="s">
        <v>2080</v>
      </c>
      <c r="AE548" s="8" t="s">
        <v>2080</v>
      </c>
      <c r="AF548" s="8"/>
      <c r="AG548" s="8">
        <v>1.7219226E7</v>
      </c>
      <c r="AH548" s="8" t="s">
        <v>2985</v>
      </c>
      <c r="AI548" s="8" t="s">
        <v>553</v>
      </c>
      <c r="AJ548" s="8" t="s">
        <v>2986</v>
      </c>
      <c r="AK548" s="8" t="s">
        <v>2987</v>
      </c>
      <c r="AL548" s="8" t="s">
        <v>2988</v>
      </c>
      <c r="AM548" s="8" t="s">
        <v>2763</v>
      </c>
    </row>
    <row r="549" ht="14.25" customHeight="1">
      <c r="A549" s="8">
        <v>97.0</v>
      </c>
      <c r="B549" s="8" t="s">
        <v>5995</v>
      </c>
      <c r="C549" s="8"/>
      <c r="D549" s="8" t="s">
        <v>5996</v>
      </c>
      <c r="E549" s="8" t="s">
        <v>5997</v>
      </c>
      <c r="F549" s="8" t="s">
        <v>5998</v>
      </c>
      <c r="G549" s="8"/>
      <c r="H549" s="8"/>
      <c r="I549" s="7">
        <v>38972.0</v>
      </c>
      <c r="J549" s="8" t="s">
        <v>5999</v>
      </c>
      <c r="K549" s="8" t="s">
        <v>6000</v>
      </c>
      <c r="L549" s="8">
        <v>2006.0</v>
      </c>
      <c r="M549" s="8">
        <v>10.0</v>
      </c>
      <c r="N549" s="8">
        <v>27.0</v>
      </c>
      <c r="O549" s="8">
        <v>6.0</v>
      </c>
      <c r="P549" s="8">
        <v>10.0</v>
      </c>
      <c r="Q549" s="9">
        <v>38918.0</v>
      </c>
      <c r="R549" s="8" t="s">
        <v>2075</v>
      </c>
      <c r="S549" s="8"/>
      <c r="T549" s="8"/>
      <c r="U549" s="8"/>
      <c r="V549" s="8"/>
      <c r="W549" s="8" t="s">
        <v>6001</v>
      </c>
      <c r="X549" s="8"/>
      <c r="Y549" s="8"/>
      <c r="Z549" s="8" t="s">
        <v>6002</v>
      </c>
      <c r="AA549" s="8" t="s">
        <v>6003</v>
      </c>
      <c r="AB549" s="8"/>
      <c r="AC549" s="8"/>
      <c r="AD549" s="8" t="s">
        <v>3695</v>
      </c>
      <c r="AE549" s="8" t="s">
        <v>4781</v>
      </c>
      <c r="AF549" s="8">
        <v>2.006397788E9</v>
      </c>
      <c r="AG549" s="8"/>
      <c r="AH549" s="8" t="s">
        <v>6004</v>
      </c>
      <c r="AI549" s="8"/>
      <c r="AJ549" s="8"/>
      <c r="AK549" s="8" t="s">
        <v>6005</v>
      </c>
      <c r="AL549" s="8" t="s">
        <v>6006</v>
      </c>
      <c r="AM549" s="8" t="s">
        <v>3265</v>
      </c>
    </row>
    <row r="550" ht="14.25" customHeight="1">
      <c r="A550" s="8">
        <v>98.0</v>
      </c>
      <c r="B550" s="8" t="s">
        <v>3154</v>
      </c>
      <c r="C550" s="8" t="s">
        <v>3155</v>
      </c>
      <c r="D550" s="8" t="s">
        <v>3156</v>
      </c>
      <c r="E550" s="8" t="s">
        <v>3157</v>
      </c>
      <c r="F550" s="8" t="s">
        <v>3158</v>
      </c>
      <c r="G550" s="8"/>
      <c r="H550" s="8"/>
      <c r="I550" s="7">
        <v>37901.0</v>
      </c>
      <c r="J550" s="8" t="s">
        <v>3159</v>
      </c>
      <c r="K550" s="8" t="s">
        <v>2939</v>
      </c>
      <c r="L550" s="8">
        <v>2003.0</v>
      </c>
      <c r="M550" s="8">
        <v>89.0</v>
      </c>
      <c r="N550" s="8">
        <v>5.0</v>
      </c>
      <c r="O550" s="8">
        <v>413.0</v>
      </c>
      <c r="P550" s="8">
        <v>422.0</v>
      </c>
      <c r="Q550" s="10">
        <v>46268.0</v>
      </c>
      <c r="R550" s="8" t="s">
        <v>2075</v>
      </c>
      <c r="S550" s="8"/>
      <c r="T550" s="8"/>
      <c r="U550" s="8"/>
      <c r="V550" s="8"/>
      <c r="W550" s="8" t="s">
        <v>2940</v>
      </c>
      <c r="X550" s="8"/>
      <c r="Y550" s="8" t="s">
        <v>2941</v>
      </c>
      <c r="Z550" s="8" t="s">
        <v>3160</v>
      </c>
      <c r="AA550" s="8"/>
      <c r="AB550" s="8"/>
      <c r="AC550" s="8"/>
      <c r="AD550" s="8" t="s">
        <v>2943</v>
      </c>
      <c r="AE550" s="8" t="s">
        <v>3060</v>
      </c>
      <c r="AF550" s="8">
        <v>2.003389479E9</v>
      </c>
      <c r="AG550" s="8">
        <v>1.3679741E7</v>
      </c>
      <c r="AH550" s="8" t="s">
        <v>3161</v>
      </c>
      <c r="AI550" s="8"/>
      <c r="AJ550" s="8"/>
      <c r="AK550" s="8" t="s">
        <v>3162</v>
      </c>
      <c r="AL550" s="8" t="s">
        <v>3163</v>
      </c>
      <c r="AM550" s="8" t="s">
        <v>2967</v>
      </c>
    </row>
    <row r="551" ht="14.25" customHeight="1">
      <c r="A551" s="8">
        <v>99.0</v>
      </c>
      <c r="B551" s="8" t="s">
        <v>5650</v>
      </c>
      <c r="C551" s="8"/>
      <c r="D551" s="8" t="s">
        <v>5651</v>
      </c>
      <c r="E551" s="8" t="s">
        <v>5652</v>
      </c>
      <c r="F551" s="8" t="s">
        <v>5653</v>
      </c>
      <c r="G551" s="8"/>
      <c r="H551" s="8"/>
      <c r="I551" s="7">
        <v>37781.0</v>
      </c>
      <c r="J551" s="8" t="s">
        <v>5654</v>
      </c>
      <c r="K551" s="8" t="s">
        <v>3201</v>
      </c>
      <c r="L551" s="8">
        <v>2003.0</v>
      </c>
      <c r="M551" s="8">
        <v>85.0</v>
      </c>
      <c r="N551" s="8">
        <v>4.0</v>
      </c>
      <c r="O551" s="8">
        <v>521.0</v>
      </c>
      <c r="P551" s="8">
        <v>524.0</v>
      </c>
      <c r="Q551" s="10">
        <v>46145.0</v>
      </c>
      <c r="R551" s="8" t="s">
        <v>2075</v>
      </c>
      <c r="S551" s="8"/>
      <c r="T551" s="8"/>
      <c r="U551" s="8"/>
      <c r="V551" s="8"/>
      <c r="W551" s="8" t="s">
        <v>3202</v>
      </c>
      <c r="X551" s="8"/>
      <c r="Y551" s="8" t="s">
        <v>3203</v>
      </c>
      <c r="Z551" s="8" t="s">
        <v>5655</v>
      </c>
      <c r="AA551" s="8"/>
      <c r="AB551" s="8"/>
      <c r="AC551" s="8"/>
      <c r="AD551" s="8" t="s">
        <v>2080</v>
      </c>
      <c r="AE551" s="8" t="s">
        <v>2080</v>
      </c>
      <c r="AF551" s="8">
        <v>2.003214287E9</v>
      </c>
      <c r="AG551" s="8">
        <v>1.2793556E7</v>
      </c>
      <c r="AH551" s="8" t="s">
        <v>5656</v>
      </c>
      <c r="AI551" s="8" t="s">
        <v>5657</v>
      </c>
      <c r="AJ551" s="8" t="s">
        <v>5658</v>
      </c>
      <c r="AK551" s="8" t="s">
        <v>5659</v>
      </c>
      <c r="AL551" s="8" t="s">
        <v>5660</v>
      </c>
      <c r="AM551" s="8" t="s">
        <v>2967</v>
      </c>
    </row>
    <row r="552" ht="14.25" customHeight="1">
      <c r="A552" s="8">
        <v>100.0</v>
      </c>
      <c r="B552" s="8" t="s">
        <v>6007</v>
      </c>
      <c r="C552" s="8" t="s">
        <v>6008</v>
      </c>
      <c r="D552" s="8" t="s">
        <v>6009</v>
      </c>
      <c r="E552" s="8" t="s">
        <v>6010</v>
      </c>
      <c r="F552" s="8" t="s">
        <v>6011</v>
      </c>
      <c r="G552" s="8"/>
      <c r="H552" s="8"/>
      <c r="I552" s="7">
        <v>37402.0</v>
      </c>
      <c r="J552" s="8" t="s">
        <v>6012</v>
      </c>
      <c r="K552" s="8" t="s">
        <v>3444</v>
      </c>
      <c r="L552" s="8">
        <v>2002.0</v>
      </c>
      <c r="M552" s="8">
        <v>32.0</v>
      </c>
      <c r="N552" s="8">
        <v>2.0</v>
      </c>
      <c r="O552" s="8">
        <v>65.0</v>
      </c>
      <c r="P552" s="8">
        <v>72.0</v>
      </c>
      <c r="Q552" s="8">
        <v>2002.0</v>
      </c>
      <c r="R552" s="8" t="s">
        <v>2075</v>
      </c>
      <c r="S552" s="8"/>
      <c r="T552" s="8"/>
      <c r="U552" s="8"/>
      <c r="V552" s="8"/>
      <c r="W552" s="8" t="s">
        <v>3445</v>
      </c>
      <c r="X552" s="8"/>
      <c r="Y552" s="8"/>
      <c r="Z552" s="8" t="s">
        <v>6013</v>
      </c>
      <c r="AA552" s="8"/>
      <c r="AB552" s="8"/>
      <c r="AC552" s="8"/>
      <c r="AD552" s="8" t="s">
        <v>3339</v>
      </c>
      <c r="AE552" s="8" t="s">
        <v>3340</v>
      </c>
      <c r="AF552" s="8">
        <v>2.002175114E9</v>
      </c>
      <c r="AG552" s="8"/>
      <c r="AH552" s="8" t="s">
        <v>6014</v>
      </c>
      <c r="AI552" s="8" t="s">
        <v>6015</v>
      </c>
      <c r="AJ552" s="8" t="s">
        <v>6016</v>
      </c>
      <c r="AK552" s="8" t="s">
        <v>6017</v>
      </c>
      <c r="AL552" s="8" t="s">
        <v>6018</v>
      </c>
      <c r="AM552" s="8" t="s">
        <v>3265</v>
      </c>
    </row>
    <row r="553" ht="14.25" customHeight="1">
      <c r="A553" s="8">
        <v>101.0</v>
      </c>
      <c r="B553" s="8" t="s">
        <v>3210</v>
      </c>
      <c r="C553" s="8"/>
      <c r="D553" s="8" t="s">
        <v>3211</v>
      </c>
      <c r="E553" s="8" t="s">
        <v>3212</v>
      </c>
      <c r="F553" s="8" t="s">
        <v>3213</v>
      </c>
      <c r="G553" s="8"/>
      <c r="H553" s="8"/>
      <c r="I553" s="7">
        <v>37453.0</v>
      </c>
      <c r="J553" s="8" t="s">
        <v>3214</v>
      </c>
      <c r="K553" s="8" t="s">
        <v>3215</v>
      </c>
      <c r="L553" s="8">
        <v>2002.0</v>
      </c>
      <c r="M553" s="8">
        <v>12.0</v>
      </c>
      <c r="N553" s="8">
        <v>2.0</v>
      </c>
      <c r="O553" s="8">
        <v>73.0</v>
      </c>
      <c r="P553" s="8">
        <v>80.0</v>
      </c>
      <c r="Q553" s="10">
        <v>46114.0</v>
      </c>
      <c r="R553" s="8" t="s">
        <v>2075</v>
      </c>
      <c r="S553" s="8"/>
      <c r="T553" s="8"/>
      <c r="U553" s="8"/>
      <c r="V553" s="8"/>
      <c r="W553" s="8" t="s">
        <v>3216</v>
      </c>
      <c r="X553" s="8"/>
      <c r="Y553" s="8"/>
      <c r="Z553" s="8" t="s">
        <v>3217</v>
      </c>
      <c r="AA553" s="8"/>
      <c r="AB553" s="8"/>
      <c r="AC553" s="8"/>
      <c r="AD553" s="8" t="s">
        <v>2080</v>
      </c>
      <c r="AE553" s="8"/>
      <c r="AF553" s="8"/>
      <c r="AG553" s="8">
        <v>1.2121424E7</v>
      </c>
      <c r="AH553" s="8" t="s">
        <v>3218</v>
      </c>
      <c r="AI553" s="8"/>
      <c r="AJ553" s="8"/>
      <c r="AK553" s="8" t="s">
        <v>3219</v>
      </c>
      <c r="AL553" s="8" t="s">
        <v>3220</v>
      </c>
      <c r="AM553" s="8" t="s">
        <v>2763</v>
      </c>
    </row>
    <row r="554" ht="14.25" customHeight="1">
      <c r="A554" s="8">
        <v>102.0</v>
      </c>
      <c r="B554" s="8" t="s">
        <v>3266</v>
      </c>
      <c r="C554" s="8"/>
      <c r="D554" s="8" t="s">
        <v>3267</v>
      </c>
      <c r="E554" s="8" t="s">
        <v>3268</v>
      </c>
      <c r="F554" s="8" t="s">
        <v>3269</v>
      </c>
      <c r="G554" s="8"/>
      <c r="H554" s="8"/>
      <c r="I554" s="7">
        <v>37194.0</v>
      </c>
      <c r="J554" s="8" t="s">
        <v>3270</v>
      </c>
      <c r="K554" s="8" t="s">
        <v>2550</v>
      </c>
      <c r="L554" s="8">
        <v>2001.0</v>
      </c>
      <c r="M554" s="8">
        <v>9.0</v>
      </c>
      <c r="N554" s="8">
        <v>5.0</v>
      </c>
      <c r="O554" s="8">
        <v>260.0</v>
      </c>
      <c r="P554" s="8">
        <v>266.0</v>
      </c>
      <c r="Q554" s="10">
        <v>46266.0</v>
      </c>
      <c r="R554" s="8" t="s">
        <v>2075</v>
      </c>
      <c r="S554" s="8"/>
      <c r="T554" s="8"/>
      <c r="U554" s="8"/>
      <c r="V554" s="8"/>
      <c r="W554" s="8" t="s">
        <v>3169</v>
      </c>
      <c r="X554" s="8"/>
      <c r="Y554" s="8"/>
      <c r="Z554" s="8" t="s">
        <v>3271</v>
      </c>
      <c r="AA554" s="8"/>
      <c r="AB554" s="8"/>
      <c r="AC554" s="8"/>
      <c r="AD554" s="8" t="s">
        <v>2080</v>
      </c>
      <c r="AE554" s="8"/>
      <c r="AF554" s="8"/>
      <c r="AG554" s="8">
        <v>1.1685356E7</v>
      </c>
      <c r="AH554" s="8" t="s">
        <v>3272</v>
      </c>
      <c r="AI554" s="8"/>
      <c r="AJ554" s="8"/>
      <c r="AK554" s="8" t="s">
        <v>3273</v>
      </c>
      <c r="AL554" s="8" t="s">
        <v>3274</v>
      </c>
      <c r="AM554" s="8" t="s">
        <v>2763</v>
      </c>
    </row>
    <row r="555" ht="14.25" customHeight="1">
      <c r="A555" s="8">
        <v>103.0</v>
      </c>
      <c r="B555" s="8" t="s">
        <v>5672</v>
      </c>
      <c r="C555" s="8"/>
      <c r="D555" s="8" t="s">
        <v>5673</v>
      </c>
      <c r="E555" s="8" t="s">
        <v>5674</v>
      </c>
      <c r="F555" s="8" t="s">
        <v>5675</v>
      </c>
      <c r="G555" s="8"/>
      <c r="H555" s="8"/>
      <c r="I555" s="7">
        <v>36896.0</v>
      </c>
      <c r="J555" s="8" t="s">
        <v>5676</v>
      </c>
      <c r="K555" s="8" t="s">
        <v>2550</v>
      </c>
      <c r="L555" s="8">
        <v>2000.0</v>
      </c>
      <c r="M555" s="8">
        <v>8.0</v>
      </c>
      <c r="N555" s="8">
        <v>6.0</v>
      </c>
      <c r="O555" s="8">
        <v>337.0</v>
      </c>
      <c r="P555" s="8">
        <v>342.0</v>
      </c>
      <c r="Q555" s="8">
        <v>2000.0</v>
      </c>
      <c r="R555" s="8" t="s">
        <v>2075</v>
      </c>
      <c r="S555" s="8"/>
      <c r="T555" s="8"/>
      <c r="U555" s="8"/>
      <c r="V555" s="8"/>
      <c r="W555" s="8" t="s">
        <v>3169</v>
      </c>
      <c r="X555" s="8"/>
      <c r="Y555" s="8"/>
      <c r="Z555" s="8" t="s">
        <v>5677</v>
      </c>
      <c r="AA555" s="8"/>
      <c r="AB555" s="8"/>
      <c r="AC555" s="8"/>
      <c r="AD555" s="8" t="s">
        <v>2080</v>
      </c>
      <c r="AE555" s="8"/>
      <c r="AF555" s="8"/>
      <c r="AG555" s="8">
        <v>1.1147151E7</v>
      </c>
      <c r="AH555" s="8" t="s">
        <v>5678</v>
      </c>
      <c r="AI555" s="8"/>
      <c r="AJ555" s="8"/>
      <c r="AK555" s="8" t="s">
        <v>5679</v>
      </c>
      <c r="AL555" s="8" t="s">
        <v>5680</v>
      </c>
      <c r="AM555" s="8" t="s">
        <v>2763</v>
      </c>
    </row>
    <row r="556" ht="14.25" customHeight="1">
      <c r="A556" s="8">
        <v>104.0</v>
      </c>
      <c r="B556" s="8" t="s">
        <v>3392</v>
      </c>
      <c r="C556" s="8"/>
      <c r="D556" s="8" t="s">
        <v>3393</v>
      </c>
      <c r="E556" s="8" t="s">
        <v>3394</v>
      </c>
      <c r="F556" s="8" t="s">
        <v>3395</v>
      </c>
      <c r="G556" s="8"/>
      <c r="H556" s="8"/>
      <c r="I556" s="7">
        <v>35611.0</v>
      </c>
      <c r="J556" s="8" t="s">
        <v>3396</v>
      </c>
      <c r="K556" s="8" t="s">
        <v>2550</v>
      </c>
      <c r="L556" s="8">
        <v>1997.0</v>
      </c>
      <c r="M556" s="8">
        <v>5.0</v>
      </c>
      <c r="N556" s="8">
        <v>1.0</v>
      </c>
      <c r="O556" s="8">
        <v>6.0</v>
      </c>
      <c r="P556" s="8">
        <v>9.0</v>
      </c>
      <c r="Q556" s="8">
        <v>1997.0</v>
      </c>
      <c r="R556" s="8" t="s">
        <v>2075</v>
      </c>
      <c r="S556" s="8"/>
      <c r="T556" s="8"/>
      <c r="U556" s="8"/>
      <c r="V556" s="8"/>
      <c r="W556" s="8" t="s">
        <v>3169</v>
      </c>
      <c r="X556" s="8"/>
      <c r="Y556" s="8"/>
      <c r="Z556" s="8" t="s">
        <v>3397</v>
      </c>
      <c r="AA556" s="8"/>
      <c r="AB556" s="8"/>
      <c r="AC556" s="8"/>
      <c r="AD556" s="8" t="s">
        <v>2080</v>
      </c>
      <c r="AE556" s="8"/>
      <c r="AF556" s="8"/>
      <c r="AG556" s="8">
        <v>9127846.0</v>
      </c>
      <c r="AH556" s="8" t="s">
        <v>3398</v>
      </c>
      <c r="AI556" s="8"/>
      <c r="AJ556" s="8"/>
      <c r="AK556" s="8" t="s">
        <v>3399</v>
      </c>
      <c r="AL556" s="8" t="s">
        <v>3400</v>
      </c>
      <c r="AM556" s="8" t="s">
        <v>2763</v>
      </c>
    </row>
    <row r="557" ht="14.25" customHeight="1">
      <c r="A557" s="8">
        <v>105.0</v>
      </c>
      <c r="B557" s="8" t="s">
        <v>5681</v>
      </c>
      <c r="C557" s="8"/>
      <c r="D557" s="8" t="s">
        <v>5682</v>
      </c>
      <c r="E557" s="8" t="s">
        <v>5683</v>
      </c>
      <c r="F557" s="8" t="s">
        <v>5684</v>
      </c>
      <c r="G557" s="8"/>
      <c r="H557" s="8"/>
      <c r="I557" s="7">
        <v>35413.0</v>
      </c>
      <c r="J557" s="8" t="s">
        <v>5685</v>
      </c>
      <c r="K557" s="8" t="s">
        <v>2892</v>
      </c>
      <c r="L557" s="8">
        <v>1996.0</v>
      </c>
      <c r="M557" s="8">
        <v>24.0</v>
      </c>
      <c r="N557" s="8">
        <v>6.0</v>
      </c>
      <c r="O557" s="8">
        <v>758.0</v>
      </c>
      <c r="P557" s="8">
        <v>764.0</v>
      </c>
      <c r="Q557" s="8" t="s">
        <v>5686</v>
      </c>
      <c r="R557" s="8" t="s">
        <v>2075</v>
      </c>
      <c r="S557" s="8"/>
      <c r="T557" s="8"/>
      <c r="U557" s="8"/>
      <c r="V557" s="8"/>
      <c r="W557" s="8" t="s">
        <v>3076</v>
      </c>
      <c r="X557" s="8"/>
      <c r="Y557" s="8" t="s">
        <v>2894</v>
      </c>
      <c r="Z557" s="8" t="s">
        <v>5687</v>
      </c>
      <c r="AA557" s="8"/>
      <c r="AB557" s="8"/>
      <c r="AC557" s="8"/>
      <c r="AD557" s="8" t="s">
        <v>2080</v>
      </c>
      <c r="AE557" s="8" t="s">
        <v>2080</v>
      </c>
      <c r="AF557" s="8">
        <v>1.996359156E9</v>
      </c>
      <c r="AG557" s="8">
        <v>8947397.0</v>
      </c>
      <c r="AH557" s="8" t="s">
        <v>5688</v>
      </c>
      <c r="AI557" s="8" t="s">
        <v>1914</v>
      </c>
      <c r="AJ557" s="8" t="s">
        <v>5689</v>
      </c>
      <c r="AK557" s="8" t="s">
        <v>5690</v>
      </c>
      <c r="AL557" s="8" t="s">
        <v>5691</v>
      </c>
      <c r="AM557" s="8" t="s">
        <v>2967</v>
      </c>
    </row>
    <row r="558" ht="14.25" customHeight="1">
      <c r="A558" s="8">
        <v>106.0</v>
      </c>
      <c r="B558" s="8" t="s">
        <v>2050</v>
      </c>
      <c r="C558" s="8"/>
      <c r="D558" s="8" t="s">
        <v>6019</v>
      </c>
      <c r="E558" s="8" t="s">
        <v>6020</v>
      </c>
      <c r="F558" s="8" t="s">
        <v>6021</v>
      </c>
      <c r="G558" s="8"/>
      <c r="H558" s="8"/>
      <c r="I558" s="7">
        <v>34567.0</v>
      </c>
      <c r="J558" s="8" t="s">
        <v>6022</v>
      </c>
      <c r="K558" s="8" t="s">
        <v>6023</v>
      </c>
      <c r="L558" s="8">
        <v>1994.0</v>
      </c>
      <c r="M558" s="8">
        <v>74.0</v>
      </c>
      <c r="N558" s="8">
        <v>8.0</v>
      </c>
      <c r="O558" s="8">
        <v>710.0</v>
      </c>
      <c r="P558" s="8">
        <v>719.0</v>
      </c>
      <c r="Q558" s="8">
        <v>1994.0</v>
      </c>
      <c r="R558" s="8" t="s">
        <v>2075</v>
      </c>
      <c r="S558" s="8"/>
      <c r="T558" s="8"/>
      <c r="U558" s="8"/>
      <c r="V558" s="8"/>
      <c r="W558" s="8" t="s">
        <v>6024</v>
      </c>
      <c r="X558" s="8"/>
      <c r="Y558" s="8" t="s">
        <v>6025</v>
      </c>
      <c r="Z558" s="8" t="s">
        <v>6026</v>
      </c>
      <c r="AA558" s="8"/>
      <c r="AB558" s="8"/>
      <c r="AC558" s="8"/>
      <c r="AD558" s="8" t="s">
        <v>2080</v>
      </c>
      <c r="AE558" s="8" t="s">
        <v>2080</v>
      </c>
      <c r="AF558" s="8">
        <v>1.994251161E9</v>
      </c>
      <c r="AG558" s="8">
        <v>8047560.0</v>
      </c>
      <c r="AH558" s="8" t="s">
        <v>6027</v>
      </c>
      <c r="AI558" s="8" t="s">
        <v>2055</v>
      </c>
      <c r="AJ558" s="8" t="s">
        <v>6028</v>
      </c>
      <c r="AK558" s="8" t="s">
        <v>6029</v>
      </c>
      <c r="AL558" s="8" t="s">
        <v>6030</v>
      </c>
      <c r="AM558" s="8" t="s">
        <v>2967</v>
      </c>
    </row>
    <row r="559" ht="14.25" customHeight="1">
      <c r="A559" s="8">
        <v>107.0</v>
      </c>
      <c r="B559" s="8" t="s">
        <v>6031</v>
      </c>
      <c r="C559" s="8"/>
      <c r="D559" s="8" t="s">
        <v>6032</v>
      </c>
      <c r="E559" s="8" t="s">
        <v>6033</v>
      </c>
      <c r="F559" s="8" t="s">
        <v>6034</v>
      </c>
      <c r="G559" s="8"/>
      <c r="H559" s="8"/>
      <c r="I559" s="7">
        <v>31478.0</v>
      </c>
      <c r="J559" s="8" t="s">
        <v>6035</v>
      </c>
      <c r="K559" s="8" t="s">
        <v>186</v>
      </c>
      <c r="L559" s="8">
        <v>1985.0</v>
      </c>
      <c r="M559" s="8">
        <v>1.0</v>
      </c>
      <c r="N559" s="8">
        <v>4.0</v>
      </c>
      <c r="O559" s="8">
        <v>264.0</v>
      </c>
      <c r="P559" s="8">
        <v>267.0</v>
      </c>
      <c r="Q559" s="8">
        <v>1985.0</v>
      </c>
      <c r="R559" s="8" t="s">
        <v>2075</v>
      </c>
      <c r="S559" s="8"/>
      <c r="T559" s="8"/>
      <c r="U559" s="8"/>
      <c r="V559" s="8"/>
      <c r="W559" s="8" t="s">
        <v>2821</v>
      </c>
      <c r="X559" s="8"/>
      <c r="Y559" s="8"/>
      <c r="Z559" s="8" t="s">
        <v>6036</v>
      </c>
      <c r="AA559" s="8"/>
      <c r="AB559" s="8"/>
      <c r="AC559" s="8"/>
      <c r="AD559" s="8" t="s">
        <v>2080</v>
      </c>
      <c r="AE559" s="8"/>
      <c r="AF559" s="8">
        <v>1.986040382E9</v>
      </c>
      <c r="AG559" s="8">
        <v>4096777.0</v>
      </c>
      <c r="AH559" s="8" t="s">
        <v>6037</v>
      </c>
      <c r="AI559" s="8" t="s">
        <v>6038</v>
      </c>
      <c r="AJ559" s="8" t="s">
        <v>6039</v>
      </c>
      <c r="AK559" s="8" t="s">
        <v>6040</v>
      </c>
      <c r="AL559" s="8" t="s">
        <v>6041</v>
      </c>
      <c r="AM559" s="8" t="s">
        <v>2967</v>
      </c>
    </row>
    <row r="560" ht="14.25" customHeight="1">
      <c r="A560" s="8">
        <v>108.0</v>
      </c>
      <c r="B560" s="8" t="s">
        <v>2065</v>
      </c>
      <c r="C560" s="8"/>
      <c r="D560" s="8" t="s">
        <v>6042</v>
      </c>
      <c r="E560" s="8" t="s">
        <v>6043</v>
      </c>
      <c r="F560" s="8"/>
      <c r="G560" s="8"/>
      <c r="H560" s="8"/>
      <c r="I560" s="7">
        <v>31433.0</v>
      </c>
      <c r="J560" s="8" t="s">
        <v>6044</v>
      </c>
      <c r="K560" s="8" t="s">
        <v>5961</v>
      </c>
      <c r="L560" s="8">
        <v>1985.0</v>
      </c>
      <c r="M560" s="8">
        <v>198.0</v>
      </c>
      <c r="N560" s="8"/>
      <c r="O560" s="8">
        <v>87.0</v>
      </c>
      <c r="P560" s="8">
        <v>93.0</v>
      </c>
      <c r="Q560" s="8">
        <v>1985.0</v>
      </c>
      <c r="R560" s="8" t="s">
        <v>2075</v>
      </c>
      <c r="S560" s="8"/>
      <c r="T560" s="8"/>
      <c r="U560" s="8"/>
      <c r="V560" s="8"/>
      <c r="W560" s="8" t="s">
        <v>6045</v>
      </c>
      <c r="X560" s="8"/>
      <c r="Y560" s="8"/>
      <c r="Z560" s="8" t="s">
        <v>6046</v>
      </c>
      <c r="AA560" s="8"/>
      <c r="AB560" s="8"/>
      <c r="AC560" s="8"/>
      <c r="AD560" s="8" t="s">
        <v>2080</v>
      </c>
      <c r="AE560" s="8"/>
      <c r="AF560" s="8"/>
      <c r="AG560" s="8">
        <v>3896609.0</v>
      </c>
      <c r="AH560" s="8" t="s">
        <v>6047</v>
      </c>
      <c r="AI560" s="8"/>
      <c r="AJ560" s="8"/>
      <c r="AK560" s="8" t="s">
        <v>6048</v>
      </c>
      <c r="AL560" s="8" t="s">
        <v>6049</v>
      </c>
      <c r="AM560" s="8" t="s">
        <v>2349</v>
      </c>
    </row>
    <row r="561" ht="14.25" customHeight="1">
      <c r="A561" s="8">
        <v>0.0</v>
      </c>
      <c r="B561" s="8" t="s">
        <v>979</v>
      </c>
      <c r="C561" s="8"/>
      <c r="D561" s="8" t="s">
        <v>3473</v>
      </c>
      <c r="E561" s="8" t="s">
        <v>3474</v>
      </c>
      <c r="F561" s="8" t="s">
        <v>3475</v>
      </c>
      <c r="G561" s="8"/>
      <c r="H561" s="7">
        <v>45652.0</v>
      </c>
      <c r="I561" s="7">
        <v>45667.0</v>
      </c>
      <c r="J561" s="8" t="s">
        <v>3476</v>
      </c>
      <c r="K561" s="8" t="s">
        <v>2369</v>
      </c>
      <c r="L561" s="8">
        <v>2025.0</v>
      </c>
      <c r="M561" s="8">
        <v>145.0</v>
      </c>
      <c r="N561" s="8">
        <v>1.0</v>
      </c>
      <c r="O561" s="8"/>
      <c r="P561" s="8"/>
      <c r="Q561" s="9">
        <v>45992.0</v>
      </c>
      <c r="R561" s="8" t="s">
        <v>2075</v>
      </c>
      <c r="S561" s="8"/>
      <c r="T561" s="8"/>
      <c r="U561" s="8"/>
      <c r="V561" s="8"/>
      <c r="W561" s="8" t="s">
        <v>2370</v>
      </c>
      <c r="X561" s="8"/>
      <c r="Y561" s="8" t="s">
        <v>2357</v>
      </c>
      <c r="Z561" s="8" t="s">
        <v>3477</v>
      </c>
      <c r="AA561" s="8"/>
      <c r="AB561" s="8"/>
      <c r="AC561" s="8"/>
      <c r="AD561" s="8" t="s">
        <v>2080</v>
      </c>
      <c r="AE561" s="8" t="s">
        <v>2080</v>
      </c>
      <c r="AF561" s="8"/>
      <c r="AG561" s="8">
        <v>3.9714511E7</v>
      </c>
      <c r="AH561" s="8" t="s">
        <v>3478</v>
      </c>
      <c r="AI561" s="8" t="s">
        <v>984</v>
      </c>
      <c r="AJ561" s="8" t="s">
        <v>3479</v>
      </c>
      <c r="AK561" s="8" t="s">
        <v>3480</v>
      </c>
      <c r="AL561" s="8" t="s">
        <v>3481</v>
      </c>
      <c r="AM561" s="8" t="s">
        <v>2086</v>
      </c>
    </row>
    <row r="562" ht="14.25" customHeight="1">
      <c r="A562" s="8">
        <v>1.0</v>
      </c>
      <c r="B562" s="8" t="s">
        <v>3590</v>
      </c>
      <c r="C562" s="8"/>
      <c r="D562" s="8" t="s">
        <v>3591</v>
      </c>
      <c r="E562" s="8" t="s">
        <v>3592</v>
      </c>
      <c r="F562" s="8" t="s">
        <v>3593</v>
      </c>
      <c r="G562" s="8"/>
      <c r="H562" s="7">
        <v>45730.0</v>
      </c>
      <c r="I562" s="7">
        <v>45803.0</v>
      </c>
      <c r="J562" s="8" t="s">
        <v>3594</v>
      </c>
      <c r="K562" s="8" t="s">
        <v>2594</v>
      </c>
      <c r="L562" s="8">
        <v>2025.0</v>
      </c>
      <c r="M562" s="8">
        <v>49.0</v>
      </c>
      <c r="N562" s="8">
        <v>6.0</v>
      </c>
      <c r="O562" s="8">
        <v>1365.0</v>
      </c>
      <c r="P562" s="8">
        <v>1372.0</v>
      </c>
      <c r="Q562" s="9">
        <v>45809.0</v>
      </c>
      <c r="R562" s="8" t="s">
        <v>2075</v>
      </c>
      <c r="S562" s="8"/>
      <c r="T562" s="8"/>
      <c r="U562" s="8"/>
      <c r="V562" s="8"/>
      <c r="W562" s="8" t="s">
        <v>2595</v>
      </c>
      <c r="X562" s="8"/>
      <c r="Y562" s="8" t="s">
        <v>3595</v>
      </c>
      <c r="Z562" s="8" t="s">
        <v>3596</v>
      </c>
      <c r="AA562" s="8"/>
      <c r="AB562" s="8"/>
      <c r="AC562" s="8"/>
      <c r="AD562" s="8" t="s">
        <v>2080</v>
      </c>
      <c r="AE562" s="8" t="s">
        <v>2080</v>
      </c>
      <c r="AF562" s="8"/>
      <c r="AG562" s="8">
        <v>4.0053066E7</v>
      </c>
      <c r="AH562" s="8" t="s">
        <v>3597</v>
      </c>
      <c r="AI562" s="8" t="s">
        <v>3598</v>
      </c>
      <c r="AJ562" s="8" t="s">
        <v>3599</v>
      </c>
      <c r="AK562" s="8" t="s">
        <v>3600</v>
      </c>
      <c r="AL562" s="8" t="s">
        <v>3601</v>
      </c>
      <c r="AM562" s="8" t="s">
        <v>2086</v>
      </c>
    </row>
    <row r="563" ht="14.25" customHeight="1">
      <c r="A563" s="8">
        <v>2.0</v>
      </c>
      <c r="B563" s="8" t="s">
        <v>3661</v>
      </c>
      <c r="C563" s="8"/>
      <c r="D563" s="8"/>
      <c r="E563" s="8"/>
      <c r="F563" s="8"/>
      <c r="G563" s="8"/>
      <c r="H563" s="7">
        <v>45805.0</v>
      </c>
      <c r="I563" s="7">
        <v>45805.0</v>
      </c>
      <c r="J563" s="8" t="s">
        <v>3662</v>
      </c>
      <c r="K563" s="8" t="s">
        <v>2089</v>
      </c>
      <c r="L563" s="8">
        <v>2025.0</v>
      </c>
      <c r="M563" s="8"/>
      <c r="N563" s="8"/>
      <c r="O563" s="8"/>
      <c r="P563" s="8"/>
      <c r="Q563" s="9">
        <v>45658.0</v>
      </c>
      <c r="R563" s="8" t="s">
        <v>2090</v>
      </c>
      <c r="S563" s="8"/>
      <c r="T563" s="8"/>
      <c r="U563" s="8"/>
      <c r="V563" s="8"/>
      <c r="W563" s="8"/>
      <c r="X563" s="8"/>
      <c r="Y563" s="8" t="s">
        <v>2089</v>
      </c>
      <c r="Z563" s="8" t="s">
        <v>3663</v>
      </c>
      <c r="AA563" s="8"/>
      <c r="AB563" s="8"/>
      <c r="AC563" s="8"/>
      <c r="AD563" s="8" t="s">
        <v>2080</v>
      </c>
      <c r="AE563" s="8" t="s">
        <v>2080</v>
      </c>
      <c r="AF563" s="8"/>
      <c r="AG563" s="8"/>
      <c r="AH563" s="8" t="s">
        <v>3664</v>
      </c>
      <c r="AI563" s="8"/>
      <c r="AJ563" s="8" t="s">
        <v>3665</v>
      </c>
      <c r="AK563" s="8" t="s">
        <v>3666</v>
      </c>
      <c r="AL563" s="8"/>
      <c r="AM563" s="8" t="s">
        <v>2095</v>
      </c>
    </row>
    <row r="564" ht="14.25" customHeight="1">
      <c r="A564" s="8">
        <v>3.0</v>
      </c>
      <c r="B564" s="8" t="s">
        <v>3735</v>
      </c>
      <c r="C564" s="8"/>
      <c r="D564" s="8" t="s">
        <v>3736</v>
      </c>
      <c r="E564" s="8" t="s">
        <v>3737</v>
      </c>
      <c r="F564" s="8" t="s">
        <v>3738</v>
      </c>
      <c r="G564" s="8"/>
      <c r="H564" s="8"/>
      <c r="I564" s="7">
        <v>45685.0</v>
      </c>
      <c r="J564" s="8" t="s">
        <v>3739</v>
      </c>
      <c r="K564" s="8" t="s">
        <v>3740</v>
      </c>
      <c r="L564" s="8">
        <v>2024.0</v>
      </c>
      <c r="M564" s="8">
        <v>18.0</v>
      </c>
      <c r="N564" s="8">
        <v>3.0</v>
      </c>
      <c r="O564" s="8">
        <v>254.0</v>
      </c>
      <c r="P564" s="8">
        <v>259.0</v>
      </c>
      <c r="Q564" s="8">
        <v>2024.0</v>
      </c>
      <c r="R564" s="8" t="s">
        <v>2075</v>
      </c>
      <c r="S564" s="8"/>
      <c r="T564" s="8"/>
      <c r="U564" s="8"/>
      <c r="V564" s="8"/>
      <c r="W564" s="8" t="s">
        <v>3741</v>
      </c>
      <c r="X564" s="8"/>
      <c r="Y564" s="8" t="s">
        <v>3742</v>
      </c>
      <c r="Z564" s="8" t="s">
        <v>3743</v>
      </c>
      <c r="AA564" s="8"/>
      <c r="AB564" s="8"/>
      <c r="AC564" s="8"/>
      <c r="AD564" s="8" t="s">
        <v>2080</v>
      </c>
      <c r="AE564" s="8" t="s">
        <v>2080</v>
      </c>
      <c r="AF564" s="8"/>
      <c r="AG564" s="8"/>
      <c r="AH564" s="8" t="s">
        <v>3744</v>
      </c>
      <c r="AI564" s="8" t="s">
        <v>3745</v>
      </c>
      <c r="AJ564" s="8" t="s">
        <v>3746</v>
      </c>
      <c r="AK564" s="8" t="s">
        <v>3747</v>
      </c>
      <c r="AL564" s="8" t="s">
        <v>3748</v>
      </c>
      <c r="AM564" s="8" t="s">
        <v>2086</v>
      </c>
    </row>
    <row r="565" ht="14.25" customHeight="1">
      <c r="A565" s="8">
        <v>4.0</v>
      </c>
      <c r="B565" s="8" t="s">
        <v>6050</v>
      </c>
      <c r="C565" s="8"/>
      <c r="D565" s="8" t="s">
        <v>6051</v>
      </c>
      <c r="E565" s="8" t="s">
        <v>6052</v>
      </c>
      <c r="F565" s="8" t="s">
        <v>6053</v>
      </c>
      <c r="G565" s="8"/>
      <c r="H565" s="7">
        <v>45643.0</v>
      </c>
      <c r="I565" s="7">
        <v>45646.0</v>
      </c>
      <c r="J565" s="8" t="s">
        <v>6054</v>
      </c>
      <c r="K565" s="8" t="s">
        <v>6055</v>
      </c>
      <c r="L565" s="8">
        <v>2024.0</v>
      </c>
      <c r="M565" s="8">
        <v>6.0</v>
      </c>
      <c r="N565" s="8">
        <v>5.0</v>
      </c>
      <c r="O565" s="8">
        <v>477.0</v>
      </c>
      <c r="P565" s="8">
        <v>481.0</v>
      </c>
      <c r="Q565" s="8">
        <v>2024.0</v>
      </c>
      <c r="R565" s="8" t="s">
        <v>2075</v>
      </c>
      <c r="S565" s="8"/>
      <c r="T565" s="8"/>
      <c r="U565" s="8"/>
      <c r="V565" s="8"/>
      <c r="W565" s="8" t="s">
        <v>6056</v>
      </c>
      <c r="X565" s="8"/>
      <c r="Y565" s="8" t="s">
        <v>6057</v>
      </c>
      <c r="Z565" s="8" t="s">
        <v>6058</v>
      </c>
      <c r="AA565" s="8"/>
      <c r="AB565" s="8"/>
      <c r="AC565" s="8"/>
      <c r="AD565" s="8" t="s">
        <v>2080</v>
      </c>
      <c r="AE565" s="8" t="s">
        <v>2080</v>
      </c>
      <c r="AF565" s="8"/>
      <c r="AG565" s="8"/>
      <c r="AH565" s="8" t="s">
        <v>6059</v>
      </c>
      <c r="AI565" s="8" t="s">
        <v>6060</v>
      </c>
      <c r="AJ565" s="8" t="s">
        <v>6061</v>
      </c>
      <c r="AK565" s="8" t="s">
        <v>6062</v>
      </c>
      <c r="AL565" s="8" t="s">
        <v>6063</v>
      </c>
      <c r="AM565" s="8" t="s">
        <v>3660</v>
      </c>
    </row>
    <row r="566" ht="14.25" customHeight="1">
      <c r="A566" s="8">
        <v>5.0</v>
      </c>
      <c r="B566" s="8" t="s">
        <v>3769</v>
      </c>
      <c r="C566" s="8"/>
      <c r="D566" s="8" t="s">
        <v>3770</v>
      </c>
      <c r="E566" s="8" t="s">
        <v>3771</v>
      </c>
      <c r="F566" s="8" t="s">
        <v>3772</v>
      </c>
      <c r="G566" s="8"/>
      <c r="H566" s="7">
        <v>45285.0</v>
      </c>
      <c r="I566" s="7">
        <v>45295.0</v>
      </c>
      <c r="J566" s="8" t="s">
        <v>3773</v>
      </c>
      <c r="K566" s="8" t="s">
        <v>3774</v>
      </c>
      <c r="L566" s="8">
        <v>2023.0</v>
      </c>
      <c r="M566" s="8">
        <v>8.0</v>
      </c>
      <c r="N566" s="8">
        <v>4.0</v>
      </c>
      <c r="O566" s="8"/>
      <c r="P566" s="8"/>
      <c r="Q566" s="9">
        <v>45266.0</v>
      </c>
      <c r="R566" s="8" t="s">
        <v>2075</v>
      </c>
      <c r="S566" s="8"/>
      <c r="T566" s="8"/>
      <c r="U566" s="8"/>
      <c r="V566" s="8"/>
      <c r="W566" s="8" t="s">
        <v>3775</v>
      </c>
      <c r="X566" s="8"/>
      <c r="Y566" s="8" t="s">
        <v>3776</v>
      </c>
      <c r="Z566" s="8" t="s">
        <v>3777</v>
      </c>
      <c r="AA566" s="8"/>
      <c r="AB566" s="8"/>
      <c r="AC566" s="8"/>
      <c r="AD566" s="8" t="s">
        <v>2080</v>
      </c>
      <c r="AE566" s="8" t="s">
        <v>2080</v>
      </c>
      <c r="AF566" s="8"/>
      <c r="AG566" s="8"/>
      <c r="AH566" s="8" t="s">
        <v>3778</v>
      </c>
      <c r="AI566" s="8" t="s">
        <v>3779</v>
      </c>
      <c r="AJ566" s="8" t="s">
        <v>3780</v>
      </c>
      <c r="AK566" s="8" t="s">
        <v>3781</v>
      </c>
      <c r="AL566" s="8" t="s">
        <v>3782</v>
      </c>
      <c r="AM566" s="8" t="s">
        <v>3660</v>
      </c>
    </row>
    <row r="567" ht="14.25" customHeight="1">
      <c r="A567" s="8">
        <v>6.0</v>
      </c>
      <c r="B567" s="8" t="s">
        <v>3808</v>
      </c>
      <c r="C567" s="8"/>
      <c r="D567" s="8" t="s">
        <v>3809</v>
      </c>
      <c r="E567" s="8" t="s">
        <v>3810</v>
      </c>
      <c r="F567" s="8" t="s">
        <v>3811</v>
      </c>
      <c r="G567" s="8"/>
      <c r="H567" s="7">
        <v>45853.0</v>
      </c>
      <c r="I567" s="8"/>
      <c r="J567" s="8" t="s">
        <v>3812</v>
      </c>
      <c r="K567" s="8" t="s">
        <v>2196</v>
      </c>
      <c r="L567" s="8">
        <v>2023.0</v>
      </c>
      <c r="M567" s="8">
        <v>12.0</v>
      </c>
      <c r="N567" s="8">
        <v>4.0</v>
      </c>
      <c r="O567" s="8">
        <v>2052.0</v>
      </c>
      <c r="P567" s="8">
        <v>2054.0</v>
      </c>
      <c r="Q567" s="9">
        <v>45200.0</v>
      </c>
      <c r="R567" s="8" t="s">
        <v>2075</v>
      </c>
      <c r="S567" s="8"/>
      <c r="T567" s="8"/>
      <c r="U567" s="8"/>
      <c r="V567" s="8"/>
      <c r="W567" s="8" t="s">
        <v>2197</v>
      </c>
      <c r="X567" s="8"/>
      <c r="Y567" s="8" t="s">
        <v>2196</v>
      </c>
      <c r="Z567" s="8" t="s">
        <v>3813</v>
      </c>
      <c r="AA567" s="8"/>
      <c r="AB567" s="8"/>
      <c r="AC567" s="8"/>
      <c r="AD567" s="8" t="s">
        <v>2080</v>
      </c>
      <c r="AE567" s="8" t="s">
        <v>2080</v>
      </c>
      <c r="AF567" s="8"/>
      <c r="AG567" s="8"/>
      <c r="AH567" s="8" t="s">
        <v>3814</v>
      </c>
      <c r="AI567" s="8"/>
      <c r="AJ567" s="8"/>
      <c r="AK567" s="8" t="s">
        <v>3815</v>
      </c>
      <c r="AL567" s="8" t="s">
        <v>3816</v>
      </c>
      <c r="AM567" s="8" t="s">
        <v>2086</v>
      </c>
    </row>
    <row r="568" ht="14.25" customHeight="1">
      <c r="A568" s="8">
        <v>7.0</v>
      </c>
      <c r="B568" s="8" t="s">
        <v>2225</v>
      </c>
      <c r="C568" s="8"/>
      <c r="D568" s="8"/>
      <c r="E568" s="8"/>
      <c r="F568" s="8"/>
      <c r="G568" s="8"/>
      <c r="H568" s="7">
        <v>45811.0</v>
      </c>
      <c r="I568" s="7">
        <v>45811.0</v>
      </c>
      <c r="J568" s="8" t="s">
        <v>2226</v>
      </c>
      <c r="K568" s="8" t="s">
        <v>2089</v>
      </c>
      <c r="L568" s="8">
        <v>2022.0</v>
      </c>
      <c r="M568" s="8"/>
      <c r="N568" s="8"/>
      <c r="O568" s="8"/>
      <c r="P568" s="8"/>
      <c r="Q568" s="9">
        <v>44831.0</v>
      </c>
      <c r="R568" s="8" t="s">
        <v>2090</v>
      </c>
      <c r="S568" s="8"/>
      <c r="T568" s="8"/>
      <c r="U568" s="8"/>
      <c r="V568" s="8"/>
      <c r="W568" s="8"/>
      <c r="X568" s="8"/>
      <c r="Y568" s="8" t="s">
        <v>2089</v>
      </c>
      <c r="Z568" s="8" t="s">
        <v>2227</v>
      </c>
      <c r="AA568" s="8"/>
      <c r="AB568" s="8"/>
      <c r="AC568" s="8"/>
      <c r="AD568" s="8" t="s">
        <v>2080</v>
      </c>
      <c r="AE568" s="8" t="s">
        <v>2080</v>
      </c>
      <c r="AF568" s="8"/>
      <c r="AG568" s="8"/>
      <c r="AH568" s="8" t="s">
        <v>2228</v>
      </c>
      <c r="AI568" s="8"/>
      <c r="AJ568" s="8" t="s">
        <v>2229</v>
      </c>
      <c r="AK568" s="8" t="s">
        <v>2230</v>
      </c>
      <c r="AL568" s="8"/>
      <c r="AM568" s="8" t="s">
        <v>2095</v>
      </c>
    </row>
    <row r="569" ht="14.25" customHeight="1">
      <c r="A569" s="8">
        <v>8.0</v>
      </c>
      <c r="B569" s="8" t="s">
        <v>4049</v>
      </c>
      <c r="C569" s="8"/>
      <c r="D569" s="8" t="s">
        <v>4050</v>
      </c>
      <c r="E569" s="8" t="s">
        <v>4051</v>
      </c>
      <c r="F569" s="8" t="s">
        <v>4052</v>
      </c>
      <c r="G569" s="8"/>
      <c r="H569" s="7">
        <v>44672.0</v>
      </c>
      <c r="I569" s="7">
        <v>44999.0</v>
      </c>
      <c r="J569" s="8" t="s">
        <v>4053</v>
      </c>
      <c r="K569" s="8" t="s">
        <v>4054</v>
      </c>
      <c r="L569" s="8">
        <v>2022.0</v>
      </c>
      <c r="M569" s="8">
        <v>29.0</v>
      </c>
      <c r="N569" s="8">
        <v>1.0</v>
      </c>
      <c r="O569" s="8"/>
      <c r="P569" s="8"/>
      <c r="Q569" s="9">
        <v>44713.0</v>
      </c>
      <c r="R569" s="8" t="s">
        <v>2075</v>
      </c>
      <c r="S569" s="8"/>
      <c r="T569" s="8"/>
      <c r="U569" s="8"/>
      <c r="V569" s="8"/>
      <c r="W569" s="8" t="s">
        <v>4055</v>
      </c>
      <c r="X569" s="8"/>
      <c r="Y569" s="8" t="s">
        <v>4056</v>
      </c>
      <c r="Z569" s="8" t="s">
        <v>4057</v>
      </c>
      <c r="AA569" s="8"/>
      <c r="AB569" s="8"/>
      <c r="AC569" s="8"/>
      <c r="AD569" s="8" t="s">
        <v>2080</v>
      </c>
      <c r="AE569" s="8" t="s">
        <v>2080</v>
      </c>
      <c r="AF569" s="8"/>
      <c r="AG569" s="8"/>
      <c r="AH569" s="8" t="s">
        <v>4058</v>
      </c>
      <c r="AI569" s="8" t="s">
        <v>4059</v>
      </c>
      <c r="AJ569" s="8" t="s">
        <v>4060</v>
      </c>
      <c r="AK569" s="8" t="s">
        <v>4061</v>
      </c>
      <c r="AL569" s="8" t="s">
        <v>4062</v>
      </c>
      <c r="AM569" s="8" t="s">
        <v>2162</v>
      </c>
    </row>
    <row r="570" ht="14.25" customHeight="1">
      <c r="A570" s="8">
        <v>9.0</v>
      </c>
      <c r="B570" s="8" t="s">
        <v>6064</v>
      </c>
      <c r="C570" s="8"/>
      <c r="D570" s="8" t="s">
        <v>6065</v>
      </c>
      <c r="E570" s="8" t="s">
        <v>6066</v>
      </c>
      <c r="F570" s="8" t="s">
        <v>6067</v>
      </c>
      <c r="G570" s="8"/>
      <c r="H570" s="7">
        <v>44676.0</v>
      </c>
      <c r="I570" s="7">
        <v>44690.0</v>
      </c>
      <c r="J570" s="8" t="s">
        <v>6068</v>
      </c>
      <c r="K570" s="8" t="s">
        <v>2101</v>
      </c>
      <c r="L570" s="8">
        <v>2022.0</v>
      </c>
      <c r="M570" s="8">
        <v>10.0</v>
      </c>
      <c r="N570" s="8">
        <v>4.0</v>
      </c>
      <c r="O570" s="8"/>
      <c r="P570" s="8"/>
      <c r="Q570" s="9">
        <v>44659.0</v>
      </c>
      <c r="R570" s="8" t="s">
        <v>2075</v>
      </c>
      <c r="S570" s="8"/>
      <c r="T570" s="8"/>
      <c r="U570" s="8"/>
      <c r="V570" s="8"/>
      <c r="W570" s="8" t="s">
        <v>2102</v>
      </c>
      <c r="X570" s="8"/>
      <c r="Y570" s="8" t="s">
        <v>2103</v>
      </c>
      <c r="Z570" s="8" t="s">
        <v>6069</v>
      </c>
      <c r="AA570" s="8"/>
      <c r="AB570" s="8"/>
      <c r="AC570" s="8"/>
      <c r="AD570" s="8" t="s">
        <v>2080</v>
      </c>
      <c r="AE570" s="8" t="s">
        <v>2080</v>
      </c>
      <c r="AF570" s="8"/>
      <c r="AG570" s="8"/>
      <c r="AH570" s="8" t="s">
        <v>6070</v>
      </c>
      <c r="AI570" s="8" t="s">
        <v>6071</v>
      </c>
      <c r="AJ570" s="8" t="s">
        <v>6072</v>
      </c>
      <c r="AK570" s="8" t="s">
        <v>6073</v>
      </c>
      <c r="AL570" s="8" t="s">
        <v>6074</v>
      </c>
      <c r="AM570" s="8" t="s">
        <v>2249</v>
      </c>
    </row>
    <row r="571" ht="14.25" customHeight="1">
      <c r="A571" s="8">
        <v>10.0</v>
      </c>
      <c r="B571" s="8" t="s">
        <v>1283</v>
      </c>
      <c r="C571" s="8"/>
      <c r="D571" s="8" t="s">
        <v>4562</v>
      </c>
      <c r="E571" s="8" t="s">
        <v>4563</v>
      </c>
      <c r="F571" s="8" t="s">
        <v>4564</v>
      </c>
      <c r="G571" s="8"/>
      <c r="H571" s="7">
        <v>43157.0</v>
      </c>
      <c r="I571" s="7">
        <v>43476.0</v>
      </c>
      <c r="J571" s="8" t="s">
        <v>4565</v>
      </c>
      <c r="K571" s="8" t="s">
        <v>4566</v>
      </c>
      <c r="L571" s="8">
        <v>2018.0</v>
      </c>
      <c r="M571" s="8">
        <v>31.0</v>
      </c>
      <c r="N571" s="8">
        <v>10.0</v>
      </c>
      <c r="O571" s="8">
        <v>1022.0</v>
      </c>
      <c r="P571" s="8">
        <v>1030.0</v>
      </c>
      <c r="Q571" s="8">
        <v>2018.0</v>
      </c>
      <c r="R571" s="8" t="s">
        <v>2075</v>
      </c>
      <c r="S571" s="8"/>
      <c r="T571" s="8"/>
      <c r="U571" s="8"/>
      <c r="V571" s="8"/>
      <c r="W571" s="8" t="s">
        <v>4567</v>
      </c>
      <c r="X571" s="8"/>
      <c r="Y571" s="8" t="s">
        <v>4568</v>
      </c>
      <c r="Z571" s="8" t="s">
        <v>4569</v>
      </c>
      <c r="AA571" s="8"/>
      <c r="AB571" s="8"/>
      <c r="AC571" s="8"/>
      <c r="AD571" s="8" t="s">
        <v>2080</v>
      </c>
      <c r="AE571" s="8" t="s">
        <v>2080</v>
      </c>
      <c r="AF571" s="8">
        <v>2.0180121878E10</v>
      </c>
      <c r="AG571" s="8">
        <v>2.9421837E7</v>
      </c>
      <c r="AH571" s="8" t="s">
        <v>4570</v>
      </c>
      <c r="AI571" s="8" t="s">
        <v>1287</v>
      </c>
      <c r="AJ571" s="8" t="s">
        <v>4571</v>
      </c>
      <c r="AK571" s="8" t="s">
        <v>4572</v>
      </c>
      <c r="AL571" s="8" t="s">
        <v>4573</v>
      </c>
      <c r="AM571" s="8" t="s">
        <v>2504</v>
      </c>
    </row>
    <row r="572" ht="14.25" customHeight="1">
      <c r="A572" s="8">
        <v>0.0</v>
      </c>
      <c r="B572" s="8" t="s">
        <v>2350</v>
      </c>
      <c r="C572" s="8"/>
      <c r="D572" s="8" t="s">
        <v>2351</v>
      </c>
      <c r="E572" s="8" t="s">
        <v>2352</v>
      </c>
      <c r="F572" s="8" t="s">
        <v>2353</v>
      </c>
      <c r="G572" s="8"/>
      <c r="H572" s="7">
        <v>44117.0</v>
      </c>
      <c r="I572" s="7">
        <v>44322.0</v>
      </c>
      <c r="J572" s="8" t="s">
        <v>2354</v>
      </c>
      <c r="K572" s="8" t="s">
        <v>2355</v>
      </c>
      <c r="L572" s="8">
        <v>2020.0</v>
      </c>
      <c r="M572" s="8">
        <v>7.0</v>
      </c>
      <c r="N572" s="8">
        <v>1.0</v>
      </c>
      <c r="O572" s="8"/>
      <c r="P572" s="8"/>
      <c r="Q572" s="9">
        <v>44166.0</v>
      </c>
      <c r="R572" s="8" t="s">
        <v>2075</v>
      </c>
      <c r="S572" s="8"/>
      <c r="T572" s="8"/>
      <c r="U572" s="8"/>
      <c r="V572" s="8"/>
      <c r="W572" s="8" t="s">
        <v>2356</v>
      </c>
      <c r="X572" s="8"/>
      <c r="Y572" s="8" t="s">
        <v>2357</v>
      </c>
      <c r="Z572" s="8" t="s">
        <v>2358</v>
      </c>
      <c r="AA572" s="8" t="s">
        <v>2359</v>
      </c>
      <c r="AB572" s="8"/>
      <c r="AC572" s="8"/>
      <c r="AD572" s="8" t="s">
        <v>2080</v>
      </c>
      <c r="AE572" s="8" t="s">
        <v>2080</v>
      </c>
      <c r="AF572" s="8"/>
      <c r="AG572" s="8"/>
      <c r="AH572" s="8" t="s">
        <v>2360</v>
      </c>
      <c r="AI572" s="8" t="s">
        <v>2361</v>
      </c>
      <c r="AJ572" s="8" t="s">
        <v>2362</v>
      </c>
      <c r="AK572" s="8" t="s">
        <v>2363</v>
      </c>
      <c r="AL572" s="8" t="s">
        <v>2364</v>
      </c>
      <c r="AM572" s="8" t="s">
        <v>2349</v>
      </c>
    </row>
    <row r="573" ht="14.25" customHeight="1">
      <c r="A573" s="8">
        <v>1.0</v>
      </c>
      <c r="B573" s="8" t="s">
        <v>6075</v>
      </c>
      <c r="C573" s="8"/>
      <c r="D573" s="8" t="s">
        <v>6076</v>
      </c>
      <c r="E573" s="8" t="s">
        <v>6077</v>
      </c>
      <c r="F573" s="8"/>
      <c r="G573" s="8"/>
      <c r="H573" s="8"/>
      <c r="I573" s="7">
        <v>42888.0</v>
      </c>
      <c r="J573" s="8" t="s">
        <v>6078</v>
      </c>
      <c r="K573" s="8" t="s">
        <v>6079</v>
      </c>
      <c r="L573" s="8">
        <v>2016.0</v>
      </c>
      <c r="M573" s="8">
        <v>82.0</v>
      </c>
      <c r="N573" s="8">
        <v>2.0</v>
      </c>
      <c r="O573" s="8">
        <v>358.0</v>
      </c>
      <c r="P573" s="8">
        <v>364.0</v>
      </c>
      <c r="Q573" s="9">
        <v>42583.0</v>
      </c>
      <c r="R573" s="8" t="s">
        <v>2075</v>
      </c>
      <c r="S573" s="8"/>
      <c r="T573" s="8"/>
      <c r="U573" s="8"/>
      <c r="V573" s="8"/>
      <c r="W573" s="8" t="s">
        <v>6080</v>
      </c>
      <c r="X573" s="8"/>
      <c r="Y573" s="8"/>
      <c r="Z573" s="8" t="s">
        <v>6081</v>
      </c>
      <c r="AA573" s="8"/>
      <c r="AB573" s="8"/>
      <c r="AC573" s="8"/>
      <c r="AD573" s="8" t="s">
        <v>2080</v>
      </c>
      <c r="AE573" s="8" t="s">
        <v>2080</v>
      </c>
      <c r="AF573" s="8"/>
      <c r="AG573" s="8">
        <v>2.76823E7</v>
      </c>
      <c r="AH573" s="8" t="s">
        <v>6082</v>
      </c>
      <c r="AI573" s="8"/>
      <c r="AJ573" s="8"/>
      <c r="AK573" s="8" t="s">
        <v>6083</v>
      </c>
      <c r="AL573" s="8" t="s">
        <v>6084</v>
      </c>
      <c r="AM573" s="8" t="s">
        <v>2612</v>
      </c>
    </row>
    <row r="574" ht="14.25" customHeight="1">
      <c r="A574" s="8">
        <v>2.0</v>
      </c>
      <c r="B574" s="8" t="s">
        <v>6085</v>
      </c>
      <c r="C574" s="8"/>
      <c r="D574" s="8" t="s">
        <v>6086</v>
      </c>
      <c r="E574" s="8" t="s">
        <v>6087</v>
      </c>
      <c r="F574" s="8" t="s">
        <v>6088</v>
      </c>
      <c r="G574" s="8"/>
      <c r="H574" s="7">
        <v>41325.0</v>
      </c>
      <c r="I574" s="7">
        <v>44707.0</v>
      </c>
      <c r="J574" s="8" t="s">
        <v>6089</v>
      </c>
      <c r="K574" s="8" t="s">
        <v>3145</v>
      </c>
      <c r="L574" s="8">
        <v>2013.0</v>
      </c>
      <c r="M574" s="8">
        <v>95.0</v>
      </c>
      <c r="N574" s="8">
        <v>2.0</v>
      </c>
      <c r="O574" s="8">
        <v>103.0</v>
      </c>
      <c r="P574" s="8">
        <v>108.0</v>
      </c>
      <c r="Q574" s="9">
        <v>41290.0</v>
      </c>
      <c r="R574" s="8" t="s">
        <v>2075</v>
      </c>
      <c r="S574" s="8"/>
      <c r="T574" s="8"/>
      <c r="U574" s="8"/>
      <c r="V574" s="8"/>
      <c r="W574" s="8" t="s">
        <v>2448</v>
      </c>
      <c r="X574" s="8"/>
      <c r="Y574" s="8" t="s">
        <v>3147</v>
      </c>
      <c r="Z574" s="8" t="s">
        <v>6090</v>
      </c>
      <c r="AA574" s="8"/>
      <c r="AB574" s="8"/>
      <c r="AC574" s="8"/>
      <c r="AD574" s="8" t="s">
        <v>2080</v>
      </c>
      <c r="AE574" s="8" t="s">
        <v>2080</v>
      </c>
      <c r="AF574" s="8"/>
      <c r="AG574" s="8">
        <v>2.3324957E7</v>
      </c>
      <c r="AH574" s="8" t="s">
        <v>6091</v>
      </c>
      <c r="AI574" s="8" t="s">
        <v>6092</v>
      </c>
      <c r="AJ574" s="8" t="s">
        <v>6093</v>
      </c>
      <c r="AK574" s="8" t="s">
        <v>6094</v>
      </c>
      <c r="AL574" s="8" t="s">
        <v>6095</v>
      </c>
      <c r="AM574" s="8" t="s">
        <v>2249</v>
      </c>
    </row>
    <row r="575" ht="14.25" customHeight="1">
      <c r="A575" s="8">
        <v>3.0</v>
      </c>
      <c r="B575" s="8" t="s">
        <v>5119</v>
      </c>
      <c r="C575" s="8"/>
      <c r="D575" s="8"/>
      <c r="E575" s="8"/>
      <c r="F575" s="8"/>
      <c r="G575" s="8"/>
      <c r="H575" s="7">
        <v>45804.0</v>
      </c>
      <c r="I575" s="7">
        <v>45804.0</v>
      </c>
      <c r="J575" s="8" t="s">
        <v>5120</v>
      </c>
      <c r="K575" s="8" t="s">
        <v>2089</v>
      </c>
      <c r="L575" s="8">
        <v>2012.0</v>
      </c>
      <c r="M575" s="8"/>
      <c r="N575" s="8"/>
      <c r="O575" s="8"/>
      <c r="P575" s="8"/>
      <c r="Q575" s="9">
        <v>41082.0</v>
      </c>
      <c r="R575" s="8" t="s">
        <v>2090</v>
      </c>
      <c r="S575" s="8"/>
      <c r="T575" s="8"/>
      <c r="U575" s="8"/>
      <c r="V575" s="8"/>
      <c r="W575" s="8"/>
      <c r="X575" s="8"/>
      <c r="Y575" s="8" t="s">
        <v>2089</v>
      </c>
      <c r="Z575" s="8" t="s">
        <v>5121</v>
      </c>
      <c r="AA575" s="8"/>
      <c r="AB575" s="8"/>
      <c r="AC575" s="8"/>
      <c r="AD575" s="8" t="s">
        <v>2080</v>
      </c>
      <c r="AE575" s="8" t="s">
        <v>2080</v>
      </c>
      <c r="AF575" s="8"/>
      <c r="AG575" s="8"/>
      <c r="AH575" s="8" t="s">
        <v>5122</v>
      </c>
      <c r="AI575" s="8"/>
      <c r="AJ575" s="8" t="s">
        <v>5123</v>
      </c>
      <c r="AK575" s="8" t="s">
        <v>5124</v>
      </c>
      <c r="AL575" s="8"/>
      <c r="AM575" s="8" t="s">
        <v>2095</v>
      </c>
    </row>
    <row r="576" ht="14.25" customHeight="1">
      <c r="A576" s="8">
        <v>4.0</v>
      </c>
      <c r="B576" s="8" t="s">
        <v>3065</v>
      </c>
      <c r="C576" s="8"/>
      <c r="D576" s="8"/>
      <c r="E576" s="8"/>
      <c r="F576" s="8"/>
      <c r="G576" s="8"/>
      <c r="H576" s="7">
        <v>45791.0</v>
      </c>
      <c r="I576" s="7">
        <v>45791.0</v>
      </c>
      <c r="J576" s="8" t="s">
        <v>3066</v>
      </c>
      <c r="K576" s="8" t="s">
        <v>2089</v>
      </c>
      <c r="L576" s="8">
        <v>2005.0</v>
      </c>
      <c r="M576" s="8"/>
      <c r="N576" s="8"/>
      <c r="O576" s="8"/>
      <c r="P576" s="8"/>
      <c r="Q576" s="9">
        <v>38608.0</v>
      </c>
      <c r="R576" s="8" t="s">
        <v>2090</v>
      </c>
      <c r="S576" s="8"/>
      <c r="T576" s="8"/>
      <c r="U576" s="8"/>
      <c r="V576" s="8"/>
      <c r="W576" s="8"/>
      <c r="X576" s="8"/>
      <c r="Y576" s="8" t="s">
        <v>2089</v>
      </c>
      <c r="Z576" s="8" t="s">
        <v>3067</v>
      </c>
      <c r="AA576" s="8"/>
      <c r="AB576" s="8"/>
      <c r="AC576" s="8"/>
      <c r="AD576" s="8" t="s">
        <v>2080</v>
      </c>
      <c r="AE576" s="8" t="s">
        <v>2080</v>
      </c>
      <c r="AF576" s="8"/>
      <c r="AG576" s="8"/>
      <c r="AH576" s="8" t="s">
        <v>3068</v>
      </c>
      <c r="AI576" s="8"/>
      <c r="AJ576" s="8" t="s">
        <v>3069</v>
      </c>
      <c r="AK576" s="8" t="s">
        <v>3070</v>
      </c>
      <c r="AL576" s="8"/>
      <c r="AM576" s="8" t="s">
        <v>2095</v>
      </c>
    </row>
    <row r="577" ht="14.25" customHeight="1">
      <c r="A577" s="8">
        <v>0.0</v>
      </c>
      <c r="B577" s="8" t="s">
        <v>1314</v>
      </c>
      <c r="C577" s="8"/>
      <c r="D577" s="8" t="s">
        <v>4694</v>
      </c>
      <c r="E577" s="8" t="s">
        <v>4695</v>
      </c>
      <c r="F577" s="8" t="s">
        <v>4696</v>
      </c>
      <c r="G577" s="8"/>
      <c r="H577" s="7">
        <v>42723.0</v>
      </c>
      <c r="I577" s="7">
        <v>42746.0</v>
      </c>
      <c r="J577" s="8" t="s">
        <v>4697</v>
      </c>
      <c r="K577" s="8" t="s">
        <v>180</v>
      </c>
      <c r="L577" s="8">
        <v>2016.0</v>
      </c>
      <c r="M577" s="8">
        <v>23.0</v>
      </c>
      <c r="N577" s="8">
        <v>6.0</v>
      </c>
      <c r="O577" s="8">
        <v>1112.0</v>
      </c>
      <c r="P577" s="8">
        <v>1120.0</v>
      </c>
      <c r="Q577" s="9">
        <v>42705.0</v>
      </c>
      <c r="R577" s="8" t="s">
        <v>2075</v>
      </c>
      <c r="S577" s="8"/>
      <c r="T577" s="8"/>
      <c r="U577" s="8"/>
      <c r="V577" s="8"/>
      <c r="W577" s="8" t="s">
        <v>2254</v>
      </c>
      <c r="X577" s="8"/>
      <c r="Y577" s="8" t="s">
        <v>2255</v>
      </c>
      <c r="Z577" s="8" t="s">
        <v>4698</v>
      </c>
      <c r="AA577" s="8"/>
      <c r="AB577" s="8"/>
      <c r="AC577" s="8" t="s">
        <v>4699</v>
      </c>
      <c r="AD577" s="8" t="s">
        <v>2080</v>
      </c>
      <c r="AE577" s="8" t="s">
        <v>2080</v>
      </c>
      <c r="AF577" s="8">
        <v>2.0160908639E10</v>
      </c>
      <c r="AG577" s="8">
        <v>2.7876265E7</v>
      </c>
      <c r="AH577" s="8" t="s">
        <v>4700</v>
      </c>
      <c r="AI577" s="8" t="s">
        <v>1318</v>
      </c>
      <c r="AJ577" s="8" t="s">
        <v>4701</v>
      </c>
      <c r="AK577" s="8" t="s">
        <v>4702</v>
      </c>
      <c r="AL577" s="8" t="s">
        <v>4703</v>
      </c>
      <c r="AM577" s="8" t="s">
        <v>2572</v>
      </c>
    </row>
    <row r="578" ht="14.25" customHeight="1">
      <c r="A578" s="8">
        <v>1.0</v>
      </c>
      <c r="B578" s="8" t="s">
        <v>4880</v>
      </c>
      <c r="C578" s="8"/>
      <c r="D578" s="8" t="s">
        <v>4881</v>
      </c>
      <c r="E578" s="8" t="s">
        <v>4882</v>
      </c>
      <c r="F578" s="8" t="s">
        <v>4883</v>
      </c>
      <c r="G578" s="8"/>
      <c r="H578" s="7">
        <v>42276.0</v>
      </c>
      <c r="I578" s="7">
        <v>42278.0</v>
      </c>
      <c r="J578" s="8" t="s">
        <v>4884</v>
      </c>
      <c r="K578" s="8" t="s">
        <v>4777</v>
      </c>
      <c r="L578" s="8">
        <v>2014.0</v>
      </c>
      <c r="M578" s="8">
        <v>18.0</v>
      </c>
      <c r="N578" s="8">
        <v>51.0</v>
      </c>
      <c r="O578" s="8">
        <v>8320.0</v>
      </c>
      <c r="P578" s="8">
        <v>8324.0</v>
      </c>
      <c r="Q578" s="9">
        <v>41983.0</v>
      </c>
      <c r="R578" s="8" t="s">
        <v>2075</v>
      </c>
      <c r="S578" s="8"/>
      <c r="T578" s="8"/>
      <c r="U578" s="8"/>
      <c r="V578" s="8"/>
      <c r="W578" s="8" t="s">
        <v>4778</v>
      </c>
      <c r="X578" s="8"/>
      <c r="Y578" s="8" t="s">
        <v>4779</v>
      </c>
      <c r="Z578" s="8" t="s">
        <v>4885</v>
      </c>
      <c r="AA578" s="8"/>
      <c r="AB578" s="8"/>
      <c r="AC578" s="8"/>
      <c r="AD578" s="8" t="s">
        <v>3695</v>
      </c>
      <c r="AE578" s="8" t="s">
        <v>4781</v>
      </c>
      <c r="AF578" s="8">
        <v>2.015399103E9</v>
      </c>
      <c r="AG578" s="8"/>
      <c r="AH578" s="8" t="s">
        <v>4886</v>
      </c>
      <c r="AI578" s="8" t="s">
        <v>4887</v>
      </c>
      <c r="AJ578" s="8" t="s">
        <v>4888</v>
      </c>
      <c r="AK578" s="8" t="s">
        <v>4889</v>
      </c>
      <c r="AL578" s="8" t="s">
        <v>4890</v>
      </c>
      <c r="AM578" s="8" t="s">
        <v>2603</v>
      </c>
    </row>
    <row r="579" ht="14.25" customHeight="1">
      <c r="A579" s="8">
        <v>2.0</v>
      </c>
      <c r="B579" s="8" t="s">
        <v>4982</v>
      </c>
      <c r="C579" s="8"/>
      <c r="D579" s="8" t="s">
        <v>4983</v>
      </c>
      <c r="E579" s="8" t="s">
        <v>4984</v>
      </c>
      <c r="F579" s="8"/>
      <c r="G579" s="8"/>
      <c r="H579" s="7">
        <v>42615.0</v>
      </c>
      <c r="I579" s="7">
        <v>42621.0</v>
      </c>
      <c r="J579" s="8" t="s">
        <v>4985</v>
      </c>
      <c r="K579" s="8" t="s">
        <v>2101</v>
      </c>
      <c r="L579" s="8">
        <v>2014.0</v>
      </c>
      <c r="M579" s="8">
        <v>2.0</v>
      </c>
      <c r="N579" s="8">
        <v>11.0</v>
      </c>
      <c r="O579" s="8"/>
      <c r="P579" s="8"/>
      <c r="Q579" s="8">
        <v>2014.0</v>
      </c>
      <c r="R579" s="8" t="s">
        <v>2075</v>
      </c>
      <c r="S579" s="8"/>
      <c r="T579" s="8"/>
      <c r="U579" s="8"/>
      <c r="V579" s="8"/>
      <c r="W579" s="8" t="s">
        <v>2102</v>
      </c>
      <c r="X579" s="8"/>
      <c r="Y579" s="8" t="s">
        <v>2497</v>
      </c>
      <c r="Z579" s="8" t="s">
        <v>4986</v>
      </c>
      <c r="AA579" s="8"/>
      <c r="AB579" s="8"/>
      <c r="AC579" s="8"/>
      <c r="AD579" s="8" t="s">
        <v>2080</v>
      </c>
      <c r="AE579" s="8" t="s">
        <v>2080</v>
      </c>
      <c r="AF579" s="8">
        <v>2.0160626932E10</v>
      </c>
      <c r="AG579" s="8"/>
      <c r="AH579" s="8" t="s">
        <v>4987</v>
      </c>
      <c r="AI579" s="8" t="s">
        <v>4988</v>
      </c>
      <c r="AJ579" s="8" t="s">
        <v>4989</v>
      </c>
      <c r="AK579" s="8" t="s">
        <v>4990</v>
      </c>
      <c r="AL579" s="8" t="s">
        <v>4991</v>
      </c>
      <c r="AM579" s="8" t="s">
        <v>2603</v>
      </c>
    </row>
    <row r="580" ht="14.2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row>
    <row r="581" ht="14.2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row>
    <row r="582" ht="14.2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row>
    <row r="583" ht="14.2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row>
    <row r="584" ht="14.2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row>
    <row r="585" ht="14.2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row>
    <row r="586" ht="14.2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row>
    <row r="587" ht="14.2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row>
    <row r="588" ht="14.2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row>
    <row r="589" ht="14.2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row>
    <row r="590" ht="14.2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row>
    <row r="591" ht="14.2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row>
    <row r="592" ht="14.2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row>
    <row r="593" ht="14.2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row>
    <row r="594" ht="14.2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row>
    <row r="595" ht="14.2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row>
    <row r="596" ht="14.2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row>
    <row r="597" ht="14.2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row>
    <row r="598" ht="14.2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row>
    <row r="599" ht="14.2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row>
    <row r="600" ht="14.2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row>
    <row r="601" ht="14.2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row>
    <row r="602" ht="14.2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row>
    <row r="603" ht="14.2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row>
    <row r="604" ht="14.2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row>
    <row r="605" ht="14.2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row>
    <row r="606" ht="14.2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row>
    <row r="607" ht="14.2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row>
    <row r="608" ht="14.2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row>
    <row r="609" ht="14.2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row>
    <row r="610" ht="14.2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row>
    <row r="611" ht="14.2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row>
    <row r="612" ht="14.2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row>
    <row r="613" ht="14.2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row>
    <row r="614" ht="14.2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row>
    <row r="615" ht="14.2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row>
    <row r="616" ht="14.2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row>
    <row r="617" ht="14.2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row>
    <row r="618" ht="14.2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row>
    <row r="619" ht="14.2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row>
    <row r="620" ht="14.2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row>
    <row r="621" ht="14.2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row>
    <row r="622" ht="14.2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row>
    <row r="623" ht="14.2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row>
    <row r="624" ht="14.2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row>
    <row r="625" ht="14.2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row>
    <row r="626" ht="14.2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row>
    <row r="627" ht="14.2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row>
    <row r="628" ht="14.2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row>
    <row r="629" ht="14.2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row>
    <row r="630" ht="14.2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row>
    <row r="631" ht="14.2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row>
    <row r="632" ht="14.2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row>
    <row r="633" ht="14.2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row>
    <row r="634" ht="14.2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row>
    <row r="635" ht="14.2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row>
    <row r="636" ht="14.2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row>
    <row r="637" ht="14.2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row>
    <row r="638" ht="14.2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row>
    <row r="639" ht="14.2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row>
    <row r="640" ht="14.2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row>
    <row r="641" ht="14.2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row>
    <row r="642" ht="14.2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row>
    <row r="643" ht="14.2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row>
    <row r="644" ht="14.2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row>
    <row r="645" ht="14.2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row>
    <row r="646" ht="14.2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row>
    <row r="647" ht="14.2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row>
    <row r="648" ht="14.2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row>
    <row r="649" ht="14.2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row>
    <row r="650" ht="14.2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row>
    <row r="651" ht="14.2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row>
    <row r="652" ht="14.2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row>
    <row r="653" ht="14.2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row>
    <row r="654" ht="14.2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row>
    <row r="655" ht="14.2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row>
    <row r="656" ht="14.2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row>
    <row r="657" ht="14.2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row>
    <row r="658" ht="14.2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row>
    <row r="659" ht="14.2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row>
    <row r="660" ht="14.2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row>
    <row r="661" ht="14.2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row>
    <row r="662" ht="14.2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row>
    <row r="663" ht="14.2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row>
    <row r="664" ht="14.2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row>
    <row r="665" ht="14.2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row>
    <row r="666" ht="14.2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row>
    <row r="667" ht="14.2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row>
    <row r="668" ht="14.2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row>
    <row r="669" ht="14.2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row>
    <row r="670" ht="14.2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row>
    <row r="671" ht="14.2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row>
    <row r="672" ht="14.2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row>
    <row r="673" ht="14.2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row>
    <row r="674" ht="14.2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row>
    <row r="675" ht="14.2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row>
    <row r="676" ht="14.2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row>
    <row r="677" ht="14.2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row>
    <row r="678" ht="14.2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row>
    <row r="679" ht="14.2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row>
    <row r="680" ht="14.2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row>
    <row r="681" ht="14.2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row>
    <row r="682" ht="14.2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row>
    <row r="683" ht="14.2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row>
    <row r="684" ht="14.2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row>
    <row r="685" ht="14.2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row>
    <row r="686" ht="14.2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row>
    <row r="687" ht="14.2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row>
    <row r="688" ht="14.2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row>
    <row r="689" ht="14.2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row>
    <row r="690" ht="14.2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row>
    <row r="691" ht="14.2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row>
    <row r="692" ht="14.2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row>
    <row r="693" ht="14.2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row>
    <row r="694" ht="14.2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row>
    <row r="695" ht="14.2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row>
    <row r="696" ht="14.2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row>
    <row r="697" ht="14.2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row>
    <row r="698" ht="14.2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row>
    <row r="699" ht="14.2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row>
    <row r="700" ht="14.2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row>
    <row r="701" ht="14.2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row>
    <row r="702" ht="14.2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row>
    <row r="703" ht="14.2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row>
    <row r="704" ht="14.2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row>
    <row r="705" ht="14.2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row>
    <row r="706" ht="14.2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row>
    <row r="707" ht="14.2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row>
    <row r="708" ht="14.2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row>
    <row r="709" ht="14.2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row>
    <row r="710" ht="14.2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row>
    <row r="711" ht="14.2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row>
    <row r="712" ht="14.2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row>
    <row r="713" ht="14.2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row>
    <row r="714" ht="14.2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row>
    <row r="715" ht="14.2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row>
    <row r="716" ht="14.2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row>
    <row r="717" ht="14.2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row>
    <row r="718" ht="14.2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row>
    <row r="719" ht="14.2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row>
    <row r="720" ht="14.2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row>
    <row r="721" ht="14.2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row>
    <row r="722" ht="14.2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row>
    <row r="723" ht="14.2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row>
    <row r="724" ht="14.2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row>
    <row r="725" ht="14.2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row>
    <row r="726" ht="14.2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row>
    <row r="727" ht="14.2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row>
    <row r="728" ht="14.2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row>
    <row r="729" ht="14.2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row>
    <row r="730" ht="14.2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row>
    <row r="731" ht="14.2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row>
    <row r="732" ht="14.2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row>
    <row r="733" ht="14.2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row>
    <row r="734" ht="14.2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row>
    <row r="735" ht="14.2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row>
    <row r="736" ht="14.2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row>
    <row r="737" ht="14.2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row>
    <row r="738" ht="14.2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row>
    <row r="739" ht="14.2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row>
    <row r="740" ht="14.2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row>
    <row r="741" ht="14.2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row>
    <row r="742" ht="14.2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row>
    <row r="743" ht="14.2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row>
    <row r="744" ht="14.2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row>
    <row r="745" ht="14.2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row>
    <row r="746" ht="14.2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row>
    <row r="747" ht="14.2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row>
    <row r="748" ht="14.2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row>
    <row r="749" ht="14.2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row>
    <row r="750" ht="14.2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row>
    <row r="751" ht="14.2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row>
    <row r="752" ht="14.2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row>
    <row r="753" ht="14.2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row>
    <row r="754" ht="14.2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row>
    <row r="755" ht="14.2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row>
    <row r="756" ht="14.2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row>
    <row r="757" ht="14.2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row>
    <row r="758" ht="14.2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row>
    <row r="759" ht="14.2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row>
    <row r="760" ht="14.2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row>
    <row r="761" ht="14.2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row>
    <row r="762" ht="14.2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row>
    <row r="763" ht="14.2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row>
    <row r="764" ht="14.2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row>
    <row r="765" ht="14.2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row>
    <row r="766" ht="14.2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row>
    <row r="767" ht="14.2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row>
    <row r="768" ht="14.2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row>
    <row r="769" ht="14.2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row>
    <row r="770" ht="14.2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row>
    <row r="771" ht="14.2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row>
    <row r="772" ht="14.2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row>
    <row r="773" ht="14.2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row>
    <row r="774" ht="14.2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row>
    <row r="775" ht="14.2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row>
    <row r="776" ht="14.2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row>
    <row r="777" ht="14.2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row>
    <row r="778" ht="14.2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row>
    <row r="779" ht="14.2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row>
    <row r="780" ht="14.2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row>
    <row r="781" ht="14.2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row>
    <row r="782" ht="14.2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row>
    <row r="783" ht="14.2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row>
    <row r="784" ht="14.2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row>
    <row r="785" ht="14.2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row>
    <row r="786" ht="14.2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row>
    <row r="787" ht="14.2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row>
    <row r="788" ht="14.2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row>
    <row r="789" ht="14.2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row>
    <row r="790" ht="14.2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row>
    <row r="791" ht="14.2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row>
    <row r="792" ht="14.2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row>
    <row r="793" ht="14.2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row>
    <row r="794" ht="14.2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row>
    <row r="795" ht="14.2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row>
    <row r="796" ht="14.2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row>
    <row r="797" ht="14.2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row>
    <row r="798" ht="14.2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row>
    <row r="799" ht="14.2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row>
    <row r="800" ht="14.2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row>
    <row r="801" ht="14.2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row>
    <row r="802" ht="14.2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row>
    <row r="803" ht="14.2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row>
    <row r="804" ht="14.2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row>
    <row r="805" ht="14.2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row>
    <row r="806" ht="14.2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row>
    <row r="807" ht="14.2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row>
    <row r="808" ht="14.2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row>
    <row r="809" ht="14.2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row>
    <row r="810" ht="14.2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row>
    <row r="811" ht="14.2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row>
    <row r="812" ht="14.2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row>
    <row r="813" ht="14.2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row>
    <row r="814" ht="14.2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row>
    <row r="815" ht="14.2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row>
    <row r="816" ht="14.2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row>
    <row r="817" ht="14.2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row>
    <row r="818" ht="14.2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row>
    <row r="819" ht="14.2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row>
    <row r="820" ht="14.2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row>
    <row r="821" ht="14.2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row>
    <row r="822" ht="14.2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row>
    <row r="823" ht="14.2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row>
    <row r="824" ht="14.2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row>
    <row r="825" ht="14.2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row>
    <row r="826" ht="14.2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row>
    <row r="827" ht="14.2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row>
    <row r="828" ht="14.2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row>
    <row r="829" ht="14.2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row>
    <row r="830" ht="14.2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row>
    <row r="831" ht="14.2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row>
    <row r="832" ht="14.2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row>
    <row r="833" ht="14.2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row>
    <row r="834" ht="14.2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row>
    <row r="835" ht="14.2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row>
    <row r="836" ht="14.2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row>
    <row r="837" ht="14.2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row>
    <row r="838" ht="14.2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row>
    <row r="839" ht="14.2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row>
    <row r="840" ht="14.2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row>
    <row r="841" ht="14.2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row>
    <row r="842" ht="14.2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row>
    <row r="843" ht="14.2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row>
    <row r="844" ht="14.2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row>
    <row r="845" ht="14.2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row>
    <row r="846" ht="14.2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row>
    <row r="847" ht="14.2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row>
    <row r="848" ht="14.2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row>
    <row r="849" ht="14.2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row>
    <row r="850" ht="14.2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row>
    <row r="851" ht="14.2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row>
    <row r="852" ht="14.2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row>
    <row r="853" ht="14.2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row>
    <row r="854" ht="14.2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row>
    <row r="855" ht="14.2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row>
    <row r="856" ht="14.2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row>
    <row r="857" ht="14.2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row>
    <row r="858" ht="14.2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row>
    <row r="859" ht="14.2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row>
    <row r="860" ht="14.2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row>
    <row r="861" ht="14.2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row>
    <row r="862" ht="14.2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row>
    <row r="863" ht="14.2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row>
    <row r="864" ht="14.2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row>
    <row r="865" ht="14.2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row>
    <row r="866" ht="14.2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row>
    <row r="867" ht="14.2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row>
    <row r="868" ht="14.2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row>
    <row r="869" ht="14.2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row>
    <row r="870" ht="14.2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row>
    <row r="871" ht="14.2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row>
    <row r="872" ht="14.2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row>
    <row r="873" ht="14.2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row>
    <row r="874" ht="14.2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row>
    <row r="875" ht="14.2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row>
    <row r="876" ht="14.2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row>
    <row r="877" ht="14.2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row>
    <row r="878" ht="14.2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row>
    <row r="879" ht="14.2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row>
    <row r="880" ht="14.2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row>
    <row r="881" ht="14.2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row>
    <row r="882" ht="14.2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row>
    <row r="883" ht="14.2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row>
    <row r="884" ht="14.2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row>
    <row r="885" ht="14.2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row>
    <row r="886" ht="14.2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row>
    <row r="887" ht="14.2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row>
    <row r="888" ht="14.2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row>
    <row r="889" ht="14.2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row>
    <row r="890" ht="14.2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row>
    <row r="891" ht="14.2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row>
    <row r="892" ht="14.2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row>
    <row r="893" ht="14.2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row>
    <row r="894" ht="14.2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row>
    <row r="895" ht="14.2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row>
    <row r="896" ht="14.2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row>
    <row r="897" ht="14.2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row>
    <row r="898" ht="14.2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row>
    <row r="899" ht="14.2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row>
    <row r="900" ht="14.2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row>
    <row r="901" ht="14.2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row>
    <row r="902" ht="14.2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row>
    <row r="903" ht="14.2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row>
    <row r="904" ht="14.2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row>
    <row r="905" ht="14.2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row>
    <row r="906" ht="14.2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row>
    <row r="907" ht="14.2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row>
    <row r="908" ht="14.2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row>
    <row r="909" ht="14.2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row>
    <row r="910" ht="14.2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row>
    <row r="911" ht="14.2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row>
    <row r="912" ht="14.2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row>
    <row r="913" ht="14.2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row>
    <row r="914" ht="14.2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row>
    <row r="915" ht="14.2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row>
    <row r="916" ht="14.2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row>
    <row r="917" ht="14.2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row>
    <row r="918" ht="14.2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row>
    <row r="919" ht="14.2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row>
    <row r="920" ht="14.2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row>
    <row r="921" ht="14.2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row>
    <row r="922" ht="14.2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row>
    <row r="923" ht="14.2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row>
    <row r="924" ht="14.2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row>
    <row r="925" ht="14.2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row>
    <row r="926" ht="14.2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row>
    <row r="927" ht="14.2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row>
    <row r="928" ht="14.2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row>
    <row r="929" ht="14.2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row>
    <row r="930" ht="14.2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row>
    <row r="931" ht="14.2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row>
    <row r="932" ht="14.2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row>
    <row r="933" ht="14.2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row>
    <row r="934" ht="14.2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row>
    <row r="935" ht="14.2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row>
    <row r="936" ht="14.2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row>
    <row r="937" ht="14.2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row>
    <row r="938" ht="14.2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row>
    <row r="939" ht="14.2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row>
    <row r="940" ht="14.2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row>
    <row r="941" ht="14.2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row>
    <row r="942" ht="14.2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row>
    <row r="943" ht="14.2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row>
    <row r="944" ht="14.2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row>
    <row r="945" ht="14.2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row>
    <row r="946" ht="14.2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row>
    <row r="947" ht="14.2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row>
    <row r="948" ht="14.2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row>
    <row r="949" ht="14.2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row>
    <row r="950" ht="14.2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row>
    <row r="951" ht="14.2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row>
    <row r="952" ht="14.2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row>
    <row r="953" ht="14.2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row>
    <row r="954" ht="14.2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row>
    <row r="955" ht="14.2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row>
    <row r="956" ht="14.2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row>
    <row r="957" ht="14.2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row>
    <row r="958" ht="14.2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row>
    <row r="959" ht="14.2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row>
    <row r="960" ht="14.2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row>
    <row r="961" ht="14.2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row>
    <row r="962" ht="14.2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row>
    <row r="963" ht="14.2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row>
    <row r="964" ht="14.2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row>
    <row r="965" ht="14.2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row>
    <row r="966" ht="14.2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row>
    <row r="967" ht="14.2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row>
    <row r="968" ht="14.2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row>
    <row r="969" ht="14.2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row>
    <row r="970" ht="14.2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row>
    <row r="971" ht="14.2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row>
    <row r="972" ht="14.2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row>
    <row r="973" ht="14.2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row>
    <row r="974" ht="14.2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row>
    <row r="975" ht="14.2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row>
    <row r="976" ht="14.2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row>
    <row r="977" ht="14.2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row>
    <row r="978" ht="14.2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row>
    <row r="979" ht="14.2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row>
    <row r="980" ht="14.2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row>
    <row r="981" ht="14.2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row>
    <row r="982" ht="14.2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row>
    <row r="983" ht="14.2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row>
    <row r="984" ht="14.2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row>
    <row r="985" ht="14.2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row>
    <row r="986" ht="14.2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row>
    <row r="987" ht="14.2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row>
    <row r="988" ht="14.2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row>
    <row r="989" ht="14.2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row>
    <row r="990" ht="14.2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row>
    <row r="991" ht="14.2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row>
    <row r="992" ht="14.2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row>
    <row r="993" ht="14.2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row>
    <row r="994" ht="14.2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row>
    <row r="995" ht="14.2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row>
    <row r="996" ht="14.2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row>
    <row r="997" ht="14.2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row>
    <row r="998" ht="14.2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row>
    <row r="999" ht="14.2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row>
    <row r="1000" ht="14.2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2" width="8.71"/>
  </cols>
  <sheetData>
    <row r="1" ht="14.25" customHeight="1">
      <c r="A1" s="3" t="s">
        <v>7</v>
      </c>
      <c r="B1" s="3" t="s">
        <v>15</v>
      </c>
      <c r="C1" s="3" t="s">
        <v>19</v>
      </c>
      <c r="D1" s="3" t="s">
        <v>22</v>
      </c>
      <c r="E1" s="3" t="s">
        <v>27</v>
      </c>
      <c r="F1" s="3" t="s">
        <v>33</v>
      </c>
      <c r="G1" s="3" t="s">
        <v>40</v>
      </c>
      <c r="H1" s="3" t="s">
        <v>44</v>
      </c>
      <c r="I1" s="3" t="s">
        <v>23</v>
      </c>
      <c r="J1" s="3" t="s">
        <v>36</v>
      </c>
      <c r="K1" s="3" t="s">
        <v>55</v>
      </c>
      <c r="L1" s="3" t="s">
        <v>58</v>
      </c>
      <c r="M1" s="3" t="s">
        <v>62</v>
      </c>
      <c r="N1" s="3" t="s">
        <v>65</v>
      </c>
      <c r="O1" s="3" t="s">
        <v>68</v>
      </c>
      <c r="P1" s="3" t="s">
        <v>71</v>
      </c>
      <c r="Q1" s="3" t="s">
        <v>74</v>
      </c>
      <c r="R1" s="3" t="s">
        <v>76</v>
      </c>
      <c r="S1" s="3" t="s">
        <v>79</v>
      </c>
      <c r="T1" s="3" t="s">
        <v>81</v>
      </c>
      <c r="U1" s="3" t="s">
        <v>83</v>
      </c>
      <c r="V1" s="3" t="s">
        <v>86</v>
      </c>
      <c r="W1" s="3" t="s">
        <v>89</v>
      </c>
      <c r="X1" s="3" t="s">
        <v>92</v>
      </c>
      <c r="Y1" s="3" t="s">
        <v>95</v>
      </c>
      <c r="Z1" s="3" t="s">
        <v>97</v>
      </c>
      <c r="AA1" s="3" t="s">
        <v>100</v>
      </c>
      <c r="AB1" s="3" t="s">
        <v>103</v>
      </c>
      <c r="AC1" s="3" t="s">
        <v>106</v>
      </c>
      <c r="AD1" s="3" t="s">
        <v>109</v>
      </c>
      <c r="AE1" s="3" t="s">
        <v>112</v>
      </c>
      <c r="AF1" s="3" t="s">
        <v>115</v>
      </c>
      <c r="AG1" s="3" t="s">
        <v>118</v>
      </c>
      <c r="AH1" s="3" t="s">
        <v>121</v>
      </c>
      <c r="AI1" s="3" t="s">
        <v>123</v>
      </c>
      <c r="AJ1" s="3" t="s">
        <v>126</v>
      </c>
      <c r="AK1" s="3" t="s">
        <v>129</v>
      </c>
      <c r="AL1" s="3" t="s">
        <v>132</v>
      </c>
      <c r="AM1" s="3" t="s">
        <v>135</v>
      </c>
      <c r="AN1" s="3" t="s">
        <v>136</v>
      </c>
      <c r="AO1" s="3" t="s">
        <v>88</v>
      </c>
      <c r="AP1" s="3" t="s">
        <v>137</v>
      </c>
      <c r="AQ1" s="3" t="s">
        <v>91</v>
      </c>
      <c r="AR1" s="3" t="s">
        <v>138</v>
      </c>
      <c r="AS1" s="3" t="s">
        <v>139</v>
      </c>
      <c r="AT1" s="3" t="s">
        <v>140</v>
      </c>
      <c r="AU1" s="3" t="s">
        <v>29</v>
      </c>
      <c r="AV1" s="3" t="s">
        <v>61</v>
      </c>
      <c r="AW1" s="3" t="s">
        <v>64</v>
      </c>
      <c r="AX1" s="3" t="s">
        <v>141</v>
      </c>
      <c r="AY1" s="3" t="s">
        <v>142</v>
      </c>
      <c r="AZ1" s="3" t="s">
        <v>143</v>
      </c>
      <c r="BA1" s="3" t="s">
        <v>144</v>
      </c>
      <c r="BB1" s="3" t="s">
        <v>145</v>
      </c>
      <c r="BC1" s="3" t="s">
        <v>146</v>
      </c>
      <c r="BD1" s="3" t="s">
        <v>147</v>
      </c>
      <c r="BE1" s="3" t="s">
        <v>16</v>
      </c>
      <c r="BF1" s="3" t="s">
        <v>148</v>
      </c>
      <c r="BG1" s="3" t="s">
        <v>149</v>
      </c>
      <c r="BH1" s="3" t="s">
        <v>150</v>
      </c>
      <c r="BI1" s="3" t="s">
        <v>151</v>
      </c>
      <c r="BJ1" s="3" t="s">
        <v>152</v>
      </c>
      <c r="BK1" s="3" t="s">
        <v>153</v>
      </c>
      <c r="BL1" s="3" t="s">
        <v>154</v>
      </c>
      <c r="BM1" s="3" t="s">
        <v>155</v>
      </c>
      <c r="BN1" s="3" t="s">
        <v>156</v>
      </c>
      <c r="BO1" s="3" t="s">
        <v>157</v>
      </c>
      <c r="BP1" s="3" t="s">
        <v>158</v>
      </c>
      <c r="BQ1" s="3" t="s">
        <v>159</v>
      </c>
      <c r="BR1" s="3" t="s">
        <v>160</v>
      </c>
      <c r="BS1" s="3" t="s">
        <v>161</v>
      </c>
      <c r="BT1" s="3" t="s">
        <v>162</v>
      </c>
    </row>
    <row r="2" ht="14.25" customHeight="1">
      <c r="A2" s="3" t="s">
        <v>50</v>
      </c>
      <c r="B2" s="3" t="s">
        <v>6096</v>
      </c>
      <c r="F2" s="3" t="s">
        <v>6097</v>
      </c>
      <c r="I2" s="3" t="s">
        <v>1495</v>
      </c>
      <c r="J2" s="3" t="s">
        <v>6098</v>
      </c>
      <c r="V2" s="3" t="s">
        <v>6099</v>
      </c>
      <c r="AT2" s="3" t="s">
        <v>6100</v>
      </c>
      <c r="AU2" s="3">
        <v>2014.0</v>
      </c>
      <c r="AV2" s="3">
        <v>22.0</v>
      </c>
      <c r="AW2" s="3">
        <v>1.0</v>
      </c>
      <c r="BB2" s="3">
        <v>166.0</v>
      </c>
      <c r="BC2" s="3">
        <v>173.0</v>
      </c>
      <c r="BE2" s="3" t="s">
        <v>1499</v>
      </c>
      <c r="BF2" s="3" t="s">
        <v>4924</v>
      </c>
      <c r="BN2" s="3">
        <v>2.3242378E7</v>
      </c>
      <c r="BS2" s="3" t="s">
        <v>6101</v>
      </c>
      <c r="BT2" s="3" t="s">
        <v>6102</v>
      </c>
    </row>
    <row r="3" ht="14.25" customHeight="1">
      <c r="A3" s="3" t="s">
        <v>50</v>
      </c>
      <c r="B3" s="3" t="s">
        <v>6103</v>
      </c>
      <c r="F3" s="3" t="s">
        <v>6104</v>
      </c>
      <c r="I3" s="3" t="s">
        <v>216</v>
      </c>
      <c r="J3" s="3" t="s">
        <v>6105</v>
      </c>
      <c r="V3" s="3" t="s">
        <v>6106</v>
      </c>
      <c r="AT3" s="3" t="s">
        <v>6107</v>
      </c>
      <c r="AU3" s="3">
        <v>2020.0</v>
      </c>
      <c r="AV3" s="3">
        <v>36.0</v>
      </c>
      <c r="AW3" s="3">
        <v>6.0</v>
      </c>
      <c r="BB3" s="3">
        <v>1629.0</v>
      </c>
      <c r="BC3" s="3">
        <v>1646.0</v>
      </c>
      <c r="BE3" s="3" t="s">
        <v>220</v>
      </c>
      <c r="BF3" s="3" t="s">
        <v>2402</v>
      </c>
      <c r="BN3" s="3">
        <v>3.2059954E7</v>
      </c>
      <c r="BS3" s="3" t="s">
        <v>6108</v>
      </c>
      <c r="BT3" s="3" t="s">
        <v>6102</v>
      </c>
    </row>
    <row r="4" ht="14.25" customHeight="1">
      <c r="A4" s="3" t="s">
        <v>50</v>
      </c>
      <c r="B4" s="3" t="s">
        <v>6109</v>
      </c>
      <c r="F4" s="3" t="s">
        <v>6110</v>
      </c>
      <c r="I4" s="3" t="s">
        <v>6111</v>
      </c>
      <c r="J4" s="3" t="s">
        <v>6112</v>
      </c>
      <c r="V4" s="3" t="s">
        <v>6113</v>
      </c>
      <c r="AT4" s="10">
        <v>46385.0</v>
      </c>
      <c r="AU4" s="3">
        <v>2018.0</v>
      </c>
      <c r="AV4" s="3">
        <v>13.0</v>
      </c>
      <c r="BD4" s="3">
        <v>327.0</v>
      </c>
      <c r="BE4" s="3" t="s">
        <v>6114</v>
      </c>
      <c r="BF4" s="3" t="s">
        <v>6115</v>
      </c>
      <c r="BN4" s="3">
        <v>3.0594226E7</v>
      </c>
      <c r="BS4" s="3" t="s">
        <v>6116</v>
      </c>
      <c r="BT4" s="3" t="s">
        <v>6102</v>
      </c>
    </row>
    <row r="5" ht="14.25" customHeight="1">
      <c r="A5" s="3" t="s">
        <v>50</v>
      </c>
      <c r="B5" s="3" t="s">
        <v>6117</v>
      </c>
      <c r="F5" s="3" t="s">
        <v>6118</v>
      </c>
      <c r="I5" s="3" t="s">
        <v>6119</v>
      </c>
      <c r="J5" s="3" t="s">
        <v>6105</v>
      </c>
      <c r="V5" s="3" t="s">
        <v>6120</v>
      </c>
      <c r="AT5" s="3" t="s">
        <v>6121</v>
      </c>
      <c r="AU5" s="3">
        <v>2014.0</v>
      </c>
      <c r="AV5" s="3">
        <v>30.0</v>
      </c>
      <c r="AW5" s="3">
        <v>5.0</v>
      </c>
      <c r="BB5" s="3">
        <v>593.0</v>
      </c>
      <c r="BC5" s="3">
        <v>598.0</v>
      </c>
      <c r="BE5" s="3" t="s">
        <v>355</v>
      </c>
      <c r="BF5" s="3" t="s">
        <v>2723</v>
      </c>
      <c r="BN5" s="3">
        <v>2.4630956E7</v>
      </c>
      <c r="BS5" s="3" t="s">
        <v>6122</v>
      </c>
      <c r="BT5" s="3" t="s">
        <v>6102</v>
      </c>
    </row>
    <row r="6" ht="14.25" customHeight="1">
      <c r="A6" s="3" t="s">
        <v>50</v>
      </c>
      <c r="B6" s="3" t="s">
        <v>6123</v>
      </c>
      <c r="F6" s="3" t="s">
        <v>6124</v>
      </c>
      <c r="I6" s="3" t="s">
        <v>6125</v>
      </c>
      <c r="J6" s="3" t="s">
        <v>6105</v>
      </c>
      <c r="V6" s="3" t="s">
        <v>6126</v>
      </c>
      <c r="AT6" s="3" t="s">
        <v>6107</v>
      </c>
      <c r="AU6" s="3">
        <v>2022.0</v>
      </c>
      <c r="AV6" s="3">
        <v>38.0</v>
      </c>
      <c r="AW6" s="3">
        <v>6.0</v>
      </c>
      <c r="BB6" s="3">
        <v>1969.0</v>
      </c>
      <c r="BC6" s="3">
        <v>1977.0</v>
      </c>
      <c r="BE6" s="3" t="s">
        <v>187</v>
      </c>
      <c r="BF6" s="3" t="s">
        <v>2246</v>
      </c>
      <c r="BH6" s="10">
        <v>46195.0</v>
      </c>
      <c r="BN6" s="3">
        <v>3.4952186E7</v>
      </c>
      <c r="BS6" s="3" t="s">
        <v>6127</v>
      </c>
      <c r="BT6" s="3" t="s">
        <v>6102</v>
      </c>
    </row>
    <row r="7" ht="14.25" customHeight="1">
      <c r="A7" s="3" t="s">
        <v>50</v>
      </c>
      <c r="B7" s="3" t="s">
        <v>6128</v>
      </c>
      <c r="F7" s="3" t="s">
        <v>6129</v>
      </c>
      <c r="I7" s="3" t="s">
        <v>314</v>
      </c>
      <c r="J7" s="3" t="s">
        <v>6130</v>
      </c>
      <c r="V7" s="3" t="s">
        <v>6131</v>
      </c>
      <c r="AT7" s="3" t="s">
        <v>6132</v>
      </c>
      <c r="AU7" s="3">
        <v>2015.0</v>
      </c>
      <c r="AV7" s="3">
        <v>25.0</v>
      </c>
      <c r="AW7" s="3">
        <v>4.0</v>
      </c>
      <c r="BB7" s="3">
        <v>321.0</v>
      </c>
      <c r="BC7" s="3">
        <v>331.0</v>
      </c>
      <c r="BE7" s="3" t="s">
        <v>317</v>
      </c>
      <c r="BF7" s="3" t="s">
        <v>2667</v>
      </c>
      <c r="BN7" s="3">
        <v>2.5514139E7</v>
      </c>
      <c r="BS7" s="3" t="s">
        <v>6133</v>
      </c>
      <c r="BT7" s="3" t="s">
        <v>6102</v>
      </c>
    </row>
    <row r="8" ht="14.25" customHeight="1">
      <c r="A8" s="3" t="s">
        <v>50</v>
      </c>
      <c r="B8" s="3" t="s">
        <v>6134</v>
      </c>
      <c r="F8" s="3" t="s">
        <v>6135</v>
      </c>
      <c r="I8" s="3" t="s">
        <v>6136</v>
      </c>
      <c r="J8" s="3" t="s">
        <v>6137</v>
      </c>
      <c r="V8" s="3" t="s">
        <v>6138</v>
      </c>
      <c r="AT8" s="3" t="s">
        <v>6139</v>
      </c>
      <c r="AU8" s="3">
        <v>2008.0</v>
      </c>
      <c r="AV8" s="3">
        <v>36.0</v>
      </c>
      <c r="AW8" s="3">
        <v>4.0</v>
      </c>
      <c r="BB8" s="3">
        <v>656.0</v>
      </c>
      <c r="BC8" s="3">
        <v>662.0</v>
      </c>
      <c r="BE8" s="3" t="s">
        <v>1712</v>
      </c>
      <c r="BF8" s="3" t="s">
        <v>5418</v>
      </c>
      <c r="BN8" s="3">
        <v>1.8212347E7</v>
      </c>
      <c r="BS8" s="3" t="s">
        <v>6140</v>
      </c>
      <c r="BT8" s="3" t="s">
        <v>6102</v>
      </c>
    </row>
    <row r="9" ht="14.25" customHeight="1">
      <c r="A9" s="3" t="s">
        <v>50</v>
      </c>
      <c r="B9" s="3" t="s">
        <v>6141</v>
      </c>
      <c r="F9" s="3" t="s">
        <v>6142</v>
      </c>
      <c r="I9" s="3" t="s">
        <v>6143</v>
      </c>
      <c r="J9" s="3" t="s">
        <v>6137</v>
      </c>
      <c r="V9" s="3" t="s">
        <v>6144</v>
      </c>
      <c r="AT9" s="3" t="s">
        <v>6145</v>
      </c>
      <c r="AU9" s="3">
        <v>2022.0</v>
      </c>
      <c r="AV9" s="3">
        <v>50.0</v>
      </c>
      <c r="AW9" s="3">
        <v>13.0</v>
      </c>
      <c r="BB9" s="3">
        <v>3477.0</v>
      </c>
      <c r="BC9" s="3">
        <v>3486.0</v>
      </c>
      <c r="BE9" s="3" t="s">
        <v>6146</v>
      </c>
      <c r="BF9" s="3" t="s">
        <v>6147</v>
      </c>
      <c r="BH9" s="10">
        <v>46317.0</v>
      </c>
      <c r="BN9" s="3">
        <v>3.6269582E7</v>
      </c>
      <c r="BS9" s="3" t="s">
        <v>6148</v>
      </c>
      <c r="BT9" s="3" t="s">
        <v>6102</v>
      </c>
    </row>
    <row r="10" ht="14.25" customHeight="1">
      <c r="A10" s="3" t="s">
        <v>50</v>
      </c>
      <c r="B10" s="3" t="s">
        <v>6149</v>
      </c>
      <c r="F10" s="3" t="s">
        <v>6150</v>
      </c>
      <c r="I10" s="3" t="s">
        <v>6151</v>
      </c>
      <c r="J10" s="3" t="s">
        <v>6137</v>
      </c>
      <c r="V10" s="3" t="s">
        <v>6152</v>
      </c>
      <c r="AT10" s="3" t="s">
        <v>6153</v>
      </c>
      <c r="AU10" s="3">
        <v>2008.0</v>
      </c>
      <c r="AV10" s="3">
        <v>36.0</v>
      </c>
      <c r="AW10" s="3">
        <v>2.0</v>
      </c>
      <c r="BB10" s="3">
        <v>290.0</v>
      </c>
      <c r="BC10" s="3">
        <v>297.0</v>
      </c>
      <c r="BE10" s="3" t="s">
        <v>1739</v>
      </c>
      <c r="BF10" s="3" t="s">
        <v>5469</v>
      </c>
      <c r="BN10" s="3">
        <v>1.7940145E7</v>
      </c>
      <c r="BS10" s="3" t="s">
        <v>6154</v>
      </c>
      <c r="BT10" s="3" t="s">
        <v>6102</v>
      </c>
    </row>
    <row r="11" ht="14.25" customHeight="1">
      <c r="A11" s="3" t="s">
        <v>50</v>
      </c>
      <c r="B11" s="3" t="s">
        <v>6155</v>
      </c>
      <c r="F11" s="3" t="s">
        <v>6155</v>
      </c>
      <c r="I11" s="3" t="s">
        <v>6156</v>
      </c>
      <c r="J11" s="3" t="s">
        <v>6137</v>
      </c>
      <c r="V11" s="3" t="s">
        <v>6157</v>
      </c>
      <c r="AT11" s="3" t="s">
        <v>6158</v>
      </c>
      <c r="AU11" s="3">
        <v>2003.0</v>
      </c>
      <c r="AV11" s="3">
        <v>31.0</v>
      </c>
      <c r="AW11" s="3">
        <v>1.0</v>
      </c>
      <c r="BB11" s="3">
        <v>19.0</v>
      </c>
      <c r="BC11" s="3">
        <v>25.0</v>
      </c>
      <c r="BE11" s="3" t="s">
        <v>689</v>
      </c>
      <c r="BF11" s="3" t="s">
        <v>6159</v>
      </c>
      <c r="BN11" s="3">
        <v>1.2531752E7</v>
      </c>
      <c r="BS11" s="3" t="s">
        <v>6160</v>
      </c>
      <c r="BT11" s="3" t="s">
        <v>6102</v>
      </c>
    </row>
    <row r="12" ht="14.25" customHeight="1">
      <c r="A12" s="3" t="s">
        <v>50</v>
      </c>
      <c r="B12" s="3" t="s">
        <v>6161</v>
      </c>
      <c r="F12" s="3" t="s">
        <v>6162</v>
      </c>
      <c r="I12" s="3" t="s">
        <v>6163</v>
      </c>
      <c r="J12" s="3" t="s">
        <v>6137</v>
      </c>
      <c r="V12" s="3" t="s">
        <v>6164</v>
      </c>
      <c r="AT12" s="3" t="s">
        <v>6165</v>
      </c>
      <c r="AU12" s="3">
        <v>2011.0</v>
      </c>
      <c r="AV12" s="3">
        <v>39.0</v>
      </c>
      <c r="AW12" s="3">
        <v>10.0</v>
      </c>
      <c r="BB12" s="3">
        <v>2161.0</v>
      </c>
      <c r="BC12" s="3">
        <v>2169.0</v>
      </c>
      <c r="BE12" s="3" t="s">
        <v>406</v>
      </c>
      <c r="BF12" s="3" t="s">
        <v>6166</v>
      </c>
      <c r="BN12" s="3">
        <v>2.1712483E7</v>
      </c>
      <c r="BS12" s="3" t="s">
        <v>6167</v>
      </c>
      <c r="BT12" s="3" t="s">
        <v>6102</v>
      </c>
    </row>
    <row r="13" ht="14.25" customHeight="1">
      <c r="A13" s="3" t="s">
        <v>50</v>
      </c>
      <c r="B13" s="3" t="s">
        <v>6168</v>
      </c>
      <c r="F13" s="3" t="s">
        <v>6169</v>
      </c>
      <c r="I13" s="3" t="s">
        <v>6170</v>
      </c>
      <c r="J13" s="3" t="s">
        <v>6105</v>
      </c>
      <c r="V13" s="3" t="s">
        <v>6171</v>
      </c>
      <c r="AT13" s="3" t="s">
        <v>6100</v>
      </c>
      <c r="AU13" s="3">
        <v>2015.0</v>
      </c>
      <c r="AV13" s="3">
        <v>31.0</v>
      </c>
      <c r="AW13" s="3">
        <v>1.0</v>
      </c>
      <c r="BB13" s="3">
        <v>69.0</v>
      </c>
      <c r="BC13" s="3">
        <v>76.0</v>
      </c>
      <c r="BE13" s="3" t="s">
        <v>1411</v>
      </c>
      <c r="BF13" s="3" t="s">
        <v>4855</v>
      </c>
      <c r="BN13" s="3">
        <v>2.5242512E7</v>
      </c>
      <c r="BS13" s="3" t="s">
        <v>6172</v>
      </c>
      <c r="BT13" s="3" t="s">
        <v>6102</v>
      </c>
    </row>
    <row r="14" ht="14.25" customHeight="1">
      <c r="A14" s="3" t="s">
        <v>50</v>
      </c>
      <c r="B14" s="3" t="s">
        <v>6173</v>
      </c>
      <c r="F14" s="3" t="s">
        <v>6174</v>
      </c>
      <c r="I14" s="3" t="s">
        <v>6175</v>
      </c>
      <c r="J14" s="3" t="s">
        <v>6137</v>
      </c>
      <c r="V14" s="3" t="s">
        <v>6176</v>
      </c>
      <c r="AT14" s="3" t="s">
        <v>6177</v>
      </c>
      <c r="AU14" s="3">
        <v>2012.0</v>
      </c>
      <c r="AV14" s="3">
        <v>40.0</v>
      </c>
      <c r="AW14" s="3">
        <v>8.0</v>
      </c>
      <c r="BB14" s="3">
        <v>1772.0</v>
      </c>
      <c r="BC14" s="3">
        <v>1780.0</v>
      </c>
      <c r="BE14" s="3" t="s">
        <v>1524</v>
      </c>
      <c r="BF14" s="3" t="s">
        <v>6178</v>
      </c>
      <c r="BN14" s="3">
        <v>2.2713551E7</v>
      </c>
      <c r="BS14" s="3" t="s">
        <v>6179</v>
      </c>
      <c r="BT14" s="3" t="s">
        <v>6102</v>
      </c>
    </row>
    <row r="15" ht="14.25" customHeight="1">
      <c r="A15" s="3" t="s">
        <v>50</v>
      </c>
      <c r="B15" s="3" t="s">
        <v>6180</v>
      </c>
      <c r="F15" s="3" t="s">
        <v>6180</v>
      </c>
      <c r="I15" s="3" t="s">
        <v>638</v>
      </c>
      <c r="J15" s="3" t="s">
        <v>6137</v>
      </c>
      <c r="V15" s="3" t="s">
        <v>6181</v>
      </c>
      <c r="AT15" s="3" t="s">
        <v>6100</v>
      </c>
      <c r="AU15" s="3">
        <v>2005.0</v>
      </c>
      <c r="AV15" s="3">
        <v>33.0</v>
      </c>
      <c r="AW15" s="3">
        <v>1.0</v>
      </c>
      <c r="BB15" s="3">
        <v>94.0</v>
      </c>
      <c r="BC15" s="3">
        <v>101.0</v>
      </c>
      <c r="BE15" s="3" t="s">
        <v>642</v>
      </c>
      <c r="BF15" s="3" t="s">
        <v>3119</v>
      </c>
      <c r="BN15" s="3">
        <v>1.5611004E7</v>
      </c>
      <c r="BS15" s="3" t="s">
        <v>6182</v>
      </c>
      <c r="BT15" s="3" t="s">
        <v>6102</v>
      </c>
    </row>
    <row r="16" ht="14.25" customHeight="1">
      <c r="A16" s="3" t="s">
        <v>50</v>
      </c>
      <c r="B16" s="3" t="s">
        <v>6183</v>
      </c>
      <c r="F16" s="3" t="s">
        <v>6183</v>
      </c>
      <c r="I16" s="3" t="s">
        <v>598</v>
      </c>
      <c r="J16" s="3" t="s">
        <v>6137</v>
      </c>
      <c r="V16" s="3" t="s">
        <v>6184</v>
      </c>
      <c r="AT16" s="3" t="s">
        <v>6153</v>
      </c>
      <c r="AU16" s="3">
        <v>2006.0</v>
      </c>
      <c r="AV16" s="3">
        <v>34.0</v>
      </c>
      <c r="AW16" s="3">
        <v>2.0</v>
      </c>
      <c r="BB16" s="3">
        <v>213.0</v>
      </c>
      <c r="BC16" s="3">
        <v>219.0</v>
      </c>
      <c r="BE16" s="3" t="s">
        <v>602</v>
      </c>
      <c r="BF16" s="3" t="s">
        <v>3036</v>
      </c>
      <c r="BN16" s="3">
        <v>1.6282583E7</v>
      </c>
      <c r="BS16" s="3" t="s">
        <v>6185</v>
      </c>
      <c r="BT16" s="3" t="s">
        <v>6102</v>
      </c>
    </row>
    <row r="17" ht="14.25" customHeight="1">
      <c r="A17" s="3" t="s">
        <v>50</v>
      </c>
      <c r="B17" s="3" t="s">
        <v>6186</v>
      </c>
      <c r="F17" s="3" t="s">
        <v>6186</v>
      </c>
      <c r="I17" s="3" t="s">
        <v>6187</v>
      </c>
      <c r="J17" s="3" t="s">
        <v>6188</v>
      </c>
      <c r="V17" s="3" t="s">
        <v>6189</v>
      </c>
      <c r="AT17" s="3" t="s">
        <v>6139</v>
      </c>
      <c r="AU17" s="3">
        <v>2002.0</v>
      </c>
      <c r="AV17" s="3" t="s">
        <v>6190</v>
      </c>
      <c r="AW17" s="3">
        <v>3.0</v>
      </c>
      <c r="BB17" s="3">
        <v>356.0</v>
      </c>
      <c r="BC17" s="3">
        <v>360.0</v>
      </c>
      <c r="BE17" s="3" t="s">
        <v>3206</v>
      </c>
      <c r="BF17" s="3" t="s">
        <v>3207</v>
      </c>
      <c r="BN17" s="3">
        <v>1.2002492E7</v>
      </c>
      <c r="BS17" s="3" t="s">
        <v>6191</v>
      </c>
      <c r="BT17" s="3" t="s">
        <v>6102</v>
      </c>
    </row>
    <row r="18" ht="14.25" customHeight="1">
      <c r="A18" s="3" t="s">
        <v>50</v>
      </c>
      <c r="B18" s="3" t="s">
        <v>6192</v>
      </c>
      <c r="F18" s="3" t="s">
        <v>6192</v>
      </c>
      <c r="I18" s="3" t="s">
        <v>6193</v>
      </c>
      <c r="J18" s="3" t="s">
        <v>6137</v>
      </c>
      <c r="V18" s="3" t="s">
        <v>6194</v>
      </c>
      <c r="AT18" s="3" t="s">
        <v>6132</v>
      </c>
      <c r="AU18" s="3">
        <v>2006.0</v>
      </c>
      <c r="AV18" s="3">
        <v>34.0</v>
      </c>
      <c r="AW18" s="3">
        <v>7.0</v>
      </c>
      <c r="BB18" s="3">
        <v>1134.0</v>
      </c>
      <c r="BC18" s="3">
        <v>1140.0</v>
      </c>
      <c r="BE18" s="3" t="s">
        <v>587</v>
      </c>
      <c r="BF18" s="3" t="s">
        <v>3027</v>
      </c>
      <c r="BN18" s="3">
        <v>1.6452264E7</v>
      </c>
      <c r="BS18" s="3" t="s">
        <v>6195</v>
      </c>
      <c r="BT18" s="3" t="s">
        <v>6102</v>
      </c>
    </row>
    <row r="19" ht="14.25" customHeight="1">
      <c r="A19" s="3" t="s">
        <v>50</v>
      </c>
      <c r="B19" s="3" t="s">
        <v>6196</v>
      </c>
      <c r="F19" s="3" t="s">
        <v>6197</v>
      </c>
      <c r="I19" s="3" t="s">
        <v>6198</v>
      </c>
      <c r="J19" s="3" t="s">
        <v>6137</v>
      </c>
      <c r="V19" s="3" t="s">
        <v>6199</v>
      </c>
      <c r="AT19" s="3" t="s">
        <v>6200</v>
      </c>
      <c r="AU19" s="3">
        <v>2010.0</v>
      </c>
      <c r="AV19" s="3">
        <v>38.0</v>
      </c>
      <c r="AW19" s="3">
        <v>3.0</v>
      </c>
      <c r="BB19" s="3">
        <v>448.0</v>
      </c>
      <c r="BC19" s="3">
        <v>454.0</v>
      </c>
      <c r="BE19" s="3" t="s">
        <v>466</v>
      </c>
      <c r="BF19" s="3" t="s">
        <v>6201</v>
      </c>
      <c r="BN19" s="3">
        <v>2.0097928E7</v>
      </c>
      <c r="BS19" s="3" t="s">
        <v>6202</v>
      </c>
      <c r="BT19" s="3" t="s">
        <v>6102</v>
      </c>
    </row>
    <row r="20" ht="14.25" customHeight="1">
      <c r="A20" s="3" t="s">
        <v>50</v>
      </c>
      <c r="B20" s="3" t="s">
        <v>6203</v>
      </c>
      <c r="F20" s="3" t="s">
        <v>6204</v>
      </c>
      <c r="I20" s="3" t="s">
        <v>6205</v>
      </c>
      <c r="J20" s="3" t="s">
        <v>6188</v>
      </c>
      <c r="V20" s="3" t="s">
        <v>6206</v>
      </c>
      <c r="AT20" s="3" t="s">
        <v>6207</v>
      </c>
      <c r="AU20" s="3">
        <v>2007.0</v>
      </c>
      <c r="AV20" s="3" t="s">
        <v>6208</v>
      </c>
      <c r="AW20" s="3">
        <v>9.0</v>
      </c>
      <c r="BB20" s="3">
        <v>1165.0</v>
      </c>
      <c r="BC20" s="3">
        <v>1171.0</v>
      </c>
      <c r="BE20" s="3" t="s">
        <v>1749</v>
      </c>
      <c r="BF20" s="3" t="s">
        <v>5499</v>
      </c>
      <c r="BN20" s="3">
        <v>1.7905952E7</v>
      </c>
      <c r="BS20" s="3" t="s">
        <v>6209</v>
      </c>
      <c r="BT20" s="3" t="s">
        <v>6102</v>
      </c>
    </row>
    <row r="21" ht="14.25" customHeight="1">
      <c r="A21" s="3" t="s">
        <v>50</v>
      </c>
      <c r="B21" s="3" t="s">
        <v>6210</v>
      </c>
      <c r="F21" s="3" t="s">
        <v>6210</v>
      </c>
      <c r="I21" s="3" t="s">
        <v>5561</v>
      </c>
      <c r="J21" s="3" t="s">
        <v>6105</v>
      </c>
      <c r="V21" s="3" t="s">
        <v>6211</v>
      </c>
      <c r="AT21" s="3" t="s">
        <v>6145</v>
      </c>
      <c r="AU21" s="3">
        <v>2005.0</v>
      </c>
      <c r="AV21" s="3">
        <v>21.0</v>
      </c>
      <c r="AW21" s="3">
        <v>11.0</v>
      </c>
      <c r="BB21" s="3">
        <v>1337.0</v>
      </c>
      <c r="BC21" s="3">
        <v>1341.0</v>
      </c>
      <c r="BE21" s="3" t="s">
        <v>1786</v>
      </c>
      <c r="BF21" s="3" t="s">
        <v>5568</v>
      </c>
      <c r="BN21" s="3">
        <v>1.6325084E7</v>
      </c>
      <c r="BS21" s="3" t="s">
        <v>6212</v>
      </c>
      <c r="BT21" s="3" t="s">
        <v>6102</v>
      </c>
    </row>
    <row r="22" ht="14.25" customHeight="1">
      <c r="A22" s="3" t="s">
        <v>50</v>
      </c>
      <c r="B22" s="3" t="s">
        <v>6213</v>
      </c>
      <c r="F22" s="3" t="s">
        <v>6214</v>
      </c>
      <c r="I22" s="3" t="s">
        <v>6215</v>
      </c>
      <c r="J22" s="3" t="s">
        <v>6137</v>
      </c>
      <c r="V22" s="3" t="s">
        <v>6216</v>
      </c>
      <c r="AT22" s="3" t="s">
        <v>6121</v>
      </c>
      <c r="AU22" s="3">
        <v>2007.0</v>
      </c>
      <c r="AV22" s="3">
        <v>35.0</v>
      </c>
      <c r="AW22" s="3">
        <v>5.0</v>
      </c>
      <c r="BB22" s="3">
        <v>740.0</v>
      </c>
      <c r="BC22" s="3">
        <v>748.0</v>
      </c>
      <c r="BE22" s="3" t="s">
        <v>533</v>
      </c>
      <c r="BF22" s="3" t="s">
        <v>2975</v>
      </c>
      <c r="BN22" s="3">
        <v>1.7293471E7</v>
      </c>
      <c r="BS22" s="3" t="s">
        <v>6217</v>
      </c>
      <c r="BT22" s="3" t="s">
        <v>6102</v>
      </c>
    </row>
    <row r="23" ht="14.25" customHeight="1">
      <c r="A23" s="3" t="s">
        <v>50</v>
      </c>
      <c r="B23" s="3" t="s">
        <v>6218</v>
      </c>
      <c r="F23" s="3" t="s">
        <v>6219</v>
      </c>
      <c r="I23" s="3" t="s">
        <v>6220</v>
      </c>
      <c r="J23" s="3" t="s">
        <v>6105</v>
      </c>
      <c r="V23" s="3" t="s">
        <v>6221</v>
      </c>
      <c r="AT23" s="3" t="s">
        <v>6132</v>
      </c>
      <c r="AU23" s="3">
        <v>2007.0</v>
      </c>
      <c r="AV23" s="3">
        <v>23.0</v>
      </c>
      <c r="AW23" s="3">
        <v>7.0</v>
      </c>
      <c r="BB23" s="3">
        <v>766.0</v>
      </c>
      <c r="BC23" s="3">
        <v>770.0</v>
      </c>
      <c r="BE23" s="3" t="s">
        <v>1754</v>
      </c>
      <c r="BF23" s="3" t="s">
        <v>5509</v>
      </c>
      <c r="BN23" s="3">
        <v>1.7637413E7</v>
      </c>
      <c r="BS23" s="3" t="s">
        <v>6222</v>
      </c>
      <c r="BT23" s="3" t="s">
        <v>6102</v>
      </c>
    </row>
    <row r="24" ht="14.25" customHeight="1">
      <c r="A24" s="3" t="s">
        <v>50</v>
      </c>
      <c r="B24" s="3" t="s">
        <v>6223</v>
      </c>
      <c r="F24" s="3" t="s">
        <v>6224</v>
      </c>
      <c r="I24" s="3" t="s">
        <v>388</v>
      </c>
      <c r="J24" s="3" t="s">
        <v>6225</v>
      </c>
      <c r="V24" s="3" t="s">
        <v>6226</v>
      </c>
      <c r="AT24" s="3" t="s">
        <v>6227</v>
      </c>
      <c r="AU24" s="3">
        <v>2012.0</v>
      </c>
      <c r="AV24" s="3">
        <v>19.0</v>
      </c>
      <c r="AW24" s="3">
        <v>6.0</v>
      </c>
      <c r="BB24" s="3">
        <v>779.0</v>
      </c>
      <c r="BC24" s="3">
        <v>785.0</v>
      </c>
      <c r="BE24" s="3" t="s">
        <v>392</v>
      </c>
      <c r="BF24" s="3" t="s">
        <v>2793</v>
      </c>
      <c r="BN24" s="3">
        <v>2.2425308E7</v>
      </c>
      <c r="BS24" s="3" t="s">
        <v>6228</v>
      </c>
      <c r="BT24" s="3" t="s">
        <v>6102</v>
      </c>
    </row>
    <row r="25" ht="14.25" customHeight="1">
      <c r="A25" s="3" t="s">
        <v>50</v>
      </c>
      <c r="B25" s="3" t="s">
        <v>6229</v>
      </c>
      <c r="F25" s="3" t="s">
        <v>6230</v>
      </c>
      <c r="I25" s="3" t="s">
        <v>293</v>
      </c>
      <c r="J25" s="3" t="s">
        <v>6231</v>
      </c>
      <c r="V25" s="3" t="s">
        <v>6232</v>
      </c>
      <c r="AT25" s="3" t="s">
        <v>6139</v>
      </c>
      <c r="AU25" s="3">
        <v>2016.0</v>
      </c>
      <c r="AV25" s="3">
        <v>136.0</v>
      </c>
      <c r="AW25" s="3">
        <v>4.0</v>
      </c>
      <c r="BB25" s="3">
        <v>521.0</v>
      </c>
      <c r="BC25" s="3">
        <v>525.0</v>
      </c>
      <c r="BE25" s="3" t="s">
        <v>297</v>
      </c>
      <c r="BF25" s="3" t="s">
        <v>2628</v>
      </c>
      <c r="BN25" s="3">
        <v>2.672505E7</v>
      </c>
      <c r="BS25" s="3" t="s">
        <v>6233</v>
      </c>
      <c r="BT25" s="3" t="s">
        <v>6102</v>
      </c>
    </row>
    <row r="26" ht="14.25" customHeight="1">
      <c r="A26" s="3" t="s">
        <v>50</v>
      </c>
      <c r="B26" s="3" t="s">
        <v>6234</v>
      </c>
      <c r="F26" s="3" t="s">
        <v>6235</v>
      </c>
      <c r="I26" s="3" t="s">
        <v>6236</v>
      </c>
      <c r="J26" s="3" t="s">
        <v>6137</v>
      </c>
      <c r="V26" s="3" t="s">
        <v>6237</v>
      </c>
      <c r="AT26" s="3" t="s">
        <v>6165</v>
      </c>
      <c r="AU26" s="3">
        <v>2006.0</v>
      </c>
      <c r="AV26" s="3">
        <v>34.0</v>
      </c>
      <c r="AW26" s="3">
        <v>10.0</v>
      </c>
      <c r="BB26" s="3">
        <v>1574.0</v>
      </c>
      <c r="BC26" s="3">
        <v>1580.0</v>
      </c>
      <c r="BE26" s="3" t="s">
        <v>1772</v>
      </c>
      <c r="BF26" s="3" t="s">
        <v>5538</v>
      </c>
      <c r="BN26" s="3">
        <v>1.6685087E7</v>
      </c>
      <c r="BS26" s="3" t="s">
        <v>6238</v>
      </c>
      <c r="BT26" s="3" t="s">
        <v>6102</v>
      </c>
    </row>
    <row r="27" ht="14.25" customHeight="1">
      <c r="A27" s="3" t="s">
        <v>50</v>
      </c>
      <c r="B27" s="3" t="s">
        <v>6239</v>
      </c>
      <c r="F27" s="3" t="s">
        <v>6240</v>
      </c>
      <c r="I27" s="3" t="s">
        <v>6241</v>
      </c>
      <c r="J27" s="3" t="s">
        <v>6137</v>
      </c>
      <c r="V27" s="3" t="s">
        <v>6242</v>
      </c>
      <c r="AT27" s="3" t="s">
        <v>6227</v>
      </c>
      <c r="AU27" s="3">
        <v>2006.0</v>
      </c>
      <c r="AV27" s="3">
        <v>34.0</v>
      </c>
      <c r="AW27" s="3">
        <v>12.0</v>
      </c>
      <c r="BB27" s="3">
        <v>1933.0</v>
      </c>
      <c r="BC27" s="3">
        <v>1940.0</v>
      </c>
      <c r="BE27" s="3" t="s">
        <v>572</v>
      </c>
      <c r="BF27" s="3" t="s">
        <v>3007</v>
      </c>
      <c r="BN27" s="3">
        <v>1.6923826E7</v>
      </c>
      <c r="BS27" s="3" t="s">
        <v>6243</v>
      </c>
      <c r="BT27" s="3" t="s">
        <v>6102</v>
      </c>
    </row>
    <row r="28" ht="14.25" customHeight="1">
      <c r="A28" s="3" t="s">
        <v>50</v>
      </c>
      <c r="B28" s="3" t="s">
        <v>6244</v>
      </c>
      <c r="F28" s="3" t="s">
        <v>6245</v>
      </c>
      <c r="I28" s="3" t="s">
        <v>6246</v>
      </c>
      <c r="J28" s="3" t="s">
        <v>6137</v>
      </c>
      <c r="V28" s="3" t="s">
        <v>6247</v>
      </c>
      <c r="AT28" s="3" t="s">
        <v>6227</v>
      </c>
      <c r="AU28" s="3">
        <v>2016.0</v>
      </c>
      <c r="AV28" s="3">
        <v>44.0</v>
      </c>
      <c r="AW28" s="3">
        <v>12.0</v>
      </c>
      <c r="BB28" s="3">
        <v>3083.0</v>
      </c>
      <c r="BC28" s="3">
        <v>3094.0</v>
      </c>
      <c r="BE28" s="3" t="s">
        <v>6248</v>
      </c>
      <c r="BF28" s="3" t="s">
        <v>6249</v>
      </c>
      <c r="BN28" s="3">
        <v>2.7492972E7</v>
      </c>
      <c r="BS28" s="3" t="s">
        <v>6250</v>
      </c>
      <c r="BT28" s="3" t="s">
        <v>6102</v>
      </c>
    </row>
    <row r="29" ht="14.25" customHeight="1">
      <c r="A29" s="3" t="s">
        <v>50</v>
      </c>
      <c r="B29" s="3" t="s">
        <v>6251</v>
      </c>
      <c r="F29" s="3" t="s">
        <v>6252</v>
      </c>
      <c r="I29" s="3" t="s">
        <v>6253</v>
      </c>
      <c r="J29" s="3" t="s">
        <v>6105</v>
      </c>
      <c r="V29" s="3" t="s">
        <v>6254</v>
      </c>
      <c r="AT29" s="3" t="s">
        <v>6100</v>
      </c>
      <c r="AU29" s="3">
        <v>2013.0</v>
      </c>
      <c r="AV29" s="3">
        <v>29.0</v>
      </c>
      <c r="AW29" s="3">
        <v>1.0</v>
      </c>
      <c r="BB29" s="3">
        <v>83.0</v>
      </c>
      <c r="BC29" s="3">
        <v>88.0</v>
      </c>
      <c r="BE29" s="3" t="s">
        <v>1485</v>
      </c>
      <c r="BF29" s="3" t="s">
        <v>5044</v>
      </c>
      <c r="BN29" s="3">
        <v>2.3276416E7</v>
      </c>
      <c r="BS29" s="3" t="s">
        <v>6255</v>
      </c>
      <c r="BT29" s="3" t="s">
        <v>6102</v>
      </c>
    </row>
    <row r="30" ht="14.25" customHeight="1">
      <c r="A30" s="3" t="s">
        <v>50</v>
      </c>
      <c r="B30" s="3" t="s">
        <v>6256</v>
      </c>
      <c r="F30" s="3" t="s">
        <v>6257</v>
      </c>
      <c r="I30" s="3" t="s">
        <v>6258</v>
      </c>
      <c r="J30" s="3" t="s">
        <v>6259</v>
      </c>
      <c r="V30" s="3" t="s">
        <v>6260</v>
      </c>
      <c r="AT30" s="3" t="s">
        <v>6139</v>
      </c>
      <c r="AU30" s="3">
        <v>2022.0</v>
      </c>
      <c r="AV30" s="3">
        <v>10.0</v>
      </c>
      <c r="AW30" s="3">
        <v>4.0</v>
      </c>
      <c r="BD30" s="12">
        <v>2.33E16</v>
      </c>
      <c r="BE30" s="3" t="s">
        <v>2268</v>
      </c>
      <c r="BF30" s="3" t="s">
        <v>2269</v>
      </c>
      <c r="BN30" s="3">
        <v>3.5464901E7</v>
      </c>
      <c r="BS30" s="3" t="s">
        <v>6261</v>
      </c>
      <c r="BT30" s="3" t="s">
        <v>6102</v>
      </c>
    </row>
    <row r="31" ht="14.25" customHeight="1">
      <c r="A31" s="3" t="s">
        <v>50</v>
      </c>
      <c r="B31" s="3" t="s">
        <v>6262</v>
      </c>
      <c r="F31" s="3" t="s">
        <v>6263</v>
      </c>
      <c r="I31" s="3" t="s">
        <v>1278</v>
      </c>
      <c r="J31" s="3" t="s">
        <v>6137</v>
      </c>
      <c r="V31" s="3" t="s">
        <v>6264</v>
      </c>
      <c r="AT31" s="3" t="s">
        <v>6139</v>
      </c>
      <c r="AU31" s="3">
        <v>2018.0</v>
      </c>
      <c r="AV31" s="3">
        <v>46.0</v>
      </c>
      <c r="AW31" s="3">
        <v>5.0</v>
      </c>
      <c r="BB31" s="3">
        <v>1143.0</v>
      </c>
      <c r="BC31" s="3">
        <v>1149.0</v>
      </c>
      <c r="BE31" s="3" t="s">
        <v>1282</v>
      </c>
      <c r="BF31" s="3" t="s">
        <v>4520</v>
      </c>
      <c r="BN31" s="3">
        <v>2.9443537E7</v>
      </c>
      <c r="BS31" s="3" t="s">
        <v>6265</v>
      </c>
      <c r="BT31" s="3" t="s">
        <v>6102</v>
      </c>
    </row>
    <row r="32" ht="14.25" customHeight="1">
      <c r="A32" s="3" t="s">
        <v>50</v>
      </c>
      <c r="B32" s="3" t="s">
        <v>6266</v>
      </c>
      <c r="F32" s="3" t="s">
        <v>6267</v>
      </c>
      <c r="I32" s="3" t="s">
        <v>6268</v>
      </c>
      <c r="J32" s="3" t="s">
        <v>6137</v>
      </c>
      <c r="V32" s="3" t="s">
        <v>6269</v>
      </c>
      <c r="AT32" s="3" t="s">
        <v>6177</v>
      </c>
      <c r="AU32" s="3">
        <v>2010.0</v>
      </c>
      <c r="AV32" s="3">
        <v>38.0</v>
      </c>
      <c r="AW32" s="3">
        <v>8.0</v>
      </c>
      <c r="BB32" s="3">
        <v>1598.0</v>
      </c>
      <c r="BC32" s="3">
        <v>1605.0</v>
      </c>
      <c r="BE32" s="3" t="s">
        <v>1608</v>
      </c>
      <c r="BF32" s="3" t="s">
        <v>6270</v>
      </c>
      <c r="BN32" s="3">
        <v>2.039297E7</v>
      </c>
      <c r="BS32" s="3" t="s">
        <v>6271</v>
      </c>
      <c r="BT32" s="3" t="s">
        <v>6102</v>
      </c>
    </row>
    <row r="33" ht="14.25" customHeight="1">
      <c r="A33" s="3" t="s">
        <v>50</v>
      </c>
      <c r="B33" s="3" t="s">
        <v>6272</v>
      </c>
      <c r="F33" s="3" t="s">
        <v>6273</v>
      </c>
      <c r="I33" s="3" t="s">
        <v>1165</v>
      </c>
      <c r="J33" s="3" t="s">
        <v>6137</v>
      </c>
      <c r="V33" s="3" t="s">
        <v>6274</v>
      </c>
      <c r="AT33" s="3" t="s">
        <v>6165</v>
      </c>
      <c r="AU33" s="3">
        <v>2020.0</v>
      </c>
      <c r="AV33" s="3">
        <v>48.0</v>
      </c>
      <c r="AW33" s="3">
        <v>12.0</v>
      </c>
      <c r="BB33" s="3">
        <v>2970.0</v>
      </c>
      <c r="BC33" s="3">
        <v>2977.0</v>
      </c>
      <c r="BD33" s="12">
        <v>3.64E14</v>
      </c>
      <c r="BE33" s="3" t="s">
        <v>1169</v>
      </c>
      <c r="BF33" s="3" t="s">
        <v>4267</v>
      </c>
      <c r="BH33" s="10">
        <v>46285.0</v>
      </c>
      <c r="BN33" s="3">
        <v>3.2909826E7</v>
      </c>
      <c r="BS33" s="3" t="s">
        <v>6275</v>
      </c>
      <c r="BT33" s="3" t="s">
        <v>6102</v>
      </c>
    </row>
    <row r="34" ht="14.25" customHeight="1">
      <c r="A34" s="3" t="s">
        <v>50</v>
      </c>
      <c r="B34" s="3" t="s">
        <v>6276</v>
      </c>
      <c r="F34" s="3" t="s">
        <v>6277</v>
      </c>
      <c r="I34" s="3" t="s">
        <v>6278</v>
      </c>
      <c r="J34" s="3" t="s">
        <v>6137</v>
      </c>
      <c r="V34" s="3" t="s">
        <v>6279</v>
      </c>
      <c r="AT34" s="3" t="s">
        <v>6165</v>
      </c>
      <c r="AU34" s="3">
        <v>2017.0</v>
      </c>
      <c r="AV34" s="3">
        <v>45.0</v>
      </c>
      <c r="AW34" s="3">
        <v>12.0</v>
      </c>
      <c r="BB34" s="3">
        <v>2739.0</v>
      </c>
      <c r="BC34" s="3">
        <v>2750.0</v>
      </c>
      <c r="BE34" s="3" t="s">
        <v>6280</v>
      </c>
      <c r="BF34" s="3" t="s">
        <v>6281</v>
      </c>
      <c r="BN34" s="3">
        <v>2.8892648E7</v>
      </c>
      <c r="BS34" s="3" t="s">
        <v>6282</v>
      </c>
      <c r="BT34" s="3" t="s">
        <v>6102</v>
      </c>
    </row>
    <row r="35" ht="14.25" customHeight="1">
      <c r="A35" s="3" t="s">
        <v>50</v>
      </c>
      <c r="B35" s="3" t="s">
        <v>6283</v>
      </c>
      <c r="F35" s="3" t="s">
        <v>6284</v>
      </c>
      <c r="I35" s="3" t="s">
        <v>281</v>
      </c>
      <c r="J35" s="3" t="s">
        <v>6137</v>
      </c>
      <c r="V35" s="3" t="s">
        <v>6285</v>
      </c>
      <c r="AT35" s="3" t="s">
        <v>6132</v>
      </c>
      <c r="AU35" s="3">
        <v>2016.0</v>
      </c>
      <c r="AV35" s="3">
        <v>44.0</v>
      </c>
      <c r="AW35" s="3">
        <v>7.0</v>
      </c>
      <c r="BB35" s="3">
        <v>1660.0</v>
      </c>
      <c r="BC35" s="3">
        <v>1670.0</v>
      </c>
      <c r="BE35" s="3" t="s">
        <v>287</v>
      </c>
      <c r="BF35" s="3" t="s">
        <v>2619</v>
      </c>
      <c r="BN35" s="3">
        <v>2.7159308E7</v>
      </c>
      <c r="BS35" s="3" t="s">
        <v>6286</v>
      </c>
      <c r="BT35" s="3" t="s">
        <v>6102</v>
      </c>
    </row>
    <row r="36" ht="14.25" customHeight="1">
      <c r="A36" s="3" t="s">
        <v>50</v>
      </c>
      <c r="B36" s="3" t="s">
        <v>6287</v>
      </c>
      <c r="F36" s="3" t="s">
        <v>6288</v>
      </c>
      <c r="I36" s="3" t="s">
        <v>1262</v>
      </c>
      <c r="J36" s="3" t="s">
        <v>6225</v>
      </c>
      <c r="V36" s="3" t="s">
        <v>6289</v>
      </c>
      <c r="AT36" s="3" t="s">
        <v>6177</v>
      </c>
      <c r="AU36" s="3">
        <v>2018.0</v>
      </c>
      <c r="AV36" s="3">
        <v>25.0</v>
      </c>
      <c r="AW36" s="3">
        <v>4.0</v>
      </c>
      <c r="BB36" s="3">
        <v>704.0</v>
      </c>
      <c r="BC36" s="3">
        <v>714.0</v>
      </c>
      <c r="BE36" s="3" t="s">
        <v>1266</v>
      </c>
      <c r="BF36" s="3" t="s">
        <v>4475</v>
      </c>
      <c r="BN36" s="3">
        <v>2.9776815E7</v>
      </c>
      <c r="BS36" s="3" t="s">
        <v>6290</v>
      </c>
      <c r="BT36" s="3" t="s">
        <v>6102</v>
      </c>
    </row>
    <row r="37" ht="14.25" customHeight="1">
      <c r="A37" s="3" t="s">
        <v>50</v>
      </c>
      <c r="B37" s="3" t="s">
        <v>6291</v>
      </c>
      <c r="F37" s="3" t="s">
        <v>6292</v>
      </c>
      <c r="I37" s="3" t="s">
        <v>6293</v>
      </c>
      <c r="J37" s="3" t="s">
        <v>6259</v>
      </c>
      <c r="V37" s="3" t="s">
        <v>6294</v>
      </c>
      <c r="AT37" s="3" t="s">
        <v>6145</v>
      </c>
      <c r="AU37" s="3">
        <v>2022.0</v>
      </c>
      <c r="AV37" s="3">
        <v>10.0</v>
      </c>
      <c r="AW37" s="3">
        <v>11.0</v>
      </c>
      <c r="BD37" s="12">
        <v>2.33E16</v>
      </c>
      <c r="BE37" s="3" t="s">
        <v>6295</v>
      </c>
      <c r="BF37" s="3" t="s">
        <v>6296</v>
      </c>
      <c r="BN37" s="3">
        <v>3.647946E7</v>
      </c>
      <c r="BS37" s="3" t="s">
        <v>6297</v>
      </c>
      <c r="BT37" s="3" t="s">
        <v>6102</v>
      </c>
    </row>
    <row r="38" ht="14.25" customHeight="1">
      <c r="A38" s="3" t="s">
        <v>50</v>
      </c>
      <c r="B38" s="3" t="s">
        <v>6298</v>
      </c>
      <c r="F38" s="3" t="s">
        <v>6299</v>
      </c>
      <c r="I38" s="3" t="s">
        <v>6300</v>
      </c>
      <c r="J38" s="3" t="s">
        <v>6301</v>
      </c>
      <c r="V38" s="3" t="s">
        <v>6302</v>
      </c>
      <c r="AT38" s="10">
        <v>46178.0</v>
      </c>
      <c r="AU38" s="3">
        <v>2019.0</v>
      </c>
      <c r="AV38" s="3">
        <v>101.0</v>
      </c>
      <c r="AW38" s="3">
        <v>11.0</v>
      </c>
      <c r="BB38" s="3">
        <v>949.0</v>
      </c>
      <c r="BC38" s="3">
        <v>960.0</v>
      </c>
      <c r="BE38" s="3" t="s">
        <v>237</v>
      </c>
      <c r="BF38" s="3" t="s">
        <v>2453</v>
      </c>
      <c r="BN38" s="3">
        <v>3.1169571E7</v>
      </c>
      <c r="BS38" s="3" t="s">
        <v>6303</v>
      </c>
      <c r="BT38" s="3" t="s">
        <v>6102</v>
      </c>
    </row>
    <row r="39" ht="14.25" customHeight="1">
      <c r="A39" s="3" t="s">
        <v>50</v>
      </c>
      <c r="B39" s="3" t="s">
        <v>6304</v>
      </c>
      <c r="F39" s="3" t="s">
        <v>6305</v>
      </c>
      <c r="I39" s="3" t="s">
        <v>6306</v>
      </c>
      <c r="J39" s="3" t="s">
        <v>6307</v>
      </c>
      <c r="V39" s="3" t="s">
        <v>6308</v>
      </c>
      <c r="AU39" s="3">
        <v>2017.0</v>
      </c>
      <c r="AV39" s="3">
        <v>10.0</v>
      </c>
      <c r="AW39" s="3">
        <v>8.0</v>
      </c>
      <c r="BB39" s="3">
        <v>12277.0</v>
      </c>
      <c r="BC39" s="3">
        <v>12284.0</v>
      </c>
      <c r="BS39" s="3" t="s">
        <v>6309</v>
      </c>
      <c r="BT39" s="3" t="s">
        <v>6102</v>
      </c>
    </row>
    <row r="40" ht="14.25" customHeight="1">
      <c r="A40" s="3" t="s">
        <v>50</v>
      </c>
      <c r="B40" s="3" t="s">
        <v>6310</v>
      </c>
      <c r="F40" s="3" t="s">
        <v>6311</v>
      </c>
      <c r="I40" s="3" t="s">
        <v>6312</v>
      </c>
      <c r="J40" s="3" t="s">
        <v>6137</v>
      </c>
      <c r="V40" s="3" t="s">
        <v>6313</v>
      </c>
      <c r="AT40" s="3" t="s">
        <v>6177</v>
      </c>
      <c r="AU40" s="3">
        <v>2018.0</v>
      </c>
      <c r="AV40" s="3">
        <v>46.0</v>
      </c>
      <c r="AW40" s="3">
        <v>10.0</v>
      </c>
      <c r="BB40" s="3">
        <v>2366.0</v>
      </c>
      <c r="BC40" s="3">
        <v>2375.0</v>
      </c>
      <c r="BE40" s="3" t="s">
        <v>6314</v>
      </c>
      <c r="BF40" s="3" t="s">
        <v>6315</v>
      </c>
      <c r="BN40" s="3">
        <v>3.0015501E7</v>
      </c>
      <c r="BS40" s="3" t="s">
        <v>6316</v>
      </c>
      <c r="BT40" s="3" t="s">
        <v>6102</v>
      </c>
    </row>
    <row r="41" ht="14.25" customHeight="1">
      <c r="A41" s="3" t="s">
        <v>50</v>
      </c>
      <c r="B41" s="3" t="s">
        <v>6317</v>
      </c>
      <c r="F41" s="3" t="s">
        <v>6318</v>
      </c>
      <c r="I41" s="3" t="s">
        <v>1192</v>
      </c>
      <c r="J41" s="3" t="s">
        <v>6137</v>
      </c>
      <c r="V41" s="3" t="s">
        <v>6319</v>
      </c>
      <c r="AT41" s="3" t="s">
        <v>6139</v>
      </c>
      <c r="AU41" s="3">
        <v>2020.0</v>
      </c>
      <c r="AV41" s="3">
        <v>48.0</v>
      </c>
      <c r="AW41" s="3">
        <v>5.0</v>
      </c>
      <c r="BB41" s="3">
        <v>1069.0</v>
      </c>
      <c r="BC41" s="3">
        <v>1077.0</v>
      </c>
      <c r="BD41" s="12">
        <v>3.64E14</v>
      </c>
      <c r="BE41" s="3" t="s">
        <v>1196</v>
      </c>
      <c r="BF41" s="3" t="s">
        <v>4328</v>
      </c>
      <c r="BH41" s="10">
        <v>46101.0</v>
      </c>
      <c r="BN41" s="3">
        <v>3.2182127E7</v>
      </c>
      <c r="BS41" s="3" t="s">
        <v>6320</v>
      </c>
      <c r="BT41" s="3" t="s">
        <v>6102</v>
      </c>
    </row>
    <row r="42" ht="14.25" customHeight="1">
      <c r="A42" s="3" t="s">
        <v>50</v>
      </c>
      <c r="B42" s="3" t="s">
        <v>6321</v>
      </c>
      <c r="F42" s="3" t="s">
        <v>6322</v>
      </c>
      <c r="I42" s="3" t="s">
        <v>6323</v>
      </c>
      <c r="J42" s="3" t="s">
        <v>6324</v>
      </c>
      <c r="V42" s="3" t="s">
        <v>6325</v>
      </c>
      <c r="AT42" s="3" t="s">
        <v>6153</v>
      </c>
      <c r="AU42" s="3">
        <v>2013.0</v>
      </c>
      <c r="AV42" s="3">
        <v>37.0</v>
      </c>
      <c r="AW42" s="3">
        <v>2.0</v>
      </c>
      <c r="BB42" s="3">
        <v>193.0</v>
      </c>
      <c r="BC42" s="3">
        <v>199.0</v>
      </c>
      <c r="BE42" s="3" t="s">
        <v>6326</v>
      </c>
      <c r="BF42" s="3" t="s">
        <v>6327</v>
      </c>
      <c r="BN42" s="3">
        <v>2.3180103E7</v>
      </c>
      <c r="BS42" s="3" t="s">
        <v>6328</v>
      </c>
      <c r="BT42" s="3" t="s">
        <v>6102</v>
      </c>
    </row>
    <row r="43" ht="14.25" customHeight="1">
      <c r="A43" s="3" t="s">
        <v>50</v>
      </c>
      <c r="B43" s="3" t="s">
        <v>6329</v>
      </c>
      <c r="F43" s="3" t="s">
        <v>6330</v>
      </c>
      <c r="I43" s="3" t="s">
        <v>1396</v>
      </c>
      <c r="J43" s="3" t="s">
        <v>6098</v>
      </c>
      <c r="V43" s="3" t="s">
        <v>6331</v>
      </c>
      <c r="AT43" s="3" t="s">
        <v>6207</v>
      </c>
      <c r="AU43" s="3">
        <v>2016.0</v>
      </c>
      <c r="AV43" s="3">
        <v>24.0</v>
      </c>
      <c r="AW43" s="3">
        <v>9.0</v>
      </c>
      <c r="BB43" s="3">
        <v>2831.0</v>
      </c>
      <c r="BC43" s="3">
        <v>2837.0</v>
      </c>
      <c r="BE43" s="3" t="s">
        <v>1400</v>
      </c>
      <c r="BF43" s="3" t="s">
        <v>6332</v>
      </c>
      <c r="BN43" s="3">
        <v>2.5630275E7</v>
      </c>
      <c r="BS43" s="3" t="s">
        <v>6333</v>
      </c>
      <c r="BT43" s="3" t="s">
        <v>6102</v>
      </c>
    </row>
    <row r="44" ht="14.25" customHeight="1">
      <c r="A44" s="3" t="s">
        <v>50</v>
      </c>
      <c r="B44" s="3" t="s">
        <v>6334</v>
      </c>
      <c r="F44" s="3" t="s">
        <v>6335</v>
      </c>
      <c r="I44" s="3" t="s">
        <v>6336</v>
      </c>
      <c r="J44" s="3" t="s">
        <v>6259</v>
      </c>
      <c r="V44" s="3" t="s">
        <v>6337</v>
      </c>
      <c r="AT44" s="10">
        <v>46346.0</v>
      </c>
      <c r="AU44" s="3">
        <v>2018.0</v>
      </c>
      <c r="AV44" s="3">
        <v>6.0</v>
      </c>
      <c r="AW44" s="3">
        <v>11.0</v>
      </c>
      <c r="BD44" s="12">
        <v>2.33E15</v>
      </c>
      <c r="BE44" s="3" t="s">
        <v>2500</v>
      </c>
      <c r="BF44" s="3" t="s">
        <v>2501</v>
      </c>
      <c r="BN44" s="3">
        <v>3.0480022E7</v>
      </c>
      <c r="BS44" s="3" t="s">
        <v>6338</v>
      </c>
      <c r="BT44" s="3" t="s">
        <v>6102</v>
      </c>
    </row>
    <row r="45" ht="14.25" customHeight="1">
      <c r="A45" s="3" t="s">
        <v>50</v>
      </c>
      <c r="B45" s="3" t="s">
        <v>6339</v>
      </c>
      <c r="F45" s="3" t="s">
        <v>6340</v>
      </c>
      <c r="I45" s="3" t="s">
        <v>6341</v>
      </c>
      <c r="J45" s="3" t="s">
        <v>6137</v>
      </c>
      <c r="V45" s="3" t="s">
        <v>6342</v>
      </c>
      <c r="AT45" s="3" t="s">
        <v>6165</v>
      </c>
      <c r="AU45" s="3">
        <v>2009.0</v>
      </c>
      <c r="AV45" s="3">
        <v>37.0</v>
      </c>
      <c r="AW45" s="3">
        <v>10.0</v>
      </c>
      <c r="BB45" s="3">
        <v>1946.0</v>
      </c>
      <c r="BC45" s="3">
        <v>1957.0</v>
      </c>
      <c r="BE45" s="3" t="s">
        <v>485</v>
      </c>
      <c r="BF45" s="3" t="s">
        <v>2897</v>
      </c>
      <c r="BN45" s="3">
        <v>1.9684298E7</v>
      </c>
      <c r="BS45" s="3" t="s">
        <v>6343</v>
      </c>
      <c r="BT45" s="3" t="s">
        <v>6102</v>
      </c>
    </row>
    <row r="46" ht="14.25" customHeight="1">
      <c r="A46" s="3" t="s">
        <v>50</v>
      </c>
      <c r="B46" s="3" t="s">
        <v>6344</v>
      </c>
      <c r="F46" s="3" t="s">
        <v>6344</v>
      </c>
      <c r="I46" s="3" t="s">
        <v>690</v>
      </c>
      <c r="J46" s="3" t="s">
        <v>6137</v>
      </c>
      <c r="V46" s="3" t="s">
        <v>6345</v>
      </c>
      <c r="AT46" s="3" t="s">
        <v>6158</v>
      </c>
      <c r="AU46" s="3">
        <v>2003.0</v>
      </c>
      <c r="AV46" s="3">
        <v>31.0</v>
      </c>
      <c r="AW46" s="3">
        <v>1.0</v>
      </c>
      <c r="BB46" s="3">
        <v>12.0</v>
      </c>
      <c r="BC46" s="3">
        <v>18.0</v>
      </c>
      <c r="BE46" s="3" t="s">
        <v>694</v>
      </c>
      <c r="BF46" s="3" t="s">
        <v>6346</v>
      </c>
      <c r="BN46" s="3">
        <v>1.2531751E7</v>
      </c>
      <c r="BS46" s="3" t="s">
        <v>6347</v>
      </c>
      <c r="BT46" s="3" t="s">
        <v>6102</v>
      </c>
    </row>
    <row r="47" ht="14.25" customHeight="1">
      <c r="A47" s="3" t="s">
        <v>50</v>
      </c>
      <c r="B47" s="3" t="s">
        <v>6348</v>
      </c>
      <c r="F47" s="3" t="s">
        <v>6348</v>
      </c>
      <c r="I47" s="3" t="s">
        <v>6349</v>
      </c>
      <c r="J47" s="3" t="s">
        <v>6137</v>
      </c>
      <c r="V47" s="3" t="s">
        <v>3098</v>
      </c>
      <c r="AT47" s="3" t="s">
        <v>6200</v>
      </c>
      <c r="AU47" s="3">
        <v>2005.0</v>
      </c>
      <c r="AV47" s="3">
        <v>33.0</v>
      </c>
      <c r="AW47" s="3">
        <v>3.0</v>
      </c>
      <c r="BB47" s="3">
        <v>347.0</v>
      </c>
      <c r="BC47" s="3">
        <v>359.0</v>
      </c>
      <c r="BE47" s="3" t="s">
        <v>622</v>
      </c>
      <c r="BF47" s="3" t="s">
        <v>3100</v>
      </c>
      <c r="BN47" s="3">
        <v>1.571625E7</v>
      </c>
      <c r="BS47" s="3" t="s">
        <v>6350</v>
      </c>
      <c r="BT47" s="3" t="s">
        <v>6102</v>
      </c>
    </row>
    <row r="48" ht="14.25" customHeight="1">
      <c r="A48" s="3" t="s">
        <v>50</v>
      </c>
      <c r="B48" s="3" t="s">
        <v>6351</v>
      </c>
      <c r="F48" s="3" t="s">
        <v>6352</v>
      </c>
      <c r="I48" s="3" t="s">
        <v>6353</v>
      </c>
      <c r="J48" s="3" t="s">
        <v>6354</v>
      </c>
      <c r="V48" s="3" t="s">
        <v>6355</v>
      </c>
      <c r="AT48" s="3" t="s">
        <v>6200</v>
      </c>
      <c r="AU48" s="3">
        <v>2025.0</v>
      </c>
      <c r="AV48" s="3">
        <v>46.0</v>
      </c>
      <c r="BB48" s="3">
        <v>47.0</v>
      </c>
      <c r="BC48" s="3">
        <v>59.0</v>
      </c>
      <c r="BE48" s="3" t="s">
        <v>6356</v>
      </c>
      <c r="BF48" s="3" t="s">
        <v>6357</v>
      </c>
      <c r="BH48" s="10">
        <v>46106.0</v>
      </c>
      <c r="BS48" s="3" t="s">
        <v>6358</v>
      </c>
      <c r="BT48" s="3" t="s">
        <v>6102</v>
      </c>
    </row>
    <row r="49" ht="14.25" customHeight="1">
      <c r="A49" s="3" t="s">
        <v>50</v>
      </c>
      <c r="B49" s="3" t="s">
        <v>6359</v>
      </c>
      <c r="F49" s="3" t="s">
        <v>6359</v>
      </c>
      <c r="I49" s="3" t="s">
        <v>6360</v>
      </c>
      <c r="J49" s="3" t="s">
        <v>6137</v>
      </c>
      <c r="V49" s="3" t="s">
        <v>6361</v>
      </c>
      <c r="AT49" s="3" t="s">
        <v>6362</v>
      </c>
      <c r="AU49" s="3">
        <v>2002.0</v>
      </c>
      <c r="AV49" s="3">
        <v>30.0</v>
      </c>
      <c r="AW49" s="3">
        <v>4.0</v>
      </c>
      <c r="BB49" s="3">
        <v>523.0</v>
      </c>
      <c r="BC49" s="3">
        <v>536.0</v>
      </c>
      <c r="BE49" s="3" t="s">
        <v>716</v>
      </c>
      <c r="BF49" s="3" t="s">
        <v>6363</v>
      </c>
      <c r="BN49" s="3">
        <v>1.2130407E7</v>
      </c>
      <c r="BS49" s="3" t="s">
        <v>6364</v>
      </c>
      <c r="BT49" s="3" t="s">
        <v>6102</v>
      </c>
    </row>
    <row r="50" ht="14.25" customHeight="1">
      <c r="A50" s="3" t="s">
        <v>50</v>
      </c>
      <c r="B50" s="3" t="s">
        <v>6365</v>
      </c>
      <c r="F50" s="3" t="s">
        <v>6366</v>
      </c>
      <c r="I50" s="3" t="s">
        <v>6367</v>
      </c>
      <c r="J50" s="3" t="s">
        <v>6137</v>
      </c>
      <c r="V50" s="3" t="s">
        <v>6368</v>
      </c>
      <c r="AT50" s="3" t="s">
        <v>6177</v>
      </c>
      <c r="AU50" s="3">
        <v>2010.0</v>
      </c>
      <c r="AV50" s="3">
        <v>38.0</v>
      </c>
      <c r="AW50" s="3">
        <v>8.0</v>
      </c>
      <c r="BB50" s="3">
        <v>1533.0</v>
      </c>
      <c r="BC50" s="3">
        <v>1541.0</v>
      </c>
      <c r="BE50" s="3" t="s">
        <v>451</v>
      </c>
      <c r="BF50" s="3" t="s">
        <v>6369</v>
      </c>
      <c r="BN50" s="3">
        <v>2.0566719E7</v>
      </c>
      <c r="BS50" s="3" t="s">
        <v>6370</v>
      </c>
      <c r="BT50" s="3" t="s">
        <v>6102</v>
      </c>
    </row>
    <row r="51" ht="14.25" customHeight="1">
      <c r="A51" s="3" t="s">
        <v>50</v>
      </c>
      <c r="B51" s="3" t="s">
        <v>6371</v>
      </c>
      <c r="F51" s="3" t="s">
        <v>6372</v>
      </c>
      <c r="I51" s="3" t="s">
        <v>6373</v>
      </c>
      <c r="J51" s="3" t="s">
        <v>6137</v>
      </c>
      <c r="V51" s="3" t="s">
        <v>6374</v>
      </c>
      <c r="AT51" s="3" t="s">
        <v>6200</v>
      </c>
      <c r="AU51" s="3">
        <v>2010.0</v>
      </c>
      <c r="AV51" s="3">
        <v>38.0</v>
      </c>
      <c r="AW51" s="3">
        <v>3.0</v>
      </c>
      <c r="BB51" s="3">
        <v>492.0</v>
      </c>
      <c r="BC51" s="3">
        <v>500.0</v>
      </c>
      <c r="BE51" s="3" t="s">
        <v>461</v>
      </c>
      <c r="BF51" s="3" t="s">
        <v>6375</v>
      </c>
      <c r="BN51" s="3">
        <v>2.0194956E7</v>
      </c>
      <c r="BS51" s="3" t="s">
        <v>6376</v>
      </c>
      <c r="BT51" s="3" t="s">
        <v>6102</v>
      </c>
    </row>
    <row r="52" ht="14.25" customHeight="1">
      <c r="A52" s="3" t="s">
        <v>50</v>
      </c>
      <c r="B52" s="3" t="s">
        <v>6377</v>
      </c>
      <c r="F52" s="3" t="s">
        <v>6378</v>
      </c>
      <c r="I52" s="3" t="s">
        <v>2901</v>
      </c>
      <c r="J52" s="3" t="s">
        <v>6105</v>
      </c>
      <c r="V52" s="3" t="s">
        <v>6379</v>
      </c>
      <c r="AT52" s="3" t="s">
        <v>6165</v>
      </c>
      <c r="AU52" s="3">
        <v>2009.0</v>
      </c>
      <c r="AV52" s="3">
        <v>25.0</v>
      </c>
      <c r="AW52" s="3">
        <v>10.0</v>
      </c>
      <c r="BB52" s="3">
        <v>1067.0</v>
      </c>
      <c r="BC52" s="3">
        <v>1074.0</v>
      </c>
      <c r="BE52" s="3" t="s">
        <v>480</v>
      </c>
      <c r="BF52" s="3" t="s">
        <v>2908</v>
      </c>
      <c r="BN52" s="3">
        <v>1.9801284E7</v>
      </c>
      <c r="BS52" s="3" t="s">
        <v>6380</v>
      </c>
      <c r="BT52" s="3" t="s">
        <v>6102</v>
      </c>
    </row>
    <row r="53" ht="14.25" customHeight="1">
      <c r="A53" s="3" t="s">
        <v>50</v>
      </c>
      <c r="B53" s="3" t="s">
        <v>6381</v>
      </c>
      <c r="F53" s="3" t="s">
        <v>6382</v>
      </c>
      <c r="I53" s="3" t="s">
        <v>515</v>
      </c>
      <c r="J53" s="3" t="s">
        <v>6130</v>
      </c>
      <c r="V53" s="3" t="s">
        <v>6383</v>
      </c>
      <c r="AT53" s="3" t="s">
        <v>6132</v>
      </c>
      <c r="AU53" s="3">
        <v>2007.0</v>
      </c>
      <c r="AV53" s="3">
        <v>17.0</v>
      </c>
      <c r="AW53" s="3">
        <v>4.0</v>
      </c>
      <c r="BB53" s="3">
        <v>242.0</v>
      </c>
      <c r="BC53" s="3">
        <v>250.0</v>
      </c>
      <c r="BE53" s="3" t="s">
        <v>519</v>
      </c>
      <c r="BF53" s="3" t="s">
        <v>2964</v>
      </c>
      <c r="BN53" s="3">
        <v>1.7620776E7</v>
      </c>
      <c r="BS53" s="3" t="s">
        <v>6384</v>
      </c>
      <c r="BT53" s="3" t="s">
        <v>6102</v>
      </c>
    </row>
    <row r="54" ht="14.25" customHeight="1">
      <c r="A54" s="3" t="s">
        <v>50</v>
      </c>
      <c r="B54" s="3" t="s">
        <v>6385</v>
      </c>
      <c r="F54" s="3" t="s">
        <v>6386</v>
      </c>
      <c r="I54" s="3" t="s">
        <v>6387</v>
      </c>
      <c r="J54" s="3" t="s">
        <v>6388</v>
      </c>
      <c r="V54" s="3" t="s">
        <v>6389</v>
      </c>
      <c r="AT54" s="3" t="s">
        <v>6100</v>
      </c>
      <c r="AU54" s="3">
        <v>2015.0</v>
      </c>
      <c r="AV54" s="3">
        <v>50.0</v>
      </c>
      <c r="AW54" s="3">
        <v>1.0</v>
      </c>
      <c r="BB54" s="3">
        <v>110.0</v>
      </c>
      <c r="BC54" s="3">
        <v>112.0</v>
      </c>
      <c r="BE54" s="3" t="s">
        <v>6390</v>
      </c>
      <c r="BF54" s="3" t="s">
        <v>6391</v>
      </c>
      <c r="BN54" s="3">
        <v>2.5322347E7</v>
      </c>
      <c r="BS54" s="3" t="s">
        <v>6392</v>
      </c>
      <c r="BT54" s="3" t="s">
        <v>6102</v>
      </c>
    </row>
    <row r="55" ht="14.25" customHeight="1">
      <c r="A55" s="3" t="s">
        <v>50</v>
      </c>
      <c r="B55" s="3" t="s">
        <v>6393</v>
      </c>
      <c r="F55" s="3" t="s">
        <v>6394</v>
      </c>
      <c r="I55" s="3" t="s">
        <v>6395</v>
      </c>
      <c r="J55" s="3" t="s">
        <v>6396</v>
      </c>
      <c r="V55" s="3" t="s">
        <v>6397</v>
      </c>
      <c r="AT55" s="10">
        <v>46116.0</v>
      </c>
      <c r="AU55" s="3">
        <v>2023.0</v>
      </c>
      <c r="AV55" s="3">
        <v>10.0</v>
      </c>
      <c r="AW55" s="3">
        <v>1.0</v>
      </c>
      <c r="BD55" s="3">
        <v>40.0</v>
      </c>
      <c r="BE55" s="3" t="s">
        <v>6398</v>
      </c>
      <c r="BF55" s="3" t="s">
        <v>6399</v>
      </c>
      <c r="BN55" s="3">
        <v>3.7014518E7</v>
      </c>
      <c r="BS55" s="3" t="s">
        <v>6400</v>
      </c>
      <c r="BT55" s="3" t="s">
        <v>6102</v>
      </c>
    </row>
    <row r="56" ht="14.25" customHeight="1">
      <c r="A56" s="3" t="s">
        <v>50</v>
      </c>
      <c r="B56" s="3" t="s">
        <v>6401</v>
      </c>
      <c r="F56" s="3" t="s">
        <v>6402</v>
      </c>
      <c r="I56" s="3" t="s">
        <v>176</v>
      </c>
      <c r="J56" s="3" t="s">
        <v>6225</v>
      </c>
      <c r="V56" s="3" t="s">
        <v>6403</v>
      </c>
      <c r="AT56" s="3" t="s">
        <v>6107</v>
      </c>
      <c r="AU56" s="3">
        <v>2022.0</v>
      </c>
      <c r="AV56" s="3">
        <v>36.0</v>
      </c>
      <c r="BB56" s="3">
        <v>33.0</v>
      </c>
      <c r="BC56" s="3">
        <v>43.0</v>
      </c>
      <c r="BE56" s="3" t="s">
        <v>181</v>
      </c>
      <c r="BF56" s="3" t="s">
        <v>2258</v>
      </c>
      <c r="BH56" s="10">
        <v>46134.0</v>
      </c>
      <c r="BN56" s="3">
        <v>3.546833E7</v>
      </c>
      <c r="BS56" s="3" t="s">
        <v>6404</v>
      </c>
      <c r="BT56" s="3" t="s">
        <v>6102</v>
      </c>
    </row>
    <row r="57" ht="14.25" customHeight="1">
      <c r="A57" s="3" t="s">
        <v>50</v>
      </c>
      <c r="B57" s="3" t="s">
        <v>6405</v>
      </c>
      <c r="F57" s="3" t="s">
        <v>6406</v>
      </c>
      <c r="I57" s="3" t="s">
        <v>6407</v>
      </c>
      <c r="J57" s="3" t="s">
        <v>6137</v>
      </c>
      <c r="V57" s="3" t="s">
        <v>6408</v>
      </c>
      <c r="AT57" s="3" t="s">
        <v>6121</v>
      </c>
      <c r="AU57" s="3">
        <v>2014.0</v>
      </c>
      <c r="AV57" s="3">
        <v>42.0</v>
      </c>
      <c r="AW57" s="3">
        <v>5.0</v>
      </c>
      <c r="BB57" s="3">
        <v>1049.0</v>
      </c>
      <c r="BC57" s="3">
        <v>1057.0</v>
      </c>
      <c r="BE57" s="3" t="s">
        <v>350</v>
      </c>
      <c r="BF57" s="3" t="s">
        <v>6409</v>
      </c>
      <c r="BN57" s="3">
        <v>2.4644301E7</v>
      </c>
      <c r="BS57" s="3" t="s">
        <v>6410</v>
      </c>
      <c r="BT57" s="3" t="s">
        <v>6102</v>
      </c>
    </row>
    <row r="58" ht="14.25" customHeight="1">
      <c r="A58" s="3" t="s">
        <v>50</v>
      </c>
      <c r="B58" s="3" t="s">
        <v>6411</v>
      </c>
      <c r="F58" s="3" t="s">
        <v>6412</v>
      </c>
      <c r="I58" s="3" t="s">
        <v>6413</v>
      </c>
      <c r="J58" s="3" t="s">
        <v>6137</v>
      </c>
      <c r="V58" s="3" t="s">
        <v>6414</v>
      </c>
      <c r="AT58" s="3" t="s">
        <v>6145</v>
      </c>
      <c r="AU58" s="3">
        <v>2013.0</v>
      </c>
      <c r="AV58" s="3">
        <v>41.0</v>
      </c>
      <c r="AW58" s="3">
        <v>11.0</v>
      </c>
      <c r="BB58" s="3">
        <v>2492.0</v>
      </c>
      <c r="BC58" s="3">
        <v>2499.0</v>
      </c>
      <c r="BE58" s="3" t="s">
        <v>360</v>
      </c>
      <c r="BF58" s="3" t="s">
        <v>6415</v>
      </c>
      <c r="BN58" s="3">
        <v>2.4001575E7</v>
      </c>
      <c r="BS58" s="3" t="s">
        <v>6416</v>
      </c>
      <c r="BT58" s="3" t="s">
        <v>6102</v>
      </c>
    </row>
    <row r="59" ht="14.25" customHeight="1">
      <c r="A59" s="3" t="s">
        <v>50</v>
      </c>
      <c r="B59" s="3" t="s">
        <v>6417</v>
      </c>
      <c r="F59" s="3" t="s">
        <v>6418</v>
      </c>
      <c r="H59" s="3" t="s">
        <v>6419</v>
      </c>
      <c r="I59" s="3" t="s">
        <v>6420</v>
      </c>
      <c r="J59" s="3" t="s">
        <v>6421</v>
      </c>
      <c r="V59" s="3" t="s">
        <v>6422</v>
      </c>
      <c r="AT59" s="3" t="s">
        <v>6145</v>
      </c>
      <c r="AU59" s="3">
        <v>2016.0</v>
      </c>
      <c r="AV59" s="3">
        <v>102.0</v>
      </c>
      <c r="AW59" s="3">
        <v>7.0</v>
      </c>
      <c r="BB59" s="3">
        <v>857.0</v>
      </c>
      <c r="BC59" s="3">
        <v>861.0</v>
      </c>
      <c r="BE59" s="3" t="s">
        <v>6423</v>
      </c>
      <c r="BF59" s="3" t="s">
        <v>6424</v>
      </c>
      <c r="BN59" s="3">
        <v>2.7544885E7</v>
      </c>
      <c r="BS59" s="3" t="s">
        <v>6425</v>
      </c>
      <c r="BT59" s="3" t="s">
        <v>6102</v>
      </c>
    </row>
    <row r="60" ht="14.25" customHeight="1">
      <c r="A60" s="3" t="s">
        <v>50</v>
      </c>
      <c r="B60" s="3" t="s">
        <v>6426</v>
      </c>
      <c r="F60" s="3" t="s">
        <v>6427</v>
      </c>
      <c r="H60" s="3" t="s">
        <v>6419</v>
      </c>
      <c r="I60" s="3" t="s">
        <v>6428</v>
      </c>
      <c r="J60" s="3" t="s">
        <v>6137</v>
      </c>
      <c r="V60" s="3" t="s">
        <v>6429</v>
      </c>
      <c r="AT60" s="3" t="s">
        <v>6165</v>
      </c>
      <c r="AU60" s="3">
        <v>2018.0</v>
      </c>
      <c r="AV60" s="3">
        <v>46.0</v>
      </c>
      <c r="AW60" s="3">
        <v>12.0</v>
      </c>
      <c r="BB60" s="3">
        <v>2842.0</v>
      </c>
      <c r="BC60" s="3">
        <v>2850.0</v>
      </c>
      <c r="BE60" s="3" t="s">
        <v>6430</v>
      </c>
      <c r="BF60" s="3" t="s">
        <v>6431</v>
      </c>
      <c r="BN60" s="3">
        <v>3.0199646E7</v>
      </c>
      <c r="BS60" s="3" t="s">
        <v>6432</v>
      </c>
      <c r="BT60" s="3" t="s">
        <v>6102</v>
      </c>
    </row>
    <row r="61" ht="14.25" customHeight="1">
      <c r="A61" s="3" t="s">
        <v>50</v>
      </c>
      <c r="B61" s="3" t="s">
        <v>6433</v>
      </c>
      <c r="F61" s="3" t="s">
        <v>6434</v>
      </c>
      <c r="I61" s="3" t="s">
        <v>288</v>
      </c>
      <c r="J61" s="3" t="s">
        <v>6137</v>
      </c>
      <c r="V61" s="3" t="s">
        <v>6435</v>
      </c>
      <c r="AT61" s="3" t="s">
        <v>6139</v>
      </c>
      <c r="AU61" s="3">
        <v>2016.0</v>
      </c>
      <c r="AV61" s="3">
        <v>44.0</v>
      </c>
      <c r="AW61" s="3">
        <v>4.0</v>
      </c>
      <c r="BB61" s="3">
        <v>855.0</v>
      </c>
      <c r="BC61" s="3">
        <v>864.0</v>
      </c>
      <c r="BE61" s="3" t="s">
        <v>292</v>
      </c>
      <c r="BF61" s="3" t="s">
        <v>2636</v>
      </c>
      <c r="BN61" s="3">
        <v>2.6838934E7</v>
      </c>
      <c r="BS61" s="3" t="s">
        <v>6436</v>
      </c>
      <c r="BT61" s="3" t="s">
        <v>6102</v>
      </c>
    </row>
    <row r="62" ht="14.25" customHeight="1">
      <c r="A62" s="3" t="s">
        <v>50</v>
      </c>
      <c r="B62" s="3" t="s">
        <v>6437</v>
      </c>
      <c r="F62" s="3" t="s">
        <v>6438</v>
      </c>
      <c r="I62" s="3" t="s">
        <v>2413</v>
      </c>
      <c r="J62" s="3" t="s">
        <v>6259</v>
      </c>
      <c r="V62" s="3" t="s">
        <v>6439</v>
      </c>
      <c r="AT62" s="3" t="s">
        <v>6121</v>
      </c>
      <c r="AU62" s="3">
        <v>2020.0</v>
      </c>
      <c r="AV62" s="3">
        <v>8.0</v>
      </c>
      <c r="AW62" s="3">
        <v>5.0</v>
      </c>
      <c r="BD62" s="12">
        <v>2.33E15</v>
      </c>
      <c r="BE62" s="3" t="s">
        <v>2420</v>
      </c>
      <c r="BF62" s="3" t="s">
        <v>2421</v>
      </c>
      <c r="BN62" s="3">
        <v>3.2490026E7</v>
      </c>
      <c r="BS62" s="3" t="s">
        <v>6440</v>
      </c>
      <c r="BT62" s="3" t="s">
        <v>6102</v>
      </c>
    </row>
    <row r="63" ht="14.25" customHeight="1">
      <c r="A63" s="3" t="s">
        <v>50</v>
      </c>
      <c r="B63" s="3" t="s">
        <v>6441</v>
      </c>
      <c r="F63" s="3" t="s">
        <v>6442</v>
      </c>
      <c r="I63" s="3" t="s">
        <v>371</v>
      </c>
      <c r="J63" s="3" t="s">
        <v>6098</v>
      </c>
      <c r="V63" s="3" t="s">
        <v>6443</v>
      </c>
      <c r="AT63" s="3" t="s">
        <v>6121</v>
      </c>
      <c r="AU63" s="3">
        <v>2014.0</v>
      </c>
      <c r="AV63" s="3">
        <v>22.0</v>
      </c>
      <c r="AW63" s="3">
        <v>5.0</v>
      </c>
      <c r="BB63" s="3">
        <v>1156.0</v>
      </c>
      <c r="BC63" s="3">
        <v>1162.0</v>
      </c>
      <c r="BE63" s="3" t="s">
        <v>375</v>
      </c>
      <c r="BF63" s="3" t="s">
        <v>2703</v>
      </c>
      <c r="BN63" s="3">
        <v>2.3807029E7</v>
      </c>
      <c r="BS63" s="3" t="s">
        <v>6444</v>
      </c>
      <c r="BT63" s="3" t="s">
        <v>6102</v>
      </c>
    </row>
    <row r="64" ht="14.25" customHeight="1">
      <c r="A64" s="3" t="s">
        <v>50</v>
      </c>
      <c r="B64" s="3" t="s">
        <v>6445</v>
      </c>
      <c r="F64" s="3" t="s">
        <v>6446</v>
      </c>
      <c r="I64" s="3" t="s">
        <v>6447</v>
      </c>
      <c r="J64" s="3" t="s">
        <v>6137</v>
      </c>
      <c r="V64" s="3" t="s">
        <v>6448</v>
      </c>
      <c r="AT64" s="3" t="s">
        <v>6132</v>
      </c>
      <c r="AU64" s="3">
        <v>2018.0</v>
      </c>
      <c r="AV64" s="3">
        <v>46.0</v>
      </c>
      <c r="AW64" s="3">
        <v>8.0</v>
      </c>
      <c r="BB64" s="3">
        <v>1827.0</v>
      </c>
      <c r="BC64" s="3">
        <v>1835.0</v>
      </c>
      <c r="BE64" s="3" t="s">
        <v>247</v>
      </c>
      <c r="BF64" s="3" t="s">
        <v>2519</v>
      </c>
      <c r="BN64" s="3">
        <v>2.9741923E7</v>
      </c>
      <c r="BS64" s="3" t="s">
        <v>6449</v>
      </c>
      <c r="BT64" s="3" t="s">
        <v>6102</v>
      </c>
    </row>
    <row r="65" ht="14.25" customHeight="1">
      <c r="A65" s="3" t="s">
        <v>50</v>
      </c>
      <c r="B65" s="3" t="s">
        <v>6450</v>
      </c>
      <c r="F65" s="3" t="s">
        <v>6451</v>
      </c>
      <c r="I65" s="3" t="s">
        <v>2149</v>
      </c>
      <c r="J65" s="3" t="s">
        <v>6259</v>
      </c>
      <c r="V65" s="3" t="s">
        <v>6452</v>
      </c>
      <c r="AT65" s="3" t="s">
        <v>6145</v>
      </c>
      <c r="AU65" s="3">
        <v>2023.0</v>
      </c>
      <c r="AV65" s="3">
        <v>11.0</v>
      </c>
      <c r="AW65" s="3">
        <v>11.0</v>
      </c>
      <c r="BD65" s="12">
        <v>2.33E16</v>
      </c>
      <c r="BE65" s="3" t="s">
        <v>2158</v>
      </c>
      <c r="BF65" s="3" t="s">
        <v>2159</v>
      </c>
      <c r="BN65" s="3">
        <v>3.8021297E7</v>
      </c>
      <c r="BS65" s="3" t="s">
        <v>6453</v>
      </c>
      <c r="BT65" s="3" t="s">
        <v>6102</v>
      </c>
    </row>
    <row r="66" ht="14.25" customHeight="1">
      <c r="A66" s="3" t="s">
        <v>50</v>
      </c>
      <c r="B66" s="3" t="s">
        <v>6454</v>
      </c>
      <c r="F66" s="3" t="s">
        <v>6454</v>
      </c>
      <c r="I66" s="3" t="s">
        <v>6455</v>
      </c>
      <c r="J66" s="3" t="s">
        <v>6137</v>
      </c>
      <c r="V66" s="3" t="s">
        <v>6456</v>
      </c>
      <c r="AT66" s="3" t="s">
        <v>6200</v>
      </c>
      <c r="AU66" s="3">
        <v>2005.0</v>
      </c>
      <c r="AV66" s="3">
        <v>33.0</v>
      </c>
      <c r="AW66" s="3">
        <v>3.0</v>
      </c>
      <c r="BB66" s="3">
        <v>335.0</v>
      </c>
      <c r="BC66" s="3">
        <v>346.0</v>
      </c>
      <c r="BE66" s="3" t="s">
        <v>6457</v>
      </c>
      <c r="BF66" s="3" t="s">
        <v>6458</v>
      </c>
      <c r="BN66" s="3">
        <v>1.5716249E7</v>
      </c>
      <c r="BS66" s="3" t="s">
        <v>6459</v>
      </c>
      <c r="BT66" s="3" t="s">
        <v>6102</v>
      </c>
    </row>
    <row r="67" ht="14.25" customHeight="1">
      <c r="A67" s="3" t="s">
        <v>50</v>
      </c>
      <c r="B67" s="3" t="s">
        <v>6460</v>
      </c>
      <c r="F67" s="3" t="s">
        <v>6461</v>
      </c>
      <c r="I67" s="3" t="s">
        <v>6462</v>
      </c>
      <c r="J67" s="3" t="s">
        <v>6137</v>
      </c>
      <c r="V67" s="3" t="s">
        <v>6463</v>
      </c>
      <c r="AT67" s="3" t="s">
        <v>6107</v>
      </c>
      <c r="AU67" s="3">
        <v>2011.0</v>
      </c>
      <c r="AV67" s="3">
        <v>39.0</v>
      </c>
      <c r="AW67" s="3">
        <v>6.0</v>
      </c>
      <c r="BB67" s="3">
        <v>1238.0</v>
      </c>
      <c r="BC67" s="3">
        <v>1247.0</v>
      </c>
      <c r="BE67" s="3" t="s">
        <v>6464</v>
      </c>
      <c r="BF67" s="3" t="s">
        <v>6465</v>
      </c>
      <c r="BN67" s="3">
        <v>2.1343386E7</v>
      </c>
      <c r="BS67" s="3" t="s">
        <v>6466</v>
      </c>
      <c r="BT67" s="3" t="s">
        <v>6102</v>
      </c>
    </row>
    <row r="68" ht="14.25" customHeight="1">
      <c r="A68" s="3" t="s">
        <v>50</v>
      </c>
      <c r="B68" s="3" t="s">
        <v>6467</v>
      </c>
      <c r="F68" s="3" t="s">
        <v>6468</v>
      </c>
      <c r="I68" s="3" t="s">
        <v>6469</v>
      </c>
      <c r="J68" s="3" t="s">
        <v>6137</v>
      </c>
      <c r="V68" s="3" t="s">
        <v>6470</v>
      </c>
      <c r="AT68" s="3" t="s">
        <v>6100</v>
      </c>
      <c r="AU68" s="3">
        <v>2013.0</v>
      </c>
      <c r="AV68" s="3">
        <v>41.0</v>
      </c>
      <c r="AW68" s="3">
        <v>1.0</v>
      </c>
      <c r="BB68" s="3">
        <v>25.0</v>
      </c>
      <c r="BC68" s="3">
        <v>34.0</v>
      </c>
      <c r="BE68" s="3" t="s">
        <v>6471</v>
      </c>
      <c r="BF68" s="3" t="s">
        <v>6472</v>
      </c>
      <c r="BN68" s="3">
        <v>2.314437E7</v>
      </c>
      <c r="BS68" s="3" t="s">
        <v>6473</v>
      </c>
      <c r="BT68" s="3" t="s">
        <v>6102</v>
      </c>
    </row>
    <row r="69" ht="14.25" customHeight="1">
      <c r="A69" s="3" t="s">
        <v>50</v>
      </c>
      <c r="B69" s="3" t="s">
        <v>6474</v>
      </c>
      <c r="F69" s="3" t="s">
        <v>6475</v>
      </c>
      <c r="I69" s="3" t="s">
        <v>6476</v>
      </c>
      <c r="J69" s="3" t="s">
        <v>6137</v>
      </c>
      <c r="V69" s="3" t="s">
        <v>6477</v>
      </c>
      <c r="AT69" s="3" t="s">
        <v>6145</v>
      </c>
      <c r="AU69" s="3">
        <v>2022.0</v>
      </c>
      <c r="AV69" s="3">
        <v>50.0</v>
      </c>
      <c r="AW69" s="3">
        <v>13.0</v>
      </c>
      <c r="BB69" s="3">
        <v>3510.0</v>
      </c>
      <c r="BC69" s="3">
        <v>3521.0</v>
      </c>
      <c r="BE69" s="3" t="s">
        <v>6478</v>
      </c>
      <c r="BF69" s="3" t="s">
        <v>6479</v>
      </c>
      <c r="BH69" s="10">
        <v>46317.0</v>
      </c>
      <c r="BN69" s="3">
        <v>3.6259724E7</v>
      </c>
      <c r="BS69" s="3" t="s">
        <v>6480</v>
      </c>
      <c r="BT69" s="3" t="s">
        <v>6102</v>
      </c>
    </row>
    <row r="70" ht="14.25" customHeight="1">
      <c r="A70" s="3" t="s">
        <v>50</v>
      </c>
      <c r="B70" s="3" t="s">
        <v>6481</v>
      </c>
      <c r="F70" s="3" t="s">
        <v>6482</v>
      </c>
      <c r="I70" s="3" t="s">
        <v>6483</v>
      </c>
      <c r="J70" s="3" t="s">
        <v>6484</v>
      </c>
      <c r="V70" s="3" t="s">
        <v>6485</v>
      </c>
      <c r="AT70" s="10">
        <v>46251.0</v>
      </c>
      <c r="AU70" s="3">
        <v>2017.0</v>
      </c>
      <c r="AV70" s="3">
        <v>12.0</v>
      </c>
      <c r="AW70" s="3">
        <v>8.0</v>
      </c>
      <c r="BD70" s="3" t="s">
        <v>6486</v>
      </c>
      <c r="BE70" s="3" t="s">
        <v>6487</v>
      </c>
      <c r="BF70" s="3" t="s">
        <v>6488</v>
      </c>
      <c r="BN70" s="3">
        <v>2.8817645E7</v>
      </c>
      <c r="BS70" s="3" t="s">
        <v>6489</v>
      </c>
      <c r="BT70" s="3" t="s">
        <v>6102</v>
      </c>
    </row>
    <row r="71" ht="14.25" customHeight="1">
      <c r="A71" s="3" t="s">
        <v>50</v>
      </c>
      <c r="B71" s="3" t="s">
        <v>6490</v>
      </c>
      <c r="F71" s="3" t="s">
        <v>6491</v>
      </c>
      <c r="I71" s="3" t="s">
        <v>6492</v>
      </c>
      <c r="J71" s="3" t="s">
        <v>6225</v>
      </c>
      <c r="V71" s="3" t="s">
        <v>6493</v>
      </c>
      <c r="AT71" s="3" t="s">
        <v>6200</v>
      </c>
      <c r="AU71" s="3">
        <v>2010.0</v>
      </c>
      <c r="AV71" s="3">
        <v>17.0</v>
      </c>
      <c r="AW71" s="3">
        <v>2.0</v>
      </c>
      <c r="BB71" s="3">
        <v>119.0</v>
      </c>
      <c r="BC71" s="3">
        <v>126.0</v>
      </c>
      <c r="BE71" s="3" t="s">
        <v>6494</v>
      </c>
      <c r="BF71" s="3" t="s">
        <v>6495</v>
      </c>
      <c r="BN71" s="3">
        <v>1.9682909E7</v>
      </c>
      <c r="BS71" s="3" t="s">
        <v>6496</v>
      </c>
      <c r="BT71" s="3" t="s">
        <v>6102</v>
      </c>
    </row>
    <row r="72" ht="14.25" customHeight="1">
      <c r="A72" s="3" t="s">
        <v>50</v>
      </c>
      <c r="B72" s="3" t="s">
        <v>6497</v>
      </c>
      <c r="F72" s="3" t="s">
        <v>6498</v>
      </c>
      <c r="I72" s="3" t="s">
        <v>6499</v>
      </c>
      <c r="J72" s="3" t="s">
        <v>6500</v>
      </c>
      <c r="V72" s="3" t="s">
        <v>6501</v>
      </c>
      <c r="AT72" s="10">
        <v>46225.0</v>
      </c>
      <c r="AU72" s="3">
        <v>2010.0</v>
      </c>
      <c r="AV72" s="3">
        <v>363.0</v>
      </c>
      <c r="AW72" s="3">
        <v>4.0</v>
      </c>
      <c r="BB72" s="3">
        <v>331.0</v>
      </c>
      <c r="BC72" s="3">
        <v>342.0</v>
      </c>
      <c r="BE72" s="3" t="s">
        <v>6502</v>
      </c>
      <c r="BF72" s="3" t="s">
        <v>6503</v>
      </c>
      <c r="BN72" s="3">
        <v>2.0660401E7</v>
      </c>
      <c r="BS72" s="3" t="s">
        <v>6504</v>
      </c>
      <c r="BT72" s="3" t="s">
        <v>6102</v>
      </c>
    </row>
    <row r="73" ht="14.25" customHeight="1">
      <c r="A73" s="3" t="s">
        <v>50</v>
      </c>
      <c r="B73" s="3" t="s">
        <v>6505</v>
      </c>
      <c r="F73" s="3" t="s">
        <v>6506</v>
      </c>
      <c r="I73" s="3" t="s">
        <v>6507</v>
      </c>
      <c r="J73" s="3" t="s">
        <v>6137</v>
      </c>
      <c r="V73" s="3" t="s">
        <v>6508</v>
      </c>
      <c r="AT73" s="3" t="s">
        <v>6200</v>
      </c>
      <c r="AU73" s="3">
        <v>2010.0</v>
      </c>
      <c r="AV73" s="3">
        <v>38.0</v>
      </c>
      <c r="AW73" s="3">
        <v>3.0</v>
      </c>
      <c r="BB73" s="3">
        <v>501.0</v>
      </c>
      <c r="BC73" s="3">
        <v>508.0</v>
      </c>
      <c r="BE73" s="3" t="s">
        <v>1624</v>
      </c>
      <c r="BF73" s="3" t="s">
        <v>6509</v>
      </c>
      <c r="BN73" s="3">
        <v>2.0044497E7</v>
      </c>
      <c r="BS73" s="3" t="s">
        <v>6510</v>
      </c>
      <c r="BT73" s="3" t="s">
        <v>6102</v>
      </c>
    </row>
    <row r="74" ht="14.25" customHeight="1">
      <c r="A74" s="3" t="s">
        <v>50</v>
      </c>
      <c r="B74" s="3" t="s">
        <v>6511</v>
      </c>
      <c r="F74" s="3" t="s">
        <v>6512</v>
      </c>
      <c r="I74" s="3" t="s">
        <v>6513</v>
      </c>
      <c r="J74" s="3" t="s">
        <v>6137</v>
      </c>
      <c r="V74" s="3" t="s">
        <v>6514</v>
      </c>
      <c r="AT74" s="3" t="s">
        <v>6132</v>
      </c>
      <c r="AU74" s="3">
        <v>2007.0</v>
      </c>
      <c r="AV74" s="3">
        <v>35.0</v>
      </c>
      <c r="AW74" s="3">
        <v>7.0</v>
      </c>
      <c r="BB74" s="3">
        <v>1135.0</v>
      </c>
      <c r="BC74" s="3">
        <v>1143.0</v>
      </c>
      <c r="BE74" s="3" t="s">
        <v>6515</v>
      </c>
      <c r="BF74" s="3" t="s">
        <v>6516</v>
      </c>
      <c r="BN74" s="3">
        <v>1.7351121E7</v>
      </c>
      <c r="BS74" s="3" t="s">
        <v>6517</v>
      </c>
      <c r="BT74" s="3" t="s">
        <v>6102</v>
      </c>
    </row>
    <row r="75" ht="14.25" customHeight="1">
      <c r="A75" s="3" t="s">
        <v>50</v>
      </c>
      <c r="B75" s="3" t="s">
        <v>6518</v>
      </c>
      <c r="F75" s="3" t="s">
        <v>6519</v>
      </c>
      <c r="I75" s="3" t="s">
        <v>6520</v>
      </c>
      <c r="J75" s="3" t="s">
        <v>6098</v>
      </c>
      <c r="V75" s="3" t="s">
        <v>6521</v>
      </c>
      <c r="AT75" s="3" t="s">
        <v>6227</v>
      </c>
      <c r="AU75" s="3">
        <v>2011.0</v>
      </c>
      <c r="AV75" s="3">
        <v>19.0</v>
      </c>
      <c r="AY75" s="3">
        <v>1.0</v>
      </c>
      <c r="BB75" s="3" t="s">
        <v>2742</v>
      </c>
      <c r="BC75" s="3" t="s">
        <v>6522</v>
      </c>
      <c r="BE75" s="3" t="s">
        <v>6523</v>
      </c>
      <c r="BF75" s="3" t="s">
        <v>6524</v>
      </c>
      <c r="BN75" s="3">
        <v>2.1360125E7</v>
      </c>
      <c r="BS75" s="3" t="s">
        <v>6525</v>
      </c>
      <c r="BT75" s="3" t="s">
        <v>6102</v>
      </c>
    </row>
    <row r="76" ht="14.25" customHeight="1">
      <c r="A76" s="3" t="s">
        <v>50</v>
      </c>
      <c r="B76" s="3" t="s">
        <v>6526</v>
      </c>
      <c r="F76" s="3" t="s">
        <v>6527</v>
      </c>
      <c r="I76" s="3" t="s">
        <v>6528</v>
      </c>
      <c r="J76" s="3" t="s">
        <v>6137</v>
      </c>
      <c r="V76" s="3" t="s">
        <v>6529</v>
      </c>
      <c r="AT76" s="3" t="s">
        <v>6139</v>
      </c>
      <c r="AU76" s="3">
        <v>2013.0</v>
      </c>
      <c r="AV76" s="3">
        <v>41.0</v>
      </c>
      <c r="AW76" s="3">
        <v>4.0</v>
      </c>
      <c r="BB76" s="3">
        <v>788.0</v>
      </c>
      <c r="BC76" s="3">
        <v>794.0</v>
      </c>
      <c r="BE76" s="3" t="s">
        <v>1474</v>
      </c>
      <c r="BF76" s="3" t="s">
        <v>5027</v>
      </c>
      <c r="BN76" s="3">
        <v>2.3423316E7</v>
      </c>
      <c r="BS76" s="3" t="s">
        <v>6530</v>
      </c>
      <c r="BT76" s="3" t="s">
        <v>6102</v>
      </c>
    </row>
    <row r="77" ht="14.25" customHeight="1">
      <c r="A77" s="3" t="s">
        <v>50</v>
      </c>
      <c r="B77" s="3" t="s">
        <v>6531</v>
      </c>
      <c r="F77" s="3" t="s">
        <v>6532</v>
      </c>
      <c r="I77" s="3" t="s">
        <v>6533</v>
      </c>
      <c r="J77" s="3" t="s">
        <v>6137</v>
      </c>
      <c r="V77" s="3" t="s">
        <v>6534</v>
      </c>
      <c r="AT77" s="3" t="s">
        <v>6200</v>
      </c>
      <c r="AU77" s="3">
        <v>2019.0</v>
      </c>
      <c r="AV77" s="3">
        <v>47.0</v>
      </c>
      <c r="AW77" s="3">
        <v>3.0</v>
      </c>
      <c r="BB77" s="3">
        <v>659.0</v>
      </c>
      <c r="BC77" s="3">
        <v>666.0</v>
      </c>
      <c r="BE77" s="3" t="s">
        <v>6535</v>
      </c>
      <c r="BF77" s="3" t="s">
        <v>6536</v>
      </c>
      <c r="BN77" s="3">
        <v>3.0699039E7</v>
      </c>
      <c r="BS77" s="3" t="s">
        <v>6537</v>
      </c>
      <c r="BT77" s="3" t="s">
        <v>6102</v>
      </c>
    </row>
    <row r="78" ht="14.25" customHeight="1">
      <c r="A78" s="3" t="s">
        <v>50</v>
      </c>
      <c r="B78" s="3" t="s">
        <v>6538</v>
      </c>
      <c r="F78" s="3" t="s">
        <v>6539</v>
      </c>
      <c r="I78" s="3" t="s">
        <v>1122</v>
      </c>
      <c r="J78" s="3" t="s">
        <v>6098</v>
      </c>
      <c r="V78" s="3" t="s">
        <v>6540</v>
      </c>
      <c r="AT78" s="3" t="s">
        <v>6145</v>
      </c>
      <c r="AU78" s="3">
        <v>2022.0</v>
      </c>
      <c r="AV78" s="3">
        <v>30.0</v>
      </c>
      <c r="AW78" s="3">
        <v>11.0</v>
      </c>
      <c r="BB78" s="3">
        <v>3718.0</v>
      </c>
      <c r="BC78" s="3">
        <v>3725.0</v>
      </c>
      <c r="BE78" s="3" t="s">
        <v>1126</v>
      </c>
      <c r="BF78" s="3" t="s">
        <v>3962</v>
      </c>
      <c r="BH78" s="10">
        <v>46164.0</v>
      </c>
      <c r="BN78" s="3">
        <v>3.5507037E7</v>
      </c>
      <c r="BS78" s="3" t="s">
        <v>6541</v>
      </c>
      <c r="BT78" s="3" t="s">
        <v>6102</v>
      </c>
    </row>
    <row r="79" ht="14.25" customHeight="1">
      <c r="A79" s="3" t="s">
        <v>50</v>
      </c>
      <c r="B79" s="3" t="s">
        <v>6542</v>
      </c>
      <c r="F79" s="3" t="s">
        <v>6542</v>
      </c>
      <c r="I79" s="3" t="s">
        <v>6543</v>
      </c>
      <c r="J79" s="3" t="s">
        <v>6137</v>
      </c>
      <c r="V79" s="3" t="s">
        <v>5624</v>
      </c>
      <c r="AT79" s="3" t="s">
        <v>6158</v>
      </c>
      <c r="AU79" s="3">
        <v>2004.0</v>
      </c>
      <c r="AV79" s="3">
        <v>32.0</v>
      </c>
      <c r="AW79" s="3">
        <v>1.0</v>
      </c>
      <c r="BB79" s="3">
        <v>159.0</v>
      </c>
      <c r="BC79" s="3">
        <v>163.0</v>
      </c>
      <c r="BE79" s="3" t="s">
        <v>1838</v>
      </c>
      <c r="BF79" s="3" t="s">
        <v>5626</v>
      </c>
      <c r="BN79" s="3">
        <v>1.4754739E7</v>
      </c>
      <c r="BS79" s="3" t="s">
        <v>6544</v>
      </c>
      <c r="BT79" s="3" t="s">
        <v>6102</v>
      </c>
    </row>
    <row r="80" ht="14.25" customHeight="1">
      <c r="A80" s="3" t="s">
        <v>50</v>
      </c>
      <c r="B80" s="3" t="s">
        <v>6545</v>
      </c>
      <c r="F80" s="3" t="s">
        <v>6546</v>
      </c>
      <c r="I80" s="3" t="s">
        <v>6547</v>
      </c>
      <c r="J80" s="3" t="s">
        <v>6105</v>
      </c>
      <c r="V80" s="3" t="s">
        <v>6548</v>
      </c>
      <c r="AT80" s="3" t="s">
        <v>6139</v>
      </c>
      <c r="AU80" s="3">
        <v>2014.0</v>
      </c>
      <c r="AV80" s="3">
        <v>30.0</v>
      </c>
      <c r="AW80" s="3">
        <v>4.0</v>
      </c>
      <c r="BB80" s="3">
        <v>468.0</v>
      </c>
      <c r="BC80" s="3">
        <v>474.0</v>
      </c>
      <c r="BE80" s="3" t="s">
        <v>1425</v>
      </c>
      <c r="BF80" s="3" t="s">
        <v>4971</v>
      </c>
      <c r="BN80" s="3">
        <v>2.4582053E7</v>
      </c>
      <c r="BS80" s="3" t="s">
        <v>6549</v>
      </c>
      <c r="BT80" s="3" t="s">
        <v>6102</v>
      </c>
    </row>
    <row r="81" ht="14.25" customHeight="1">
      <c r="A81" s="3" t="s">
        <v>50</v>
      </c>
      <c r="B81" s="3" t="s">
        <v>6168</v>
      </c>
      <c r="F81" s="3" t="s">
        <v>6169</v>
      </c>
      <c r="I81" s="3" t="s">
        <v>6550</v>
      </c>
      <c r="J81" s="3" t="s">
        <v>6137</v>
      </c>
      <c r="V81" s="3" t="s">
        <v>6551</v>
      </c>
      <c r="AT81" s="3" t="s">
        <v>6121</v>
      </c>
      <c r="AU81" s="3">
        <v>2015.0</v>
      </c>
      <c r="AV81" s="3">
        <v>43.0</v>
      </c>
      <c r="AW81" s="3">
        <v>5.0</v>
      </c>
      <c r="BB81" s="3">
        <v>1157.0</v>
      </c>
      <c r="BC81" s="3">
        <v>1164.0</v>
      </c>
      <c r="BE81" s="3" t="s">
        <v>1395</v>
      </c>
      <c r="BF81" s="3" t="s">
        <v>4838</v>
      </c>
      <c r="BN81" s="3">
        <v>2.5646363E7</v>
      </c>
      <c r="BS81" s="3" t="s">
        <v>6552</v>
      </c>
      <c r="BT81" s="3" t="s">
        <v>6102</v>
      </c>
    </row>
    <row r="82" ht="14.25" customHeight="1">
      <c r="A82" s="3" t="s">
        <v>50</v>
      </c>
      <c r="B82" s="3" t="s">
        <v>6553</v>
      </c>
      <c r="F82" s="3" t="s">
        <v>6554</v>
      </c>
      <c r="I82" s="3" t="s">
        <v>1722</v>
      </c>
      <c r="J82" s="3" t="s">
        <v>6137</v>
      </c>
      <c r="V82" s="3" t="s">
        <v>6555</v>
      </c>
      <c r="AT82" s="3" t="s">
        <v>6139</v>
      </c>
      <c r="AU82" s="3">
        <v>2008.0</v>
      </c>
      <c r="AV82" s="3">
        <v>36.0</v>
      </c>
      <c r="AW82" s="3">
        <v>4.0</v>
      </c>
      <c r="BB82" s="3">
        <v>648.0</v>
      </c>
      <c r="BC82" s="3">
        <v>655.0</v>
      </c>
      <c r="BE82" s="3" t="s">
        <v>1726</v>
      </c>
      <c r="BF82" s="3" t="s">
        <v>5408</v>
      </c>
      <c r="BN82" s="3">
        <v>1.8192493E7</v>
      </c>
      <c r="BS82" s="3" t="s">
        <v>6556</v>
      </c>
      <c r="BT82" s="3" t="s">
        <v>6102</v>
      </c>
    </row>
    <row r="83" ht="14.25" customHeight="1">
      <c r="A83" s="3" t="s">
        <v>50</v>
      </c>
      <c r="B83" s="3" t="s">
        <v>6557</v>
      </c>
      <c r="F83" s="3" t="s">
        <v>6558</v>
      </c>
      <c r="I83" s="3" t="s">
        <v>1066</v>
      </c>
      <c r="J83" s="3" t="s">
        <v>6137</v>
      </c>
      <c r="V83" s="3" t="s">
        <v>6559</v>
      </c>
      <c r="AT83" s="3" t="s">
        <v>6200</v>
      </c>
      <c r="AU83" s="3">
        <v>2023.0</v>
      </c>
      <c r="AV83" s="3">
        <v>51.0</v>
      </c>
      <c r="AW83" s="3">
        <v>3.0</v>
      </c>
      <c r="BB83" s="3">
        <v>615.0</v>
      </c>
      <c r="BC83" s="3">
        <v>626.0</v>
      </c>
      <c r="BE83" s="3" t="s">
        <v>1070</v>
      </c>
      <c r="BF83" s="3" t="s">
        <v>3936</v>
      </c>
      <c r="BN83" s="3">
        <v>3.685628E7</v>
      </c>
      <c r="BS83" s="3" t="s">
        <v>6560</v>
      </c>
      <c r="BT83" s="3" t="s">
        <v>6102</v>
      </c>
    </row>
    <row r="84" ht="14.25" customHeight="1">
      <c r="A84" s="3" t="s">
        <v>50</v>
      </c>
      <c r="B84" s="3" t="s">
        <v>6096</v>
      </c>
      <c r="F84" s="3" t="s">
        <v>6097</v>
      </c>
      <c r="I84" s="3" t="s">
        <v>1495</v>
      </c>
      <c r="J84" s="3" t="s">
        <v>6098</v>
      </c>
      <c r="V84" s="3" t="s">
        <v>6099</v>
      </c>
      <c r="AT84" s="3" t="s">
        <v>6100</v>
      </c>
      <c r="AU84" s="3">
        <v>2014.0</v>
      </c>
      <c r="AV84" s="3">
        <v>22.0</v>
      </c>
      <c r="AW84" s="3">
        <v>1.0</v>
      </c>
      <c r="BB84" s="3">
        <v>166.0</v>
      </c>
      <c r="BC84" s="3">
        <v>173.0</v>
      </c>
      <c r="BE84" s="3" t="s">
        <v>1499</v>
      </c>
      <c r="BF84" s="3" t="s">
        <v>4924</v>
      </c>
      <c r="BN84" s="3">
        <v>2.3242378E7</v>
      </c>
      <c r="BS84" s="3" t="s">
        <v>6101</v>
      </c>
      <c r="BT84" s="3" t="s">
        <v>6102</v>
      </c>
    </row>
    <row r="85" ht="14.25" customHeight="1">
      <c r="A85" s="3" t="s">
        <v>50</v>
      </c>
      <c r="B85" s="3" t="s">
        <v>6103</v>
      </c>
      <c r="F85" s="3" t="s">
        <v>6104</v>
      </c>
      <c r="I85" s="3" t="s">
        <v>216</v>
      </c>
      <c r="J85" s="3" t="s">
        <v>6105</v>
      </c>
      <c r="V85" s="3" t="s">
        <v>6106</v>
      </c>
      <c r="AT85" s="3" t="s">
        <v>6107</v>
      </c>
      <c r="AU85" s="3">
        <v>2020.0</v>
      </c>
      <c r="AV85" s="3">
        <v>36.0</v>
      </c>
      <c r="AW85" s="3">
        <v>6.0</v>
      </c>
      <c r="BB85" s="3">
        <v>1629.0</v>
      </c>
      <c r="BC85" s="3">
        <v>1646.0</v>
      </c>
      <c r="BE85" s="3" t="s">
        <v>220</v>
      </c>
      <c r="BF85" s="3" t="s">
        <v>2402</v>
      </c>
      <c r="BN85" s="3">
        <v>3.2059954E7</v>
      </c>
      <c r="BS85" s="3" t="s">
        <v>6108</v>
      </c>
      <c r="BT85" s="3" t="s">
        <v>6102</v>
      </c>
    </row>
    <row r="86" ht="14.25" customHeight="1">
      <c r="A86" s="3" t="s">
        <v>50</v>
      </c>
      <c r="B86" s="3" t="s">
        <v>6134</v>
      </c>
      <c r="F86" s="3" t="s">
        <v>6135</v>
      </c>
      <c r="I86" s="3" t="s">
        <v>6136</v>
      </c>
      <c r="J86" s="3" t="s">
        <v>6137</v>
      </c>
      <c r="V86" s="3" t="s">
        <v>6138</v>
      </c>
      <c r="AT86" s="3" t="s">
        <v>6139</v>
      </c>
      <c r="AU86" s="3">
        <v>2008.0</v>
      </c>
      <c r="AV86" s="3">
        <v>36.0</v>
      </c>
      <c r="AW86" s="3">
        <v>4.0</v>
      </c>
      <c r="BB86" s="3">
        <v>656.0</v>
      </c>
      <c r="BC86" s="3">
        <v>662.0</v>
      </c>
      <c r="BE86" s="3" t="s">
        <v>1712</v>
      </c>
      <c r="BF86" s="3" t="s">
        <v>5418</v>
      </c>
      <c r="BN86" s="3">
        <v>1.8212347E7</v>
      </c>
      <c r="BS86" s="3" t="s">
        <v>6140</v>
      </c>
      <c r="BT86" s="3" t="s">
        <v>6102</v>
      </c>
    </row>
    <row r="87" ht="14.25" customHeight="1">
      <c r="A87" s="3" t="s">
        <v>50</v>
      </c>
      <c r="B87" s="3" t="s">
        <v>6128</v>
      </c>
      <c r="F87" s="3" t="s">
        <v>6129</v>
      </c>
      <c r="I87" s="3" t="s">
        <v>314</v>
      </c>
      <c r="J87" s="3" t="s">
        <v>6130</v>
      </c>
      <c r="V87" s="3" t="s">
        <v>6131</v>
      </c>
      <c r="AT87" s="3" t="s">
        <v>6132</v>
      </c>
      <c r="AU87" s="3">
        <v>2015.0</v>
      </c>
      <c r="AV87" s="3">
        <v>25.0</v>
      </c>
      <c r="AW87" s="3">
        <v>4.0</v>
      </c>
      <c r="BB87" s="3">
        <v>321.0</v>
      </c>
      <c r="BC87" s="3">
        <v>331.0</v>
      </c>
      <c r="BE87" s="3" t="s">
        <v>317</v>
      </c>
      <c r="BF87" s="3" t="s">
        <v>2667</v>
      </c>
      <c r="BN87" s="3">
        <v>2.5514139E7</v>
      </c>
      <c r="BS87" s="3" t="s">
        <v>6133</v>
      </c>
      <c r="BT87" s="3" t="s">
        <v>6102</v>
      </c>
    </row>
    <row r="88" ht="14.25" customHeight="1">
      <c r="A88" s="3" t="s">
        <v>50</v>
      </c>
      <c r="B88" s="3" t="s">
        <v>6141</v>
      </c>
      <c r="F88" s="3" t="s">
        <v>6142</v>
      </c>
      <c r="I88" s="3" t="s">
        <v>6143</v>
      </c>
      <c r="J88" s="3" t="s">
        <v>6137</v>
      </c>
      <c r="V88" s="3" t="s">
        <v>6144</v>
      </c>
      <c r="AT88" s="3" t="s">
        <v>6145</v>
      </c>
      <c r="AU88" s="3">
        <v>2022.0</v>
      </c>
      <c r="AV88" s="3">
        <v>50.0</v>
      </c>
      <c r="AW88" s="3">
        <v>13.0</v>
      </c>
      <c r="BB88" s="3">
        <v>3477.0</v>
      </c>
      <c r="BC88" s="3">
        <v>3486.0</v>
      </c>
      <c r="BE88" s="3" t="s">
        <v>6146</v>
      </c>
      <c r="BF88" s="3" t="s">
        <v>6147</v>
      </c>
      <c r="BH88" s="10">
        <v>46317.0</v>
      </c>
      <c r="BN88" s="3">
        <v>3.6269582E7</v>
      </c>
      <c r="BS88" s="3" t="s">
        <v>6148</v>
      </c>
      <c r="BT88" s="3" t="s">
        <v>6102</v>
      </c>
    </row>
    <row r="89" ht="14.25" customHeight="1">
      <c r="A89" s="3" t="s">
        <v>50</v>
      </c>
      <c r="B89" s="3" t="s">
        <v>6149</v>
      </c>
      <c r="F89" s="3" t="s">
        <v>6150</v>
      </c>
      <c r="I89" s="3" t="s">
        <v>6151</v>
      </c>
      <c r="J89" s="3" t="s">
        <v>6137</v>
      </c>
      <c r="V89" s="3" t="s">
        <v>6152</v>
      </c>
      <c r="AT89" s="3" t="s">
        <v>6153</v>
      </c>
      <c r="AU89" s="3">
        <v>2008.0</v>
      </c>
      <c r="AV89" s="3">
        <v>36.0</v>
      </c>
      <c r="AW89" s="3">
        <v>2.0</v>
      </c>
      <c r="BB89" s="3">
        <v>290.0</v>
      </c>
      <c r="BC89" s="3">
        <v>297.0</v>
      </c>
      <c r="BE89" s="3" t="s">
        <v>1739</v>
      </c>
      <c r="BF89" s="3" t="s">
        <v>5469</v>
      </c>
      <c r="BN89" s="3">
        <v>1.7940145E7</v>
      </c>
      <c r="BS89" s="3" t="s">
        <v>6154</v>
      </c>
      <c r="BT89" s="3" t="s">
        <v>6102</v>
      </c>
    </row>
    <row r="90" ht="14.25" customHeight="1">
      <c r="A90" s="3" t="s">
        <v>50</v>
      </c>
      <c r="B90" s="3" t="s">
        <v>6561</v>
      </c>
      <c r="F90" s="3" t="s">
        <v>6562</v>
      </c>
      <c r="I90" s="3" t="s">
        <v>1298</v>
      </c>
      <c r="J90" s="3" t="s">
        <v>6098</v>
      </c>
      <c r="V90" s="3" t="s">
        <v>6563</v>
      </c>
      <c r="AT90" s="3" t="s">
        <v>6121</v>
      </c>
      <c r="AU90" s="3">
        <v>2018.0</v>
      </c>
      <c r="AV90" s="3">
        <v>26.0</v>
      </c>
      <c r="AW90" s="3">
        <v>5.0</v>
      </c>
      <c r="BB90" s="3">
        <v>1335.0</v>
      </c>
      <c r="BC90" s="3">
        <v>1342.0</v>
      </c>
      <c r="BE90" s="3" t="s">
        <v>1302</v>
      </c>
      <c r="BF90" s="3" t="s">
        <v>6564</v>
      </c>
      <c r="BN90" s="3">
        <v>2.8801704E7</v>
      </c>
      <c r="BS90" s="3" t="s">
        <v>6565</v>
      </c>
      <c r="BT90" s="3" t="s">
        <v>6102</v>
      </c>
    </row>
    <row r="91" ht="14.25" customHeight="1">
      <c r="A91" s="3" t="s">
        <v>50</v>
      </c>
      <c r="B91" s="3" t="s">
        <v>6155</v>
      </c>
      <c r="F91" s="3" t="s">
        <v>6155</v>
      </c>
      <c r="I91" s="3" t="s">
        <v>6156</v>
      </c>
      <c r="J91" s="3" t="s">
        <v>6137</v>
      </c>
      <c r="V91" s="3" t="s">
        <v>6157</v>
      </c>
      <c r="AT91" s="3" t="s">
        <v>6158</v>
      </c>
      <c r="AU91" s="3">
        <v>2003.0</v>
      </c>
      <c r="AV91" s="3">
        <v>31.0</v>
      </c>
      <c r="AW91" s="3">
        <v>1.0</v>
      </c>
      <c r="BB91" s="3">
        <v>19.0</v>
      </c>
      <c r="BC91" s="3">
        <v>25.0</v>
      </c>
      <c r="BE91" s="3" t="s">
        <v>689</v>
      </c>
      <c r="BF91" s="3" t="s">
        <v>6159</v>
      </c>
      <c r="BN91" s="3">
        <v>1.2531752E7</v>
      </c>
      <c r="BS91" s="3" t="s">
        <v>6160</v>
      </c>
      <c r="BT91" s="3" t="s">
        <v>6102</v>
      </c>
    </row>
    <row r="92" ht="14.25" customHeight="1">
      <c r="A92" s="3" t="s">
        <v>50</v>
      </c>
      <c r="B92" s="3" t="s">
        <v>6168</v>
      </c>
      <c r="F92" s="3" t="s">
        <v>6169</v>
      </c>
      <c r="I92" s="3" t="s">
        <v>6170</v>
      </c>
      <c r="J92" s="3" t="s">
        <v>6105</v>
      </c>
      <c r="V92" s="3" t="s">
        <v>6171</v>
      </c>
      <c r="AT92" s="3" t="s">
        <v>6100</v>
      </c>
      <c r="AU92" s="3">
        <v>2015.0</v>
      </c>
      <c r="AV92" s="3">
        <v>31.0</v>
      </c>
      <c r="AW92" s="3">
        <v>1.0</v>
      </c>
      <c r="BB92" s="3">
        <v>69.0</v>
      </c>
      <c r="BC92" s="3">
        <v>76.0</v>
      </c>
      <c r="BE92" s="3" t="s">
        <v>1411</v>
      </c>
      <c r="BF92" s="3" t="s">
        <v>4855</v>
      </c>
      <c r="BN92" s="3">
        <v>2.5242512E7</v>
      </c>
      <c r="BS92" s="3" t="s">
        <v>6172</v>
      </c>
      <c r="BT92" s="3" t="s">
        <v>6102</v>
      </c>
    </row>
    <row r="93" ht="14.25" customHeight="1">
      <c r="A93" s="3" t="s">
        <v>50</v>
      </c>
      <c r="B93" s="3" t="s">
        <v>6173</v>
      </c>
      <c r="F93" s="3" t="s">
        <v>6174</v>
      </c>
      <c r="I93" s="3" t="s">
        <v>6175</v>
      </c>
      <c r="J93" s="3" t="s">
        <v>6137</v>
      </c>
      <c r="V93" s="3" t="s">
        <v>6176</v>
      </c>
      <c r="AT93" s="3" t="s">
        <v>6177</v>
      </c>
      <c r="AU93" s="3">
        <v>2012.0</v>
      </c>
      <c r="AV93" s="3">
        <v>40.0</v>
      </c>
      <c r="AW93" s="3">
        <v>8.0</v>
      </c>
      <c r="BB93" s="3">
        <v>1772.0</v>
      </c>
      <c r="BC93" s="3">
        <v>1780.0</v>
      </c>
      <c r="BE93" s="3" t="s">
        <v>1524</v>
      </c>
      <c r="BF93" s="3" t="s">
        <v>6178</v>
      </c>
      <c r="BN93" s="3">
        <v>2.2713551E7</v>
      </c>
      <c r="BS93" s="3" t="s">
        <v>6179</v>
      </c>
      <c r="BT93" s="3" t="s">
        <v>6102</v>
      </c>
    </row>
    <row r="94" ht="14.25" customHeight="1">
      <c r="A94" s="3" t="s">
        <v>50</v>
      </c>
      <c r="B94" s="3" t="s">
        <v>6161</v>
      </c>
      <c r="F94" s="3" t="s">
        <v>6162</v>
      </c>
      <c r="I94" s="3" t="s">
        <v>6163</v>
      </c>
      <c r="J94" s="3" t="s">
        <v>6137</v>
      </c>
      <c r="V94" s="3" t="s">
        <v>6164</v>
      </c>
      <c r="AT94" s="3" t="s">
        <v>6165</v>
      </c>
      <c r="AU94" s="3">
        <v>2011.0</v>
      </c>
      <c r="AV94" s="3">
        <v>39.0</v>
      </c>
      <c r="AW94" s="3">
        <v>10.0</v>
      </c>
      <c r="BB94" s="3">
        <v>2161.0</v>
      </c>
      <c r="BC94" s="3">
        <v>2169.0</v>
      </c>
      <c r="BE94" s="3" t="s">
        <v>406</v>
      </c>
      <c r="BF94" s="3" t="s">
        <v>6166</v>
      </c>
      <c r="BN94" s="3">
        <v>2.1712483E7</v>
      </c>
      <c r="BS94" s="3" t="s">
        <v>6167</v>
      </c>
      <c r="BT94" s="3" t="s">
        <v>6102</v>
      </c>
    </row>
    <row r="95" ht="14.25" customHeight="1">
      <c r="A95" s="3" t="s">
        <v>50</v>
      </c>
      <c r="B95" s="3" t="s">
        <v>6566</v>
      </c>
      <c r="F95" s="3" t="s">
        <v>6567</v>
      </c>
      <c r="I95" s="3" t="s">
        <v>6568</v>
      </c>
      <c r="J95" s="3" t="s">
        <v>6137</v>
      </c>
      <c r="V95" s="3" t="s">
        <v>6569</v>
      </c>
      <c r="AT95" s="3" t="s">
        <v>6121</v>
      </c>
      <c r="AU95" s="3">
        <v>2016.0</v>
      </c>
      <c r="AV95" s="3">
        <v>44.0</v>
      </c>
      <c r="AW95" s="3">
        <v>5.0</v>
      </c>
      <c r="BB95" s="3">
        <v>1225.0</v>
      </c>
      <c r="BC95" s="3">
        <v>1236.0</v>
      </c>
      <c r="BE95" s="3" t="s">
        <v>1355</v>
      </c>
      <c r="BF95" s="3" t="s">
        <v>4760</v>
      </c>
      <c r="BN95" s="3">
        <v>2.6948548E7</v>
      </c>
      <c r="BS95" s="3" t="s">
        <v>6570</v>
      </c>
      <c r="BT95" s="3" t="s">
        <v>6102</v>
      </c>
    </row>
    <row r="96" ht="14.25" customHeight="1">
      <c r="A96" s="3" t="s">
        <v>50</v>
      </c>
      <c r="B96" s="3" t="s">
        <v>6571</v>
      </c>
      <c r="F96" s="3" t="s">
        <v>6572</v>
      </c>
      <c r="I96" s="3" t="s">
        <v>6573</v>
      </c>
      <c r="J96" s="3" t="s">
        <v>6098</v>
      </c>
      <c r="V96" s="3" t="s">
        <v>6574</v>
      </c>
      <c r="AT96" s="3" t="s">
        <v>6227</v>
      </c>
      <c r="AU96" s="3">
        <v>2015.0</v>
      </c>
      <c r="AV96" s="3">
        <v>23.0</v>
      </c>
      <c r="AW96" s="3">
        <v>12.0</v>
      </c>
      <c r="BB96" s="3">
        <v>3473.0</v>
      </c>
      <c r="BC96" s="3">
        <v>3481.0</v>
      </c>
      <c r="BE96" s="3" t="s">
        <v>6575</v>
      </c>
      <c r="BF96" s="3" t="s">
        <v>6576</v>
      </c>
      <c r="BN96" s="3">
        <v>2.4993569E7</v>
      </c>
      <c r="BS96" s="3" t="s">
        <v>6577</v>
      </c>
      <c r="BT96" s="3" t="s">
        <v>6102</v>
      </c>
    </row>
    <row r="97" ht="14.25" customHeight="1">
      <c r="A97" s="3" t="s">
        <v>50</v>
      </c>
      <c r="B97" s="3" t="s">
        <v>6180</v>
      </c>
      <c r="F97" s="3" t="s">
        <v>6180</v>
      </c>
      <c r="I97" s="3" t="s">
        <v>638</v>
      </c>
      <c r="J97" s="3" t="s">
        <v>6137</v>
      </c>
      <c r="V97" s="3" t="s">
        <v>6181</v>
      </c>
      <c r="AT97" s="3" t="s">
        <v>6100</v>
      </c>
      <c r="AU97" s="3">
        <v>2005.0</v>
      </c>
      <c r="AV97" s="3">
        <v>33.0</v>
      </c>
      <c r="AW97" s="3">
        <v>1.0</v>
      </c>
      <c r="BB97" s="3">
        <v>94.0</v>
      </c>
      <c r="BC97" s="3">
        <v>101.0</v>
      </c>
      <c r="BE97" s="3" t="s">
        <v>642</v>
      </c>
      <c r="BF97" s="3" t="s">
        <v>3119</v>
      </c>
      <c r="BN97" s="3">
        <v>1.5611004E7</v>
      </c>
      <c r="BS97" s="3" t="s">
        <v>6182</v>
      </c>
      <c r="BT97" s="3" t="s">
        <v>6102</v>
      </c>
    </row>
    <row r="98" ht="14.25" customHeight="1">
      <c r="A98" s="3" t="s">
        <v>50</v>
      </c>
      <c r="B98" s="3" t="s">
        <v>6578</v>
      </c>
      <c r="F98" s="3" t="s">
        <v>6579</v>
      </c>
      <c r="I98" s="3" t="s">
        <v>1755</v>
      </c>
      <c r="J98" s="3" t="s">
        <v>6105</v>
      </c>
      <c r="V98" s="3" t="s">
        <v>6580</v>
      </c>
      <c r="AT98" s="3" t="s">
        <v>6107</v>
      </c>
      <c r="AU98" s="3">
        <v>2007.0</v>
      </c>
      <c r="AV98" s="3">
        <v>23.0</v>
      </c>
      <c r="AW98" s="3">
        <v>6.0</v>
      </c>
      <c r="BB98" s="3">
        <v>618.0</v>
      </c>
      <c r="BC98" s="3">
        <v>628.0</v>
      </c>
      <c r="BE98" s="3" t="s">
        <v>1759</v>
      </c>
      <c r="BF98" s="3" t="s">
        <v>5519</v>
      </c>
      <c r="BN98" s="3">
        <v>1.7560476E7</v>
      </c>
      <c r="BS98" s="3" t="s">
        <v>6581</v>
      </c>
      <c r="BT98" s="3" t="s">
        <v>6102</v>
      </c>
    </row>
    <row r="99" ht="14.25" customHeight="1">
      <c r="A99" s="3" t="s">
        <v>50</v>
      </c>
      <c r="B99" s="3" t="s">
        <v>6582</v>
      </c>
      <c r="F99" s="3" t="s">
        <v>6583</v>
      </c>
      <c r="I99" s="3" t="s">
        <v>6584</v>
      </c>
      <c r="J99" s="3" t="s">
        <v>6585</v>
      </c>
      <c r="V99" s="3" t="s">
        <v>6586</v>
      </c>
      <c r="AT99" s="3" t="s">
        <v>6587</v>
      </c>
      <c r="AU99" s="3">
        <v>2017.0</v>
      </c>
      <c r="AV99" s="3">
        <v>7.0</v>
      </c>
      <c r="AW99" s="3">
        <v>4.0</v>
      </c>
      <c r="BB99" s="3">
        <v>564.0</v>
      </c>
      <c r="BC99" s="3">
        <v>572.0</v>
      </c>
      <c r="BE99" s="3" t="s">
        <v>6588</v>
      </c>
      <c r="BF99" s="3" t="s">
        <v>6589</v>
      </c>
      <c r="BN99" s="3">
        <v>2.9721458E7</v>
      </c>
      <c r="BS99" s="3" t="s">
        <v>6590</v>
      </c>
      <c r="BT99" s="3" t="s">
        <v>6102</v>
      </c>
    </row>
    <row r="100" ht="14.25" customHeight="1">
      <c r="A100" s="3" t="s">
        <v>50</v>
      </c>
      <c r="B100" s="3" t="s">
        <v>6183</v>
      </c>
      <c r="F100" s="3" t="s">
        <v>6183</v>
      </c>
      <c r="I100" s="3" t="s">
        <v>598</v>
      </c>
      <c r="J100" s="3" t="s">
        <v>6137</v>
      </c>
      <c r="V100" s="3" t="s">
        <v>6184</v>
      </c>
      <c r="AT100" s="3" t="s">
        <v>6153</v>
      </c>
      <c r="AU100" s="3">
        <v>2006.0</v>
      </c>
      <c r="AV100" s="3">
        <v>34.0</v>
      </c>
      <c r="AW100" s="3">
        <v>2.0</v>
      </c>
      <c r="BB100" s="3">
        <v>213.0</v>
      </c>
      <c r="BC100" s="3">
        <v>219.0</v>
      </c>
      <c r="BE100" s="3" t="s">
        <v>602</v>
      </c>
      <c r="BF100" s="3" t="s">
        <v>3036</v>
      </c>
      <c r="BN100" s="3">
        <v>1.6282583E7</v>
      </c>
      <c r="BS100" s="3" t="s">
        <v>6185</v>
      </c>
      <c r="BT100" s="3" t="s">
        <v>6102</v>
      </c>
    </row>
    <row r="101" ht="14.25" customHeight="1">
      <c r="A101" s="3" t="s">
        <v>50</v>
      </c>
      <c r="B101" s="3" t="s">
        <v>6196</v>
      </c>
      <c r="F101" s="3" t="s">
        <v>6197</v>
      </c>
      <c r="I101" s="3" t="s">
        <v>6198</v>
      </c>
      <c r="J101" s="3" t="s">
        <v>6137</v>
      </c>
      <c r="V101" s="3" t="s">
        <v>6199</v>
      </c>
      <c r="AT101" s="3" t="s">
        <v>6200</v>
      </c>
      <c r="AU101" s="3">
        <v>2010.0</v>
      </c>
      <c r="AV101" s="3">
        <v>38.0</v>
      </c>
      <c r="AW101" s="3">
        <v>3.0</v>
      </c>
      <c r="BB101" s="3">
        <v>448.0</v>
      </c>
      <c r="BC101" s="3">
        <v>454.0</v>
      </c>
      <c r="BE101" s="3" t="s">
        <v>466</v>
      </c>
      <c r="BF101" s="3" t="s">
        <v>6201</v>
      </c>
      <c r="BN101" s="3">
        <v>2.0097928E7</v>
      </c>
      <c r="BS101" s="3" t="s">
        <v>6202</v>
      </c>
      <c r="BT101" s="3" t="s">
        <v>6102</v>
      </c>
    </row>
    <row r="102" ht="14.25" customHeight="1">
      <c r="A102" s="3" t="s">
        <v>50</v>
      </c>
      <c r="B102" s="3" t="s">
        <v>6203</v>
      </c>
      <c r="F102" s="3" t="s">
        <v>6204</v>
      </c>
      <c r="I102" s="3" t="s">
        <v>6205</v>
      </c>
      <c r="J102" s="3" t="s">
        <v>6188</v>
      </c>
      <c r="V102" s="3" t="s">
        <v>6206</v>
      </c>
      <c r="AT102" s="3" t="s">
        <v>6207</v>
      </c>
      <c r="AU102" s="3">
        <v>2007.0</v>
      </c>
      <c r="AV102" s="3" t="s">
        <v>6208</v>
      </c>
      <c r="AW102" s="3">
        <v>9.0</v>
      </c>
      <c r="BB102" s="3">
        <v>1165.0</v>
      </c>
      <c r="BC102" s="3">
        <v>1171.0</v>
      </c>
      <c r="BE102" s="3" t="s">
        <v>1749</v>
      </c>
      <c r="BF102" s="3" t="s">
        <v>5499</v>
      </c>
      <c r="BN102" s="3">
        <v>1.7905952E7</v>
      </c>
      <c r="BS102" s="3" t="s">
        <v>6209</v>
      </c>
      <c r="BT102" s="3" t="s">
        <v>6102</v>
      </c>
    </row>
    <row r="103" ht="14.25" customHeight="1">
      <c r="A103" s="3" t="s">
        <v>50</v>
      </c>
      <c r="B103" s="3" t="s">
        <v>6591</v>
      </c>
      <c r="F103" s="3" t="s">
        <v>6592</v>
      </c>
      <c r="I103" s="3" t="s">
        <v>6593</v>
      </c>
      <c r="J103" s="3" t="s">
        <v>6137</v>
      </c>
      <c r="V103" s="3" t="s">
        <v>6594</v>
      </c>
      <c r="AT103" s="3" t="s">
        <v>6207</v>
      </c>
      <c r="AU103" s="3">
        <v>2016.0</v>
      </c>
      <c r="AV103" s="3">
        <v>44.0</v>
      </c>
      <c r="AW103" s="3">
        <v>9.0</v>
      </c>
      <c r="BB103" s="3">
        <v>2314.0</v>
      </c>
      <c r="BC103" s="3">
        <v>2322.0</v>
      </c>
      <c r="BE103" s="3" t="s">
        <v>1340</v>
      </c>
      <c r="BF103" s="3" t="s">
        <v>4725</v>
      </c>
      <c r="BN103" s="3">
        <v>2.7343215E7</v>
      </c>
      <c r="BS103" s="3" t="s">
        <v>6595</v>
      </c>
      <c r="BT103" s="3" t="s">
        <v>6102</v>
      </c>
    </row>
    <row r="104" ht="14.25" customHeight="1">
      <c r="A104" s="3" t="s">
        <v>50</v>
      </c>
      <c r="B104" s="3" t="s">
        <v>6596</v>
      </c>
      <c r="F104" s="3" t="s">
        <v>6597</v>
      </c>
      <c r="I104" s="3" t="s">
        <v>6598</v>
      </c>
      <c r="J104" s="3" t="s">
        <v>6137</v>
      </c>
      <c r="V104" s="3" t="s">
        <v>6599</v>
      </c>
      <c r="AT104" s="3" t="s">
        <v>6200</v>
      </c>
      <c r="AU104" s="3">
        <v>2018.0</v>
      </c>
      <c r="AV104" s="3">
        <v>46.0</v>
      </c>
      <c r="AW104" s="3">
        <v>3.0</v>
      </c>
      <c r="BB104" s="3">
        <v>544.0</v>
      </c>
      <c r="BC104" s="3">
        <v>556.0</v>
      </c>
      <c r="BE104" s="3" t="s">
        <v>6600</v>
      </c>
      <c r="BF104" s="3" t="s">
        <v>6601</v>
      </c>
      <c r="BN104" s="3">
        <v>2.9293362E7</v>
      </c>
      <c r="BS104" s="3" t="s">
        <v>6602</v>
      </c>
      <c r="BT104" s="3" t="s">
        <v>6102</v>
      </c>
    </row>
    <row r="105" ht="14.25" customHeight="1">
      <c r="A105" s="3" t="s">
        <v>50</v>
      </c>
      <c r="B105" s="3" t="s">
        <v>6210</v>
      </c>
      <c r="F105" s="3" t="s">
        <v>6210</v>
      </c>
      <c r="I105" s="3" t="s">
        <v>5561</v>
      </c>
      <c r="J105" s="3" t="s">
        <v>6105</v>
      </c>
      <c r="V105" s="3" t="s">
        <v>6211</v>
      </c>
      <c r="AT105" s="3" t="s">
        <v>6145</v>
      </c>
      <c r="AU105" s="3">
        <v>2005.0</v>
      </c>
      <c r="AV105" s="3">
        <v>21.0</v>
      </c>
      <c r="AW105" s="3">
        <v>11.0</v>
      </c>
      <c r="BB105" s="3">
        <v>1337.0</v>
      </c>
      <c r="BC105" s="3">
        <v>1341.0</v>
      </c>
      <c r="BE105" s="3" t="s">
        <v>1786</v>
      </c>
      <c r="BF105" s="3" t="s">
        <v>5568</v>
      </c>
      <c r="BN105" s="3">
        <v>1.6325084E7</v>
      </c>
      <c r="BS105" s="3" t="s">
        <v>6212</v>
      </c>
      <c r="BT105" s="3" t="s">
        <v>6102</v>
      </c>
    </row>
    <row r="106" ht="14.25" customHeight="1">
      <c r="A106" s="3" t="s">
        <v>50</v>
      </c>
      <c r="B106" s="3" t="s">
        <v>6218</v>
      </c>
      <c r="F106" s="3" t="s">
        <v>6219</v>
      </c>
      <c r="I106" s="3" t="s">
        <v>6220</v>
      </c>
      <c r="J106" s="3" t="s">
        <v>6105</v>
      </c>
      <c r="V106" s="3" t="s">
        <v>6221</v>
      </c>
      <c r="AT106" s="3" t="s">
        <v>6132</v>
      </c>
      <c r="AU106" s="3">
        <v>2007.0</v>
      </c>
      <c r="AV106" s="3">
        <v>23.0</v>
      </c>
      <c r="AW106" s="3">
        <v>7.0</v>
      </c>
      <c r="BB106" s="3">
        <v>766.0</v>
      </c>
      <c r="BC106" s="3">
        <v>770.0</v>
      </c>
      <c r="BE106" s="3" t="s">
        <v>1754</v>
      </c>
      <c r="BF106" s="3" t="s">
        <v>5509</v>
      </c>
      <c r="BN106" s="3">
        <v>1.7637413E7</v>
      </c>
      <c r="BS106" s="3" t="s">
        <v>6222</v>
      </c>
      <c r="BT106" s="3" t="s">
        <v>6102</v>
      </c>
    </row>
    <row r="107" ht="14.25" customHeight="1">
      <c r="A107" s="3" t="s">
        <v>50</v>
      </c>
      <c r="B107" s="3" t="s">
        <v>6603</v>
      </c>
      <c r="F107" s="3" t="s">
        <v>6604</v>
      </c>
      <c r="I107" s="3" t="s">
        <v>1187</v>
      </c>
      <c r="J107" s="3" t="s">
        <v>6137</v>
      </c>
      <c r="V107" s="3" t="s">
        <v>6605</v>
      </c>
      <c r="AT107" s="3" t="s">
        <v>6121</v>
      </c>
      <c r="AU107" s="3">
        <v>2020.0</v>
      </c>
      <c r="AV107" s="3">
        <v>48.0</v>
      </c>
      <c r="AW107" s="3">
        <v>6.0</v>
      </c>
      <c r="BB107" s="3">
        <v>1316.0</v>
      </c>
      <c r="BC107" s="3">
        <v>1326.0</v>
      </c>
      <c r="BD107" s="12">
        <v>3.64E14</v>
      </c>
      <c r="BE107" s="3" t="s">
        <v>1191</v>
      </c>
      <c r="BF107" s="3" t="s">
        <v>4320</v>
      </c>
      <c r="BH107" s="10">
        <v>46132.0</v>
      </c>
      <c r="BN107" s="3">
        <v>3.2302205E7</v>
      </c>
      <c r="BS107" s="3" t="s">
        <v>6606</v>
      </c>
      <c r="BT107" s="3" t="s">
        <v>6102</v>
      </c>
    </row>
    <row r="108" ht="14.25" customHeight="1">
      <c r="A108" s="3" t="s">
        <v>50</v>
      </c>
      <c r="B108" s="3" t="s">
        <v>6213</v>
      </c>
      <c r="F108" s="3" t="s">
        <v>6214</v>
      </c>
      <c r="I108" s="3" t="s">
        <v>6215</v>
      </c>
      <c r="J108" s="3" t="s">
        <v>6137</v>
      </c>
      <c r="V108" s="3" t="s">
        <v>6216</v>
      </c>
      <c r="AT108" s="3" t="s">
        <v>6121</v>
      </c>
      <c r="AU108" s="3">
        <v>2007.0</v>
      </c>
      <c r="AV108" s="3">
        <v>35.0</v>
      </c>
      <c r="AW108" s="3">
        <v>5.0</v>
      </c>
      <c r="BB108" s="3">
        <v>740.0</v>
      </c>
      <c r="BC108" s="3">
        <v>748.0</v>
      </c>
      <c r="BE108" s="3" t="s">
        <v>533</v>
      </c>
      <c r="BF108" s="3" t="s">
        <v>2975</v>
      </c>
      <c r="BN108" s="3">
        <v>1.7293471E7</v>
      </c>
      <c r="BS108" s="3" t="s">
        <v>6217</v>
      </c>
      <c r="BT108" s="3" t="s">
        <v>6102</v>
      </c>
    </row>
    <row r="109" ht="14.25" customHeight="1">
      <c r="A109" s="3" t="s">
        <v>50</v>
      </c>
      <c r="B109" s="3" t="s">
        <v>6234</v>
      </c>
      <c r="F109" s="3" t="s">
        <v>6235</v>
      </c>
      <c r="I109" s="3" t="s">
        <v>6236</v>
      </c>
      <c r="J109" s="3" t="s">
        <v>6137</v>
      </c>
      <c r="V109" s="3" t="s">
        <v>6237</v>
      </c>
      <c r="AT109" s="3" t="s">
        <v>6165</v>
      </c>
      <c r="AU109" s="3">
        <v>2006.0</v>
      </c>
      <c r="AV109" s="3">
        <v>34.0</v>
      </c>
      <c r="AW109" s="3">
        <v>10.0</v>
      </c>
      <c r="BB109" s="3">
        <v>1574.0</v>
      </c>
      <c r="BC109" s="3">
        <v>1580.0</v>
      </c>
      <c r="BE109" s="3" t="s">
        <v>1772</v>
      </c>
      <c r="BF109" s="3" t="s">
        <v>5538</v>
      </c>
      <c r="BN109" s="3">
        <v>1.6685087E7</v>
      </c>
      <c r="BS109" s="3" t="s">
        <v>6238</v>
      </c>
      <c r="BT109" s="3" t="s">
        <v>6102</v>
      </c>
    </row>
    <row r="110" ht="14.25" customHeight="1">
      <c r="A110" s="3" t="s">
        <v>50</v>
      </c>
      <c r="B110" s="3" t="s">
        <v>6223</v>
      </c>
      <c r="F110" s="3" t="s">
        <v>6224</v>
      </c>
      <c r="I110" s="3" t="s">
        <v>388</v>
      </c>
      <c r="J110" s="3" t="s">
        <v>6225</v>
      </c>
      <c r="V110" s="3" t="s">
        <v>6226</v>
      </c>
      <c r="AT110" s="3" t="s">
        <v>6227</v>
      </c>
      <c r="AU110" s="3">
        <v>2012.0</v>
      </c>
      <c r="AV110" s="3">
        <v>19.0</v>
      </c>
      <c r="AW110" s="3">
        <v>6.0</v>
      </c>
      <c r="BB110" s="3">
        <v>779.0</v>
      </c>
      <c r="BC110" s="3">
        <v>785.0</v>
      </c>
      <c r="BE110" s="3" t="s">
        <v>392</v>
      </c>
      <c r="BF110" s="3" t="s">
        <v>2793</v>
      </c>
      <c r="BN110" s="3">
        <v>2.2425308E7</v>
      </c>
      <c r="BS110" s="3" t="s">
        <v>6228</v>
      </c>
      <c r="BT110" s="3" t="s">
        <v>6102</v>
      </c>
    </row>
    <row r="111" ht="14.25" customHeight="1">
      <c r="A111" s="3" t="s">
        <v>50</v>
      </c>
      <c r="B111" s="3" t="s">
        <v>6607</v>
      </c>
      <c r="F111" s="3" t="s">
        <v>6608</v>
      </c>
      <c r="I111" s="3" t="s">
        <v>6609</v>
      </c>
      <c r="J111" s="3" t="s">
        <v>6137</v>
      </c>
      <c r="V111" s="3" t="s">
        <v>6610</v>
      </c>
      <c r="AT111" s="3" t="s">
        <v>6139</v>
      </c>
      <c r="AU111" s="3">
        <v>2013.0</v>
      </c>
      <c r="AV111" s="3">
        <v>41.0</v>
      </c>
      <c r="AW111" s="3">
        <v>4.0</v>
      </c>
      <c r="BB111" s="3">
        <v>804.0</v>
      </c>
      <c r="BC111" s="3">
        <v>814.0</v>
      </c>
      <c r="BE111" s="3" t="s">
        <v>1469</v>
      </c>
      <c r="BF111" s="3" t="s">
        <v>5034</v>
      </c>
      <c r="BN111" s="3">
        <v>2.3460328E7</v>
      </c>
      <c r="BS111" s="3" t="s">
        <v>6611</v>
      </c>
      <c r="BT111" s="3" t="s">
        <v>6102</v>
      </c>
    </row>
    <row r="112" ht="14.25" customHeight="1">
      <c r="A112" s="3" t="s">
        <v>50</v>
      </c>
      <c r="B112" s="3" t="s">
        <v>6612</v>
      </c>
      <c r="F112" s="3" t="s">
        <v>6613</v>
      </c>
      <c r="I112" s="3" t="s">
        <v>1170</v>
      </c>
      <c r="J112" s="3" t="s">
        <v>6105</v>
      </c>
      <c r="V112" s="3" t="s">
        <v>6614</v>
      </c>
      <c r="AT112" s="3" t="s">
        <v>6153</v>
      </c>
      <c r="AU112" s="3">
        <v>2021.0</v>
      </c>
      <c r="AV112" s="3">
        <v>37.0</v>
      </c>
      <c r="AW112" s="3">
        <v>2.0</v>
      </c>
      <c r="BB112" s="3">
        <v>579.0</v>
      </c>
      <c r="BC112" s="3">
        <v>585.0</v>
      </c>
      <c r="BE112" s="3" t="s">
        <v>1174</v>
      </c>
      <c r="BF112" s="3" t="s">
        <v>4192</v>
      </c>
      <c r="BH112" s="10">
        <v>46074.0</v>
      </c>
      <c r="BN112" s="3">
        <v>3.2828934E7</v>
      </c>
      <c r="BS112" s="3" t="s">
        <v>6615</v>
      </c>
      <c r="BT112" s="3" t="s">
        <v>6102</v>
      </c>
    </row>
    <row r="113" ht="14.25" customHeight="1">
      <c r="A113" s="3" t="s">
        <v>50</v>
      </c>
      <c r="B113" s="3" t="s">
        <v>6229</v>
      </c>
      <c r="F113" s="3" t="s">
        <v>6230</v>
      </c>
      <c r="I113" s="3" t="s">
        <v>293</v>
      </c>
      <c r="J113" s="3" t="s">
        <v>6231</v>
      </c>
      <c r="V113" s="3" t="s">
        <v>6232</v>
      </c>
      <c r="AT113" s="3" t="s">
        <v>6139</v>
      </c>
      <c r="AU113" s="3">
        <v>2016.0</v>
      </c>
      <c r="AV113" s="3">
        <v>136.0</v>
      </c>
      <c r="AW113" s="3">
        <v>4.0</v>
      </c>
      <c r="BB113" s="3">
        <v>521.0</v>
      </c>
      <c r="BC113" s="3">
        <v>525.0</v>
      </c>
      <c r="BE113" s="3" t="s">
        <v>297</v>
      </c>
      <c r="BF113" s="3" t="s">
        <v>2628</v>
      </c>
      <c r="BN113" s="3">
        <v>2.672505E7</v>
      </c>
      <c r="BS113" s="3" t="s">
        <v>6233</v>
      </c>
      <c r="BT113" s="3" t="s">
        <v>6102</v>
      </c>
    </row>
    <row r="114" ht="14.25" customHeight="1">
      <c r="A114" s="3" t="s">
        <v>50</v>
      </c>
      <c r="B114" s="3" t="s">
        <v>6616</v>
      </c>
      <c r="F114" s="3" t="s">
        <v>6617</v>
      </c>
      <c r="I114" s="3" t="s">
        <v>1346</v>
      </c>
      <c r="J114" s="3" t="s">
        <v>6137</v>
      </c>
      <c r="V114" s="3" t="s">
        <v>6618</v>
      </c>
      <c r="AT114" s="3" t="s">
        <v>6107</v>
      </c>
      <c r="AU114" s="3">
        <v>2016.0</v>
      </c>
      <c r="AV114" s="3">
        <v>44.0</v>
      </c>
      <c r="AW114" s="3">
        <v>6.0</v>
      </c>
      <c r="BB114" s="3">
        <v>1482.0</v>
      </c>
      <c r="BC114" s="3">
        <v>1486.0</v>
      </c>
      <c r="BE114" s="3" t="s">
        <v>1350</v>
      </c>
      <c r="BF114" s="3" t="s">
        <v>4752</v>
      </c>
      <c r="BN114" s="3">
        <v>2.6980844E7</v>
      </c>
      <c r="BS114" s="3" t="s">
        <v>6619</v>
      </c>
      <c r="BT114" s="3" t="s">
        <v>6102</v>
      </c>
    </row>
    <row r="115" ht="14.25" customHeight="1">
      <c r="A115" s="3" t="s">
        <v>50</v>
      </c>
      <c r="B115" s="3" t="s">
        <v>6266</v>
      </c>
      <c r="F115" s="3" t="s">
        <v>6267</v>
      </c>
      <c r="I115" s="3" t="s">
        <v>6268</v>
      </c>
      <c r="J115" s="3" t="s">
        <v>6137</v>
      </c>
      <c r="V115" s="3" t="s">
        <v>6269</v>
      </c>
      <c r="AT115" s="3" t="s">
        <v>6177</v>
      </c>
      <c r="AU115" s="3">
        <v>2010.0</v>
      </c>
      <c r="AV115" s="3">
        <v>38.0</v>
      </c>
      <c r="AW115" s="3">
        <v>8.0</v>
      </c>
      <c r="BB115" s="3">
        <v>1598.0</v>
      </c>
      <c r="BC115" s="3">
        <v>1605.0</v>
      </c>
      <c r="BE115" s="3" t="s">
        <v>1608</v>
      </c>
      <c r="BF115" s="3" t="s">
        <v>6270</v>
      </c>
      <c r="BN115" s="3">
        <v>2.039297E7</v>
      </c>
      <c r="BS115" s="3" t="s">
        <v>6271</v>
      </c>
      <c r="BT115" s="3" t="s">
        <v>6102</v>
      </c>
    </row>
    <row r="116" ht="14.25" customHeight="1">
      <c r="A116" s="3" t="s">
        <v>50</v>
      </c>
      <c r="B116" s="3" t="s">
        <v>6244</v>
      </c>
      <c r="F116" s="3" t="s">
        <v>6245</v>
      </c>
      <c r="I116" s="3" t="s">
        <v>6246</v>
      </c>
      <c r="J116" s="3" t="s">
        <v>6137</v>
      </c>
      <c r="V116" s="3" t="s">
        <v>6247</v>
      </c>
      <c r="AT116" s="3" t="s">
        <v>6227</v>
      </c>
      <c r="AU116" s="3">
        <v>2016.0</v>
      </c>
      <c r="AV116" s="3">
        <v>44.0</v>
      </c>
      <c r="AW116" s="3">
        <v>12.0</v>
      </c>
      <c r="BB116" s="3">
        <v>3083.0</v>
      </c>
      <c r="BC116" s="3">
        <v>3094.0</v>
      </c>
      <c r="BE116" s="3" t="s">
        <v>6248</v>
      </c>
      <c r="BF116" s="3" t="s">
        <v>6249</v>
      </c>
      <c r="BN116" s="3">
        <v>2.7492972E7</v>
      </c>
      <c r="BS116" s="3" t="s">
        <v>6250</v>
      </c>
      <c r="BT116" s="3" t="s">
        <v>6102</v>
      </c>
    </row>
    <row r="117" ht="14.25" customHeight="1">
      <c r="A117" s="3" t="s">
        <v>50</v>
      </c>
      <c r="B117" s="3" t="s">
        <v>6262</v>
      </c>
      <c r="F117" s="3" t="s">
        <v>6263</v>
      </c>
      <c r="I117" s="3" t="s">
        <v>1278</v>
      </c>
      <c r="J117" s="3" t="s">
        <v>6137</v>
      </c>
      <c r="V117" s="3" t="s">
        <v>6264</v>
      </c>
      <c r="AT117" s="3" t="s">
        <v>6139</v>
      </c>
      <c r="AU117" s="3">
        <v>2018.0</v>
      </c>
      <c r="AV117" s="3">
        <v>46.0</v>
      </c>
      <c r="AW117" s="3">
        <v>5.0</v>
      </c>
      <c r="BB117" s="3">
        <v>1143.0</v>
      </c>
      <c r="BC117" s="3">
        <v>1149.0</v>
      </c>
      <c r="BE117" s="3" t="s">
        <v>1282</v>
      </c>
      <c r="BF117" s="3" t="s">
        <v>4520</v>
      </c>
      <c r="BN117" s="3">
        <v>2.9443537E7</v>
      </c>
      <c r="BS117" s="3" t="s">
        <v>6265</v>
      </c>
      <c r="BT117" s="3" t="s">
        <v>6102</v>
      </c>
    </row>
    <row r="118" ht="14.25" customHeight="1">
      <c r="A118" s="3" t="s">
        <v>50</v>
      </c>
      <c r="B118" s="3" t="s">
        <v>6251</v>
      </c>
      <c r="F118" s="3" t="s">
        <v>6252</v>
      </c>
      <c r="I118" s="3" t="s">
        <v>6253</v>
      </c>
      <c r="J118" s="3" t="s">
        <v>6105</v>
      </c>
      <c r="V118" s="3" t="s">
        <v>6254</v>
      </c>
      <c r="AT118" s="3" t="s">
        <v>6100</v>
      </c>
      <c r="AU118" s="3">
        <v>2013.0</v>
      </c>
      <c r="AV118" s="3">
        <v>29.0</v>
      </c>
      <c r="AW118" s="3">
        <v>1.0</v>
      </c>
      <c r="BB118" s="3">
        <v>83.0</v>
      </c>
      <c r="BC118" s="3">
        <v>88.0</v>
      </c>
      <c r="BE118" s="3" t="s">
        <v>1485</v>
      </c>
      <c r="BF118" s="3" t="s">
        <v>5044</v>
      </c>
      <c r="BN118" s="3">
        <v>2.3276416E7</v>
      </c>
      <c r="BS118" s="3" t="s">
        <v>6255</v>
      </c>
      <c r="BT118" s="3" t="s">
        <v>6102</v>
      </c>
    </row>
    <row r="119" ht="14.25" customHeight="1">
      <c r="A119" s="3" t="s">
        <v>50</v>
      </c>
      <c r="B119" s="3" t="s">
        <v>6239</v>
      </c>
      <c r="F119" s="3" t="s">
        <v>6240</v>
      </c>
      <c r="I119" s="3" t="s">
        <v>6241</v>
      </c>
      <c r="J119" s="3" t="s">
        <v>6137</v>
      </c>
      <c r="V119" s="3" t="s">
        <v>6242</v>
      </c>
      <c r="AT119" s="3" t="s">
        <v>6227</v>
      </c>
      <c r="AU119" s="3">
        <v>2006.0</v>
      </c>
      <c r="AV119" s="3">
        <v>34.0</v>
      </c>
      <c r="AW119" s="3">
        <v>12.0</v>
      </c>
      <c r="BB119" s="3">
        <v>1933.0</v>
      </c>
      <c r="BC119" s="3">
        <v>1940.0</v>
      </c>
      <c r="BE119" s="3" t="s">
        <v>572</v>
      </c>
      <c r="BF119" s="3" t="s">
        <v>3007</v>
      </c>
      <c r="BN119" s="3">
        <v>1.6923826E7</v>
      </c>
      <c r="BS119" s="3" t="s">
        <v>6243</v>
      </c>
      <c r="BT119" s="3" t="s">
        <v>6102</v>
      </c>
    </row>
    <row r="120" ht="14.25" customHeight="1">
      <c r="A120" s="3" t="s">
        <v>50</v>
      </c>
      <c r="B120" s="3" t="s">
        <v>6620</v>
      </c>
      <c r="F120" s="3" t="s">
        <v>6621</v>
      </c>
      <c r="I120" s="3" t="s">
        <v>1370</v>
      </c>
      <c r="J120" s="3" t="s">
        <v>6137</v>
      </c>
      <c r="V120" s="3" t="s">
        <v>6622</v>
      </c>
      <c r="AT120" s="3" t="s">
        <v>6177</v>
      </c>
      <c r="AU120" s="3">
        <v>2015.0</v>
      </c>
      <c r="AV120" s="3">
        <v>43.0</v>
      </c>
      <c r="AW120" s="3">
        <v>8.0</v>
      </c>
      <c r="BB120" s="3">
        <v>1893.0</v>
      </c>
      <c r="BC120" s="3">
        <v>1901.0</v>
      </c>
      <c r="BE120" s="3" t="s">
        <v>1374</v>
      </c>
      <c r="BF120" s="3" t="s">
        <v>4819</v>
      </c>
      <c r="BN120" s="3">
        <v>2.6109611E7</v>
      </c>
      <c r="BS120" s="3" t="s">
        <v>6623</v>
      </c>
      <c r="BT120" s="3" t="s">
        <v>6102</v>
      </c>
    </row>
    <row r="121" ht="14.25" customHeight="1">
      <c r="A121" s="3" t="s">
        <v>50</v>
      </c>
      <c r="B121" s="3" t="s">
        <v>6624</v>
      </c>
      <c r="F121" s="3" t="s">
        <v>6625</v>
      </c>
      <c r="I121" s="3" t="s">
        <v>4004</v>
      </c>
      <c r="J121" s="3" t="s">
        <v>6259</v>
      </c>
      <c r="V121" s="3" t="s">
        <v>6626</v>
      </c>
      <c r="AT121" s="3" t="s">
        <v>6207</v>
      </c>
      <c r="AU121" s="3">
        <v>2022.0</v>
      </c>
      <c r="AV121" s="3">
        <v>10.0</v>
      </c>
      <c r="AW121" s="3">
        <v>9.0</v>
      </c>
      <c r="BD121" s="12">
        <v>2.33E16</v>
      </c>
      <c r="BE121" s="3" t="s">
        <v>4011</v>
      </c>
      <c r="BF121" s="3" t="s">
        <v>4012</v>
      </c>
      <c r="BN121" s="3">
        <v>3.6760537E7</v>
      </c>
      <c r="BS121" s="3" t="s">
        <v>6627</v>
      </c>
      <c r="BT121" s="3" t="s">
        <v>6102</v>
      </c>
    </row>
    <row r="122" ht="14.25" customHeight="1">
      <c r="A122" s="3" t="s">
        <v>50</v>
      </c>
      <c r="B122" s="3" t="s">
        <v>6256</v>
      </c>
      <c r="F122" s="3" t="s">
        <v>6257</v>
      </c>
      <c r="I122" s="3" t="s">
        <v>6258</v>
      </c>
      <c r="J122" s="3" t="s">
        <v>6259</v>
      </c>
      <c r="V122" s="3" t="s">
        <v>6260</v>
      </c>
      <c r="AT122" s="3" t="s">
        <v>6139</v>
      </c>
      <c r="AU122" s="3">
        <v>2022.0</v>
      </c>
      <c r="AV122" s="3">
        <v>10.0</v>
      </c>
      <c r="AW122" s="3">
        <v>4.0</v>
      </c>
      <c r="BD122" s="12">
        <v>2.33E16</v>
      </c>
      <c r="BE122" s="3" t="s">
        <v>2268</v>
      </c>
      <c r="BF122" s="3" t="s">
        <v>2269</v>
      </c>
      <c r="BN122" s="3">
        <v>3.5464901E7</v>
      </c>
      <c r="BS122" s="3" t="s">
        <v>6261</v>
      </c>
      <c r="BT122" s="3" t="s">
        <v>6102</v>
      </c>
    </row>
    <row r="123" ht="14.25" customHeight="1">
      <c r="A123" s="3" t="s">
        <v>50</v>
      </c>
      <c r="B123" s="3" t="s">
        <v>6272</v>
      </c>
      <c r="F123" s="3" t="s">
        <v>6273</v>
      </c>
      <c r="I123" s="3" t="s">
        <v>1165</v>
      </c>
      <c r="J123" s="3" t="s">
        <v>6137</v>
      </c>
      <c r="V123" s="3" t="s">
        <v>6274</v>
      </c>
      <c r="AT123" s="3" t="s">
        <v>6165</v>
      </c>
      <c r="AU123" s="3">
        <v>2020.0</v>
      </c>
      <c r="AV123" s="3">
        <v>48.0</v>
      </c>
      <c r="AW123" s="3">
        <v>12.0</v>
      </c>
      <c r="BB123" s="3">
        <v>2970.0</v>
      </c>
      <c r="BC123" s="3">
        <v>2977.0</v>
      </c>
      <c r="BD123" s="12">
        <v>3.64E14</v>
      </c>
      <c r="BE123" s="3" t="s">
        <v>1169</v>
      </c>
      <c r="BF123" s="3" t="s">
        <v>4267</v>
      </c>
      <c r="BH123" s="10">
        <v>46285.0</v>
      </c>
      <c r="BN123" s="3">
        <v>3.2909826E7</v>
      </c>
      <c r="BS123" s="3" t="s">
        <v>6275</v>
      </c>
      <c r="BT123" s="3" t="s">
        <v>6102</v>
      </c>
    </row>
    <row r="124" ht="14.25" customHeight="1">
      <c r="A124" s="3" t="s">
        <v>50</v>
      </c>
      <c r="B124" s="3" t="s">
        <v>6276</v>
      </c>
      <c r="F124" s="3" t="s">
        <v>6277</v>
      </c>
      <c r="I124" s="3" t="s">
        <v>6278</v>
      </c>
      <c r="J124" s="3" t="s">
        <v>6137</v>
      </c>
      <c r="V124" s="3" t="s">
        <v>6279</v>
      </c>
      <c r="AT124" s="3" t="s">
        <v>6165</v>
      </c>
      <c r="AU124" s="3">
        <v>2017.0</v>
      </c>
      <c r="AV124" s="3">
        <v>45.0</v>
      </c>
      <c r="AW124" s="3">
        <v>12.0</v>
      </c>
      <c r="BB124" s="3">
        <v>2739.0</v>
      </c>
      <c r="BC124" s="3">
        <v>2750.0</v>
      </c>
      <c r="BE124" s="3" t="s">
        <v>6280</v>
      </c>
      <c r="BF124" s="3" t="s">
        <v>6281</v>
      </c>
      <c r="BN124" s="3">
        <v>2.8892648E7</v>
      </c>
      <c r="BS124" s="3" t="s">
        <v>6282</v>
      </c>
      <c r="BT124" s="3" t="s">
        <v>6102</v>
      </c>
    </row>
    <row r="125" ht="14.25" customHeight="1">
      <c r="A125" s="3" t="s">
        <v>50</v>
      </c>
      <c r="B125" s="3" t="s">
        <v>6628</v>
      </c>
      <c r="F125" s="3" t="s">
        <v>6629</v>
      </c>
      <c r="I125" s="3" t="s">
        <v>1432</v>
      </c>
      <c r="J125" s="3" t="s">
        <v>6098</v>
      </c>
      <c r="V125" s="3" t="s">
        <v>6630</v>
      </c>
      <c r="AT125" s="3" t="s">
        <v>6139</v>
      </c>
      <c r="AU125" s="3">
        <v>2015.0</v>
      </c>
      <c r="AV125" s="3">
        <v>23.0</v>
      </c>
      <c r="AW125" s="3">
        <v>4.0</v>
      </c>
      <c r="BB125" s="3">
        <v>1086.0</v>
      </c>
      <c r="BC125" s="3">
        <v>1091.0</v>
      </c>
      <c r="BE125" s="3" t="s">
        <v>1436</v>
      </c>
      <c r="BF125" s="3" t="s">
        <v>4846</v>
      </c>
      <c r="BN125" s="3">
        <v>2.4531357E7</v>
      </c>
      <c r="BS125" s="3" t="s">
        <v>6631</v>
      </c>
      <c r="BT125" s="3" t="s">
        <v>6102</v>
      </c>
    </row>
    <row r="126" ht="14.25" customHeight="1">
      <c r="A126" s="3" t="s">
        <v>50</v>
      </c>
      <c r="B126" s="3" t="s">
        <v>6283</v>
      </c>
      <c r="F126" s="3" t="s">
        <v>6284</v>
      </c>
      <c r="I126" s="3" t="s">
        <v>281</v>
      </c>
      <c r="J126" s="3" t="s">
        <v>6137</v>
      </c>
      <c r="V126" s="3" t="s">
        <v>6285</v>
      </c>
      <c r="AT126" s="3" t="s">
        <v>6132</v>
      </c>
      <c r="AU126" s="3">
        <v>2016.0</v>
      </c>
      <c r="AV126" s="3">
        <v>44.0</v>
      </c>
      <c r="AW126" s="3">
        <v>7.0</v>
      </c>
      <c r="BB126" s="3">
        <v>1660.0</v>
      </c>
      <c r="BC126" s="3">
        <v>1670.0</v>
      </c>
      <c r="BE126" s="3" t="s">
        <v>287</v>
      </c>
      <c r="BF126" s="3" t="s">
        <v>2619</v>
      </c>
      <c r="BN126" s="3">
        <v>2.7159308E7</v>
      </c>
      <c r="BS126" s="3" t="s">
        <v>6286</v>
      </c>
      <c r="BT126" s="3" t="s">
        <v>6102</v>
      </c>
    </row>
    <row r="127" ht="14.25" customHeight="1">
      <c r="A127" s="3" t="s">
        <v>50</v>
      </c>
      <c r="B127" s="3" t="s">
        <v>6632</v>
      </c>
      <c r="F127" s="3" t="s">
        <v>6633</v>
      </c>
      <c r="I127" s="3" t="s">
        <v>6634</v>
      </c>
      <c r="J127" s="3" t="s">
        <v>6635</v>
      </c>
      <c r="V127" s="3" t="s">
        <v>6636</v>
      </c>
      <c r="AT127" s="3" t="s">
        <v>6227</v>
      </c>
      <c r="AU127" s="3">
        <v>2005.0</v>
      </c>
      <c r="AV127" s="3">
        <v>58.0</v>
      </c>
      <c r="AW127" s="3">
        <v>4.0</v>
      </c>
      <c r="BB127" s="3">
        <v>303.0</v>
      </c>
      <c r="BC127" s="3">
        <v>311.0</v>
      </c>
      <c r="BS127" s="3" t="s">
        <v>6637</v>
      </c>
      <c r="BT127" s="3" t="s">
        <v>6102</v>
      </c>
    </row>
    <row r="128" ht="14.25" customHeight="1">
      <c r="A128" s="3" t="s">
        <v>50</v>
      </c>
      <c r="B128" s="3" t="s">
        <v>6287</v>
      </c>
      <c r="F128" s="3" t="s">
        <v>6288</v>
      </c>
      <c r="I128" s="3" t="s">
        <v>1262</v>
      </c>
      <c r="J128" s="3" t="s">
        <v>6225</v>
      </c>
      <c r="V128" s="3" t="s">
        <v>6289</v>
      </c>
      <c r="AT128" s="3" t="s">
        <v>6177</v>
      </c>
      <c r="AU128" s="3">
        <v>2018.0</v>
      </c>
      <c r="AV128" s="3">
        <v>25.0</v>
      </c>
      <c r="AW128" s="3">
        <v>4.0</v>
      </c>
      <c r="BB128" s="3">
        <v>704.0</v>
      </c>
      <c r="BC128" s="3">
        <v>714.0</v>
      </c>
      <c r="BE128" s="3" t="s">
        <v>1266</v>
      </c>
      <c r="BF128" s="3" t="s">
        <v>4475</v>
      </c>
      <c r="BN128" s="3">
        <v>2.9776815E7</v>
      </c>
      <c r="BS128" s="3" t="s">
        <v>6290</v>
      </c>
      <c r="BT128" s="3" t="s">
        <v>6102</v>
      </c>
    </row>
    <row r="129" ht="14.25" customHeight="1">
      <c r="A129" s="3" t="s">
        <v>50</v>
      </c>
      <c r="B129" s="3" t="s">
        <v>6638</v>
      </c>
      <c r="F129" s="3" t="s">
        <v>6639</v>
      </c>
      <c r="I129" s="3" t="s">
        <v>4096</v>
      </c>
      <c r="J129" s="3" t="s">
        <v>6640</v>
      </c>
      <c r="V129" s="3" t="s">
        <v>6641</v>
      </c>
      <c r="AT129" s="10">
        <v>46142.0</v>
      </c>
      <c r="AU129" s="3">
        <v>2021.0</v>
      </c>
      <c r="AV129" s="3">
        <v>22.0</v>
      </c>
      <c r="AW129" s="3">
        <v>1.0</v>
      </c>
      <c r="BD129" s="3">
        <v>399.0</v>
      </c>
      <c r="BE129" s="3" t="s">
        <v>4103</v>
      </c>
      <c r="BF129" s="3" t="s">
        <v>4104</v>
      </c>
      <c r="BN129" s="3">
        <v>3.3931067E7</v>
      </c>
      <c r="BS129" s="3" t="s">
        <v>6642</v>
      </c>
      <c r="BT129" s="3" t="s">
        <v>6102</v>
      </c>
    </row>
    <row r="130" ht="14.25" customHeight="1">
      <c r="A130" s="3" t="s">
        <v>50</v>
      </c>
      <c r="B130" s="3" t="s">
        <v>6291</v>
      </c>
      <c r="F130" s="3" t="s">
        <v>6292</v>
      </c>
      <c r="I130" s="3" t="s">
        <v>6293</v>
      </c>
      <c r="J130" s="3" t="s">
        <v>6259</v>
      </c>
      <c r="V130" s="3" t="s">
        <v>6294</v>
      </c>
      <c r="AT130" s="3" t="s">
        <v>6145</v>
      </c>
      <c r="AU130" s="3">
        <v>2022.0</v>
      </c>
      <c r="AV130" s="3">
        <v>10.0</v>
      </c>
      <c r="AW130" s="3">
        <v>11.0</v>
      </c>
      <c r="BD130" s="12">
        <v>2.33E16</v>
      </c>
      <c r="BE130" s="3" t="s">
        <v>6295</v>
      </c>
      <c r="BF130" s="3" t="s">
        <v>6296</v>
      </c>
      <c r="BN130" s="3">
        <v>3.647946E7</v>
      </c>
      <c r="BS130" s="3" t="s">
        <v>6297</v>
      </c>
      <c r="BT130" s="3" t="s">
        <v>6102</v>
      </c>
    </row>
    <row r="131" ht="14.25" customHeight="1">
      <c r="A131" s="3" t="s">
        <v>50</v>
      </c>
      <c r="B131" s="3" t="s">
        <v>6298</v>
      </c>
      <c r="F131" s="3" t="s">
        <v>6299</v>
      </c>
      <c r="I131" s="3" t="s">
        <v>6300</v>
      </c>
      <c r="J131" s="3" t="s">
        <v>6301</v>
      </c>
      <c r="V131" s="3" t="s">
        <v>6302</v>
      </c>
      <c r="AT131" s="10">
        <v>46178.0</v>
      </c>
      <c r="AU131" s="3">
        <v>2019.0</v>
      </c>
      <c r="AV131" s="3">
        <v>101.0</v>
      </c>
      <c r="AW131" s="3">
        <v>11.0</v>
      </c>
      <c r="BB131" s="3">
        <v>949.0</v>
      </c>
      <c r="BC131" s="3">
        <v>960.0</v>
      </c>
      <c r="BE131" s="3" t="s">
        <v>237</v>
      </c>
      <c r="BF131" s="3" t="s">
        <v>2453</v>
      </c>
      <c r="BN131" s="3">
        <v>3.1169571E7</v>
      </c>
      <c r="BS131" s="3" t="s">
        <v>6303</v>
      </c>
      <c r="BT131" s="3" t="s">
        <v>6102</v>
      </c>
    </row>
    <row r="132" ht="14.25" customHeight="1">
      <c r="A132" s="3" t="s">
        <v>50</v>
      </c>
      <c r="B132" s="3" t="s">
        <v>6310</v>
      </c>
      <c r="F132" s="3" t="s">
        <v>6311</v>
      </c>
      <c r="I132" s="3" t="s">
        <v>6312</v>
      </c>
      <c r="J132" s="3" t="s">
        <v>6137</v>
      </c>
      <c r="V132" s="3" t="s">
        <v>6313</v>
      </c>
      <c r="AT132" s="3" t="s">
        <v>6177</v>
      </c>
      <c r="AU132" s="3">
        <v>2018.0</v>
      </c>
      <c r="AV132" s="3">
        <v>46.0</v>
      </c>
      <c r="AW132" s="3">
        <v>10.0</v>
      </c>
      <c r="BB132" s="3">
        <v>2366.0</v>
      </c>
      <c r="BC132" s="3">
        <v>2375.0</v>
      </c>
      <c r="BE132" s="3" t="s">
        <v>6314</v>
      </c>
      <c r="BF132" s="3" t="s">
        <v>6315</v>
      </c>
      <c r="BN132" s="3">
        <v>3.0015501E7</v>
      </c>
      <c r="BS132" s="3" t="s">
        <v>6316</v>
      </c>
      <c r="BT132" s="3" t="s">
        <v>6102</v>
      </c>
    </row>
    <row r="133" ht="14.25" customHeight="1">
      <c r="A133" s="3" t="s">
        <v>50</v>
      </c>
      <c r="B133" s="3" t="s">
        <v>6317</v>
      </c>
      <c r="F133" s="3" t="s">
        <v>6318</v>
      </c>
      <c r="I133" s="3" t="s">
        <v>1192</v>
      </c>
      <c r="J133" s="3" t="s">
        <v>6137</v>
      </c>
      <c r="V133" s="3" t="s">
        <v>6319</v>
      </c>
      <c r="AT133" s="3" t="s">
        <v>6139</v>
      </c>
      <c r="AU133" s="3">
        <v>2020.0</v>
      </c>
      <c r="AV133" s="3">
        <v>48.0</v>
      </c>
      <c r="AW133" s="3">
        <v>5.0</v>
      </c>
      <c r="BB133" s="3">
        <v>1069.0</v>
      </c>
      <c r="BC133" s="3">
        <v>1077.0</v>
      </c>
      <c r="BD133" s="12">
        <v>3.64E14</v>
      </c>
      <c r="BE133" s="3" t="s">
        <v>1196</v>
      </c>
      <c r="BF133" s="3" t="s">
        <v>4328</v>
      </c>
      <c r="BH133" s="10">
        <v>46101.0</v>
      </c>
      <c r="BN133" s="3">
        <v>3.2182127E7</v>
      </c>
      <c r="BS133" s="3" t="s">
        <v>6320</v>
      </c>
      <c r="BT133" s="3" t="s">
        <v>6102</v>
      </c>
    </row>
    <row r="134" ht="14.25" customHeight="1">
      <c r="A134" s="3" t="s">
        <v>50</v>
      </c>
      <c r="B134" s="3" t="s">
        <v>6643</v>
      </c>
      <c r="F134" s="3" t="s">
        <v>6644</v>
      </c>
      <c r="I134" s="3" t="s">
        <v>1054</v>
      </c>
      <c r="J134" s="3" t="s">
        <v>6645</v>
      </c>
      <c r="V134" s="3" t="s">
        <v>6646</v>
      </c>
      <c r="AT134" s="3" t="s">
        <v>6165</v>
      </c>
      <c r="AU134" s="3">
        <v>2023.0</v>
      </c>
      <c r="AV134" s="3">
        <v>33.0</v>
      </c>
      <c r="AW134" s="3">
        <v>7.0</v>
      </c>
      <c r="BB134" s="3">
        <v>3033.0</v>
      </c>
      <c r="BC134" s="3">
        <v>3036.0</v>
      </c>
      <c r="BE134" s="3" t="s">
        <v>1058</v>
      </c>
      <c r="BF134" s="3" t="s">
        <v>3805</v>
      </c>
      <c r="BH134" s="10">
        <v>46104.0</v>
      </c>
      <c r="BN134" s="3">
        <v>3.6988698E7</v>
      </c>
      <c r="BS134" s="3" t="s">
        <v>6647</v>
      </c>
      <c r="BT134" s="3" t="s">
        <v>6102</v>
      </c>
    </row>
    <row r="135" ht="14.25" customHeight="1">
      <c r="A135" s="3" t="s">
        <v>50</v>
      </c>
      <c r="B135" s="3" t="s">
        <v>6304</v>
      </c>
      <c r="F135" s="3" t="s">
        <v>6305</v>
      </c>
      <c r="I135" s="3" t="s">
        <v>6306</v>
      </c>
      <c r="J135" s="3" t="s">
        <v>6307</v>
      </c>
      <c r="V135" s="3" t="s">
        <v>6308</v>
      </c>
      <c r="AU135" s="3">
        <v>2017.0</v>
      </c>
      <c r="AV135" s="3">
        <v>10.0</v>
      </c>
      <c r="AW135" s="3">
        <v>8.0</v>
      </c>
      <c r="BB135" s="3">
        <v>12277.0</v>
      </c>
      <c r="BC135" s="3">
        <v>12284.0</v>
      </c>
      <c r="BS135" s="3" t="s">
        <v>6309</v>
      </c>
      <c r="BT135" s="3" t="s">
        <v>6102</v>
      </c>
    </row>
    <row r="136" ht="14.25" customHeight="1">
      <c r="A136" s="3" t="s">
        <v>50</v>
      </c>
      <c r="B136" s="3" t="s">
        <v>6329</v>
      </c>
      <c r="F136" s="3" t="s">
        <v>6330</v>
      </c>
      <c r="I136" s="3" t="s">
        <v>1396</v>
      </c>
      <c r="J136" s="3" t="s">
        <v>6098</v>
      </c>
      <c r="V136" s="3" t="s">
        <v>6331</v>
      </c>
      <c r="AT136" s="3" t="s">
        <v>6207</v>
      </c>
      <c r="AU136" s="3">
        <v>2016.0</v>
      </c>
      <c r="AV136" s="3">
        <v>24.0</v>
      </c>
      <c r="AW136" s="3">
        <v>9.0</v>
      </c>
      <c r="BB136" s="3">
        <v>2831.0</v>
      </c>
      <c r="BC136" s="3">
        <v>2837.0</v>
      </c>
      <c r="BE136" s="3" t="s">
        <v>1400</v>
      </c>
      <c r="BF136" s="3" t="s">
        <v>6332</v>
      </c>
      <c r="BN136" s="3">
        <v>2.5630275E7</v>
      </c>
      <c r="BS136" s="3" t="s">
        <v>6333</v>
      </c>
      <c r="BT136" s="3" t="s">
        <v>6102</v>
      </c>
    </row>
    <row r="137" ht="14.25" customHeight="1">
      <c r="A137" s="3" t="s">
        <v>50</v>
      </c>
      <c r="B137" s="3" t="s">
        <v>6339</v>
      </c>
      <c r="F137" s="3" t="s">
        <v>6340</v>
      </c>
      <c r="I137" s="3" t="s">
        <v>6341</v>
      </c>
      <c r="J137" s="3" t="s">
        <v>6137</v>
      </c>
      <c r="V137" s="3" t="s">
        <v>6342</v>
      </c>
      <c r="AT137" s="3" t="s">
        <v>6165</v>
      </c>
      <c r="AU137" s="3">
        <v>2009.0</v>
      </c>
      <c r="AV137" s="3">
        <v>37.0</v>
      </c>
      <c r="AW137" s="3">
        <v>10.0</v>
      </c>
      <c r="BB137" s="3">
        <v>1946.0</v>
      </c>
      <c r="BC137" s="3">
        <v>1957.0</v>
      </c>
      <c r="BE137" s="3" t="s">
        <v>485</v>
      </c>
      <c r="BF137" s="3" t="s">
        <v>2897</v>
      </c>
      <c r="BN137" s="3">
        <v>1.9684298E7</v>
      </c>
      <c r="BS137" s="3" t="s">
        <v>6343</v>
      </c>
      <c r="BT137" s="3" t="s">
        <v>6102</v>
      </c>
    </row>
    <row r="138" ht="14.25" customHeight="1">
      <c r="A138" s="3" t="s">
        <v>50</v>
      </c>
      <c r="B138" s="3" t="s">
        <v>6351</v>
      </c>
      <c r="F138" s="3" t="s">
        <v>6352</v>
      </c>
      <c r="I138" s="3" t="s">
        <v>6353</v>
      </c>
      <c r="J138" s="3" t="s">
        <v>6354</v>
      </c>
      <c r="V138" s="3" t="s">
        <v>6355</v>
      </c>
      <c r="AT138" s="3" t="s">
        <v>6200</v>
      </c>
      <c r="AU138" s="3">
        <v>2025.0</v>
      </c>
      <c r="AV138" s="3">
        <v>46.0</v>
      </c>
      <c r="BB138" s="3">
        <v>47.0</v>
      </c>
      <c r="BC138" s="3">
        <v>59.0</v>
      </c>
      <c r="BE138" s="3" t="s">
        <v>6356</v>
      </c>
      <c r="BF138" s="3" t="s">
        <v>6357</v>
      </c>
      <c r="BH138" s="10">
        <v>46106.0</v>
      </c>
      <c r="BS138" s="3" t="s">
        <v>6358</v>
      </c>
      <c r="BT138" s="3" t="s">
        <v>6102</v>
      </c>
    </row>
    <row r="139" ht="14.25" customHeight="1">
      <c r="A139" s="3" t="s">
        <v>50</v>
      </c>
      <c r="B139" s="3" t="s">
        <v>6321</v>
      </c>
      <c r="F139" s="3" t="s">
        <v>6322</v>
      </c>
      <c r="I139" s="3" t="s">
        <v>6323</v>
      </c>
      <c r="J139" s="3" t="s">
        <v>6324</v>
      </c>
      <c r="V139" s="3" t="s">
        <v>6325</v>
      </c>
      <c r="AT139" s="3" t="s">
        <v>6153</v>
      </c>
      <c r="AU139" s="3">
        <v>2013.0</v>
      </c>
      <c r="AV139" s="3">
        <v>37.0</v>
      </c>
      <c r="AW139" s="3">
        <v>2.0</v>
      </c>
      <c r="BB139" s="3">
        <v>193.0</v>
      </c>
      <c r="BC139" s="3">
        <v>199.0</v>
      </c>
      <c r="BE139" s="3" t="s">
        <v>6326</v>
      </c>
      <c r="BF139" s="3" t="s">
        <v>6327</v>
      </c>
      <c r="BN139" s="3">
        <v>2.3180103E7</v>
      </c>
      <c r="BS139" s="3" t="s">
        <v>6328</v>
      </c>
      <c r="BT139" s="3" t="s">
        <v>6102</v>
      </c>
    </row>
    <row r="140" ht="14.25" customHeight="1">
      <c r="A140" s="3" t="s">
        <v>50</v>
      </c>
      <c r="B140" s="3" t="s">
        <v>6648</v>
      </c>
      <c r="F140" s="3" t="s">
        <v>6649</v>
      </c>
      <c r="I140" s="3" t="s">
        <v>6650</v>
      </c>
      <c r="J140" s="3" t="s">
        <v>6651</v>
      </c>
      <c r="AT140" s="3" t="s">
        <v>6145</v>
      </c>
      <c r="AU140" s="3">
        <v>2020.0</v>
      </c>
      <c r="AV140" s="3">
        <v>1.0</v>
      </c>
      <c r="AW140" s="3">
        <v>11.0</v>
      </c>
      <c r="BB140" s="3">
        <v>705.0</v>
      </c>
      <c r="BC140" s="3">
        <v>707.0</v>
      </c>
      <c r="BE140" s="3" t="s">
        <v>6652</v>
      </c>
      <c r="BF140" s="3" t="s">
        <v>6653</v>
      </c>
      <c r="BS140" s="3" t="s">
        <v>6654</v>
      </c>
      <c r="BT140" s="3" t="s">
        <v>6102</v>
      </c>
    </row>
    <row r="141" ht="14.25" customHeight="1">
      <c r="A141" s="3" t="s">
        <v>50</v>
      </c>
      <c r="B141" s="3" t="s">
        <v>6655</v>
      </c>
      <c r="F141" s="3" t="s">
        <v>6656</v>
      </c>
      <c r="I141" s="3" t="s">
        <v>6657</v>
      </c>
      <c r="J141" s="3" t="s">
        <v>6658</v>
      </c>
      <c r="V141" s="3" t="s">
        <v>6659</v>
      </c>
      <c r="AT141" s="3" t="s">
        <v>6165</v>
      </c>
      <c r="AU141" s="3">
        <v>2022.0</v>
      </c>
      <c r="AV141" s="3">
        <v>54.0</v>
      </c>
      <c r="BD141" s="3" t="s">
        <v>3969</v>
      </c>
      <c r="BE141" s="3" t="s">
        <v>1098</v>
      </c>
      <c r="BF141" s="3" t="s">
        <v>3973</v>
      </c>
      <c r="BN141" s="3">
        <v>3.6190389E7</v>
      </c>
      <c r="BS141" s="3" t="s">
        <v>6660</v>
      </c>
      <c r="BT141" s="3" t="s">
        <v>6102</v>
      </c>
    </row>
    <row r="142" ht="14.25" customHeight="1">
      <c r="A142" s="3" t="s">
        <v>50</v>
      </c>
      <c r="B142" s="3" t="s">
        <v>6661</v>
      </c>
      <c r="F142" s="3" t="s">
        <v>6662</v>
      </c>
      <c r="I142" s="3" t="s">
        <v>6663</v>
      </c>
      <c r="J142" s="3" t="s">
        <v>6664</v>
      </c>
      <c r="V142" s="3" t="s">
        <v>6665</v>
      </c>
      <c r="AT142" s="3" t="s">
        <v>6139</v>
      </c>
      <c r="AU142" s="3">
        <v>2018.0</v>
      </c>
      <c r="AV142" s="3">
        <v>85.0</v>
      </c>
      <c r="AW142" s="3">
        <v>2.0</v>
      </c>
      <c r="BB142" s="3">
        <v>94.0</v>
      </c>
      <c r="BC142" s="3">
        <v>101.0</v>
      </c>
      <c r="BN142" s="3">
        <v>3.0295594E7</v>
      </c>
      <c r="BS142" s="3" t="s">
        <v>6666</v>
      </c>
      <c r="BT142" s="3" t="s">
        <v>6102</v>
      </c>
    </row>
    <row r="143" ht="14.25" customHeight="1">
      <c r="A143" s="3" t="s">
        <v>50</v>
      </c>
      <c r="B143" s="3" t="s">
        <v>6359</v>
      </c>
      <c r="F143" s="3" t="s">
        <v>6359</v>
      </c>
      <c r="I143" s="3" t="s">
        <v>6360</v>
      </c>
      <c r="J143" s="3" t="s">
        <v>6137</v>
      </c>
      <c r="V143" s="3" t="s">
        <v>6361</v>
      </c>
      <c r="AT143" s="3" t="s">
        <v>6362</v>
      </c>
      <c r="AU143" s="3">
        <v>2002.0</v>
      </c>
      <c r="AV143" s="3">
        <v>30.0</v>
      </c>
      <c r="AW143" s="3">
        <v>4.0</v>
      </c>
      <c r="BB143" s="3">
        <v>523.0</v>
      </c>
      <c r="BC143" s="3">
        <v>536.0</v>
      </c>
      <c r="BE143" s="3" t="s">
        <v>716</v>
      </c>
      <c r="BF143" s="3" t="s">
        <v>6363</v>
      </c>
      <c r="BN143" s="3">
        <v>1.2130407E7</v>
      </c>
      <c r="BS143" s="3" t="s">
        <v>6364</v>
      </c>
      <c r="BT143" s="3" t="s">
        <v>6102</v>
      </c>
    </row>
    <row r="144" ht="14.25" customHeight="1">
      <c r="A144" s="3" t="s">
        <v>50</v>
      </c>
      <c r="B144" s="3" t="s">
        <v>6385</v>
      </c>
      <c r="F144" s="3" t="s">
        <v>6386</v>
      </c>
      <c r="I144" s="3" t="s">
        <v>6387</v>
      </c>
      <c r="J144" s="3" t="s">
        <v>6388</v>
      </c>
      <c r="V144" s="3" t="s">
        <v>6389</v>
      </c>
      <c r="AT144" s="3" t="s">
        <v>6100</v>
      </c>
      <c r="AU144" s="3">
        <v>2015.0</v>
      </c>
      <c r="AV144" s="3">
        <v>50.0</v>
      </c>
      <c r="AW144" s="3">
        <v>1.0</v>
      </c>
      <c r="BB144" s="3">
        <v>110.0</v>
      </c>
      <c r="BC144" s="3">
        <v>112.0</v>
      </c>
      <c r="BE144" s="3" t="s">
        <v>6390</v>
      </c>
      <c r="BF144" s="3" t="s">
        <v>6391</v>
      </c>
      <c r="BN144" s="3">
        <v>2.5322347E7</v>
      </c>
      <c r="BS144" s="3" t="s">
        <v>6392</v>
      </c>
      <c r="BT144" s="3" t="s">
        <v>6102</v>
      </c>
    </row>
    <row r="145" ht="14.25" customHeight="1">
      <c r="A145" s="3" t="s">
        <v>50</v>
      </c>
      <c r="B145" s="3" t="s">
        <v>6344</v>
      </c>
      <c r="F145" s="3" t="s">
        <v>6344</v>
      </c>
      <c r="I145" s="3" t="s">
        <v>690</v>
      </c>
      <c r="J145" s="3" t="s">
        <v>6137</v>
      </c>
      <c r="V145" s="3" t="s">
        <v>6345</v>
      </c>
      <c r="AT145" s="3" t="s">
        <v>6158</v>
      </c>
      <c r="AU145" s="3">
        <v>2003.0</v>
      </c>
      <c r="AV145" s="3">
        <v>31.0</v>
      </c>
      <c r="AW145" s="3">
        <v>1.0</v>
      </c>
      <c r="BB145" s="3">
        <v>12.0</v>
      </c>
      <c r="BC145" s="3">
        <v>18.0</v>
      </c>
      <c r="BE145" s="3" t="s">
        <v>694</v>
      </c>
      <c r="BF145" s="3" t="s">
        <v>6346</v>
      </c>
      <c r="BN145" s="3">
        <v>1.2531751E7</v>
      </c>
      <c r="BS145" s="3" t="s">
        <v>6347</v>
      </c>
      <c r="BT145" s="3" t="s">
        <v>6102</v>
      </c>
    </row>
    <row r="146" ht="14.25" customHeight="1">
      <c r="A146" s="3" t="s">
        <v>50</v>
      </c>
      <c r="B146" s="3" t="s">
        <v>6371</v>
      </c>
      <c r="F146" s="3" t="s">
        <v>6372</v>
      </c>
      <c r="I146" s="3" t="s">
        <v>6373</v>
      </c>
      <c r="J146" s="3" t="s">
        <v>6137</v>
      </c>
      <c r="V146" s="3" t="s">
        <v>6374</v>
      </c>
      <c r="AT146" s="3" t="s">
        <v>6200</v>
      </c>
      <c r="AU146" s="3">
        <v>2010.0</v>
      </c>
      <c r="AV146" s="3">
        <v>38.0</v>
      </c>
      <c r="AW146" s="3">
        <v>3.0</v>
      </c>
      <c r="BB146" s="3">
        <v>492.0</v>
      </c>
      <c r="BC146" s="3">
        <v>500.0</v>
      </c>
      <c r="BE146" s="3" t="s">
        <v>461</v>
      </c>
      <c r="BF146" s="3" t="s">
        <v>6375</v>
      </c>
      <c r="BN146" s="3">
        <v>2.0194956E7</v>
      </c>
      <c r="BS146" s="3" t="s">
        <v>6376</v>
      </c>
      <c r="BT146" s="3" t="s">
        <v>6102</v>
      </c>
    </row>
    <row r="147" ht="14.25" customHeight="1">
      <c r="A147" s="3" t="s">
        <v>50</v>
      </c>
      <c r="B147" s="3" t="s">
        <v>6365</v>
      </c>
      <c r="F147" s="3" t="s">
        <v>6366</v>
      </c>
      <c r="I147" s="3" t="s">
        <v>6367</v>
      </c>
      <c r="J147" s="3" t="s">
        <v>6137</v>
      </c>
      <c r="V147" s="3" t="s">
        <v>6368</v>
      </c>
      <c r="AT147" s="3" t="s">
        <v>6177</v>
      </c>
      <c r="AU147" s="3">
        <v>2010.0</v>
      </c>
      <c r="AV147" s="3">
        <v>38.0</v>
      </c>
      <c r="AW147" s="3">
        <v>8.0</v>
      </c>
      <c r="BB147" s="3">
        <v>1533.0</v>
      </c>
      <c r="BC147" s="3">
        <v>1541.0</v>
      </c>
      <c r="BE147" s="3" t="s">
        <v>451</v>
      </c>
      <c r="BF147" s="3" t="s">
        <v>6369</v>
      </c>
      <c r="BN147" s="3">
        <v>2.0566719E7</v>
      </c>
      <c r="BS147" s="3" t="s">
        <v>6370</v>
      </c>
      <c r="BT147" s="3" t="s">
        <v>6102</v>
      </c>
    </row>
    <row r="148" ht="14.25" customHeight="1">
      <c r="A148" s="3" t="s">
        <v>50</v>
      </c>
      <c r="B148" s="3" t="s">
        <v>6667</v>
      </c>
      <c r="F148" s="3" t="s">
        <v>6668</v>
      </c>
      <c r="I148" s="3" t="s">
        <v>1203</v>
      </c>
      <c r="J148" s="3" t="s">
        <v>6669</v>
      </c>
      <c r="V148" s="3" t="s">
        <v>6670</v>
      </c>
      <c r="AT148" s="3" t="s">
        <v>6158</v>
      </c>
      <c r="AU148" s="3">
        <v>2020.0</v>
      </c>
      <c r="AV148" s="3">
        <v>88.0</v>
      </c>
      <c r="AW148" s="3">
        <v>1.0</v>
      </c>
      <c r="BB148" s="3">
        <v>76.0</v>
      </c>
      <c r="BC148" s="3">
        <v>81.0</v>
      </c>
      <c r="BE148" s="3" t="s">
        <v>1208</v>
      </c>
      <c r="BF148" s="3" t="s">
        <v>4358</v>
      </c>
      <c r="BN148" s="3">
        <v>3.1967599E7</v>
      </c>
      <c r="BS148" s="3" t="s">
        <v>6671</v>
      </c>
      <c r="BT148" s="3" t="s">
        <v>6102</v>
      </c>
    </row>
    <row r="149" ht="14.25" customHeight="1">
      <c r="A149" s="3" t="s">
        <v>50</v>
      </c>
      <c r="B149" s="3" t="s">
        <v>6417</v>
      </c>
      <c r="F149" s="3" t="s">
        <v>6418</v>
      </c>
      <c r="H149" s="3" t="s">
        <v>6419</v>
      </c>
      <c r="I149" s="3" t="s">
        <v>6420</v>
      </c>
      <c r="J149" s="3" t="s">
        <v>6421</v>
      </c>
      <c r="V149" s="3" t="s">
        <v>6422</v>
      </c>
      <c r="AT149" s="3" t="s">
        <v>6145</v>
      </c>
      <c r="AU149" s="3">
        <v>2016.0</v>
      </c>
      <c r="AV149" s="3">
        <v>102.0</v>
      </c>
      <c r="AW149" s="3">
        <v>7.0</v>
      </c>
      <c r="BB149" s="3">
        <v>857.0</v>
      </c>
      <c r="BC149" s="3">
        <v>861.0</v>
      </c>
      <c r="BE149" s="3" t="s">
        <v>6423</v>
      </c>
      <c r="BF149" s="3" t="s">
        <v>6424</v>
      </c>
      <c r="BN149" s="3">
        <v>2.7544885E7</v>
      </c>
      <c r="BS149" s="3" t="s">
        <v>6425</v>
      </c>
      <c r="BT149" s="3" t="s">
        <v>6102</v>
      </c>
    </row>
    <row r="150" ht="14.25" customHeight="1">
      <c r="A150" s="3" t="s">
        <v>50</v>
      </c>
      <c r="B150" s="3" t="s">
        <v>6672</v>
      </c>
      <c r="F150" s="3" t="s">
        <v>6673</v>
      </c>
      <c r="I150" s="3" t="s">
        <v>6674</v>
      </c>
      <c r="J150" s="3" t="s">
        <v>6675</v>
      </c>
      <c r="V150" s="3" t="s">
        <v>6676</v>
      </c>
      <c r="AT150" s="10">
        <v>46047.0</v>
      </c>
      <c r="AU150" s="3">
        <v>2023.0</v>
      </c>
      <c r="AV150" s="3">
        <v>10.0</v>
      </c>
      <c r="BD150" s="3">
        <v>1003022.0</v>
      </c>
      <c r="BE150" s="3" t="s">
        <v>6677</v>
      </c>
      <c r="BF150" s="3" t="s">
        <v>6678</v>
      </c>
      <c r="BN150" s="3">
        <v>3.6761023E7</v>
      </c>
      <c r="BS150" s="3" t="s">
        <v>6679</v>
      </c>
      <c r="BT150" s="3" t="s">
        <v>6102</v>
      </c>
    </row>
    <row r="151" ht="14.25" customHeight="1">
      <c r="A151" s="3" t="s">
        <v>50</v>
      </c>
      <c r="B151" s="3" t="s">
        <v>6680</v>
      </c>
      <c r="F151" s="3" t="s">
        <v>6681</v>
      </c>
      <c r="I151" s="3" t="s">
        <v>1969</v>
      </c>
      <c r="J151" s="3" t="s">
        <v>6137</v>
      </c>
      <c r="V151" s="3" t="s">
        <v>6682</v>
      </c>
      <c r="AT151" s="3" t="s">
        <v>6107</v>
      </c>
      <c r="AU151" s="3">
        <v>2022.0</v>
      </c>
      <c r="AV151" s="3">
        <v>50.0</v>
      </c>
      <c r="AW151" s="3">
        <v>7.0</v>
      </c>
      <c r="BB151" s="3">
        <v>1779.0</v>
      </c>
      <c r="BC151" s="3">
        <v>1787.0</v>
      </c>
      <c r="BD151" s="12">
        <v>3.64E15</v>
      </c>
      <c r="BE151" s="3" t="s">
        <v>1972</v>
      </c>
      <c r="BF151" s="3" t="s">
        <v>5856</v>
      </c>
      <c r="BH151" s="10">
        <v>46134.0</v>
      </c>
      <c r="BN151" s="3">
        <v>3.5486517E7</v>
      </c>
      <c r="BS151" s="3" t="s">
        <v>6683</v>
      </c>
      <c r="BT151" s="3" t="s">
        <v>6102</v>
      </c>
    </row>
    <row r="152" ht="14.25" customHeight="1">
      <c r="A152" s="3" t="s">
        <v>50</v>
      </c>
      <c r="B152" s="3" t="s">
        <v>6684</v>
      </c>
      <c r="F152" s="3" t="s">
        <v>6685</v>
      </c>
      <c r="I152" s="3" t="s">
        <v>6686</v>
      </c>
      <c r="J152" s="3" t="s">
        <v>6687</v>
      </c>
      <c r="V152" s="3" t="s">
        <v>6688</v>
      </c>
      <c r="AT152" s="3" t="s">
        <v>6207</v>
      </c>
      <c r="AU152" s="3">
        <v>2018.0</v>
      </c>
      <c r="AV152" s="3">
        <v>97.0</v>
      </c>
      <c r="AW152" s="3">
        <v>9.0</v>
      </c>
      <c r="BB152" s="3">
        <v>666.0</v>
      </c>
      <c r="BC152" s="3">
        <v>672.0</v>
      </c>
      <c r="BE152" s="3" t="s">
        <v>6689</v>
      </c>
      <c r="BF152" s="3" t="s">
        <v>6690</v>
      </c>
      <c r="BN152" s="3">
        <v>2.9613884E7</v>
      </c>
      <c r="BS152" s="3" t="s">
        <v>6691</v>
      </c>
      <c r="BT152" s="3" t="s">
        <v>6102</v>
      </c>
    </row>
    <row r="153" ht="14.25" customHeight="1">
      <c r="A153" s="3" t="s">
        <v>50</v>
      </c>
      <c r="B153" s="3" t="s">
        <v>6393</v>
      </c>
      <c r="F153" s="3" t="s">
        <v>6394</v>
      </c>
      <c r="I153" s="3" t="s">
        <v>6395</v>
      </c>
      <c r="J153" s="3" t="s">
        <v>6396</v>
      </c>
      <c r="V153" s="3" t="s">
        <v>6397</v>
      </c>
      <c r="AT153" s="10">
        <v>46116.0</v>
      </c>
      <c r="AU153" s="3">
        <v>2023.0</v>
      </c>
      <c r="AV153" s="3">
        <v>10.0</v>
      </c>
      <c r="AW153" s="3">
        <v>1.0</v>
      </c>
      <c r="BD153" s="3">
        <v>40.0</v>
      </c>
      <c r="BE153" s="3" t="s">
        <v>6398</v>
      </c>
      <c r="BF153" s="3" t="s">
        <v>6399</v>
      </c>
      <c r="BN153" s="3">
        <v>3.7014518E7</v>
      </c>
      <c r="BS153" s="3" t="s">
        <v>6400</v>
      </c>
      <c r="BT153" s="3" t="s">
        <v>6102</v>
      </c>
    </row>
    <row r="154" ht="14.25" customHeight="1">
      <c r="A154" s="3" t="s">
        <v>50</v>
      </c>
      <c r="B154" s="3" t="s">
        <v>6433</v>
      </c>
      <c r="F154" s="3" t="s">
        <v>6434</v>
      </c>
      <c r="I154" s="3" t="s">
        <v>288</v>
      </c>
      <c r="J154" s="3" t="s">
        <v>6137</v>
      </c>
      <c r="V154" s="3" t="s">
        <v>6435</v>
      </c>
      <c r="AT154" s="3" t="s">
        <v>6139</v>
      </c>
      <c r="AU154" s="3">
        <v>2016.0</v>
      </c>
      <c r="AV154" s="3">
        <v>44.0</v>
      </c>
      <c r="AW154" s="3">
        <v>4.0</v>
      </c>
      <c r="BB154" s="3">
        <v>855.0</v>
      </c>
      <c r="BC154" s="3">
        <v>864.0</v>
      </c>
      <c r="BE154" s="3" t="s">
        <v>292</v>
      </c>
      <c r="BF154" s="3" t="s">
        <v>2636</v>
      </c>
      <c r="BN154" s="3">
        <v>2.6838934E7</v>
      </c>
      <c r="BS154" s="3" t="s">
        <v>6436</v>
      </c>
      <c r="BT154" s="3" t="s">
        <v>6102</v>
      </c>
    </row>
    <row r="155" ht="14.25" customHeight="1">
      <c r="A155" s="3" t="s">
        <v>50</v>
      </c>
      <c r="B155" s="3" t="s">
        <v>6692</v>
      </c>
      <c r="F155" s="3" t="s">
        <v>6693</v>
      </c>
      <c r="I155" s="3" t="s">
        <v>1319</v>
      </c>
      <c r="J155" s="3" t="s">
        <v>6694</v>
      </c>
      <c r="V155" s="3" t="s">
        <v>6695</v>
      </c>
      <c r="AT155" s="3" t="s">
        <v>6227</v>
      </c>
      <c r="AU155" s="3">
        <v>2016.0</v>
      </c>
      <c r="AV155" s="3">
        <v>50.0</v>
      </c>
      <c r="AW155" s="3">
        <v>6.0</v>
      </c>
      <c r="BB155" s="3">
        <v>628.0</v>
      </c>
      <c r="BC155" s="3">
        <v>634.0</v>
      </c>
      <c r="BE155" s="3" t="s">
        <v>1325</v>
      </c>
      <c r="BF155" s="3" t="s">
        <v>4711</v>
      </c>
      <c r="BN155" s="3">
        <v>2.7784622E7</v>
      </c>
      <c r="BS155" s="3" t="s">
        <v>6696</v>
      </c>
      <c r="BT155" s="3" t="s">
        <v>6102</v>
      </c>
    </row>
    <row r="156" ht="14.25" customHeight="1">
      <c r="A156" s="3" t="s">
        <v>50</v>
      </c>
      <c r="B156" s="3" t="s">
        <v>6450</v>
      </c>
      <c r="F156" s="3" t="s">
        <v>6451</v>
      </c>
      <c r="I156" s="3" t="s">
        <v>2149</v>
      </c>
      <c r="J156" s="3" t="s">
        <v>6259</v>
      </c>
      <c r="V156" s="3" t="s">
        <v>6452</v>
      </c>
      <c r="AT156" s="3" t="s">
        <v>6145</v>
      </c>
      <c r="AU156" s="3">
        <v>2023.0</v>
      </c>
      <c r="AV156" s="3">
        <v>11.0</v>
      </c>
      <c r="AW156" s="3">
        <v>11.0</v>
      </c>
      <c r="BD156" s="12">
        <v>2.33E16</v>
      </c>
      <c r="BE156" s="3" t="s">
        <v>2158</v>
      </c>
      <c r="BF156" s="3" t="s">
        <v>2159</v>
      </c>
      <c r="BN156" s="3">
        <v>3.8021297E7</v>
      </c>
      <c r="BS156" s="3" t="s">
        <v>6453</v>
      </c>
      <c r="BT156" s="3" t="s">
        <v>6102</v>
      </c>
    </row>
    <row r="157" ht="14.25" customHeight="1">
      <c r="A157" s="3" t="s">
        <v>50</v>
      </c>
      <c r="B157" s="3" t="s">
        <v>6460</v>
      </c>
      <c r="F157" s="3" t="s">
        <v>6461</v>
      </c>
      <c r="I157" s="3" t="s">
        <v>6462</v>
      </c>
      <c r="J157" s="3" t="s">
        <v>6137</v>
      </c>
      <c r="V157" s="3" t="s">
        <v>6463</v>
      </c>
      <c r="AT157" s="3" t="s">
        <v>6107</v>
      </c>
      <c r="AU157" s="3">
        <v>2011.0</v>
      </c>
      <c r="AV157" s="3">
        <v>39.0</v>
      </c>
      <c r="AW157" s="3">
        <v>6.0</v>
      </c>
      <c r="BB157" s="3">
        <v>1238.0</v>
      </c>
      <c r="BC157" s="3">
        <v>1247.0</v>
      </c>
      <c r="BE157" s="3" t="s">
        <v>6464</v>
      </c>
      <c r="BF157" s="3" t="s">
        <v>6465</v>
      </c>
      <c r="BN157" s="3">
        <v>2.1343386E7</v>
      </c>
      <c r="BS157" s="3" t="s">
        <v>6466</v>
      </c>
      <c r="BT157" s="3" t="s">
        <v>6102</v>
      </c>
    </row>
    <row r="158" ht="14.25" customHeight="1">
      <c r="A158" s="3" t="s">
        <v>50</v>
      </c>
      <c r="B158" s="3" t="s">
        <v>6697</v>
      </c>
      <c r="F158" s="3" t="s">
        <v>6698</v>
      </c>
      <c r="I158" s="3" t="s">
        <v>6699</v>
      </c>
      <c r="J158" s="3" t="s">
        <v>6700</v>
      </c>
      <c r="V158" s="3" t="s">
        <v>6701</v>
      </c>
      <c r="AT158" s="3" t="s">
        <v>6165</v>
      </c>
      <c r="AU158" s="3">
        <v>2024.0</v>
      </c>
      <c r="AV158" s="3">
        <v>9.0</v>
      </c>
      <c r="AW158" s="3">
        <v>5.0</v>
      </c>
      <c r="BD158" s="3">
        <v>100309.0</v>
      </c>
      <c r="BE158" s="3" t="s">
        <v>6702</v>
      </c>
      <c r="BF158" s="3" t="s">
        <v>6703</v>
      </c>
      <c r="BH158" s="10">
        <v>46289.0</v>
      </c>
      <c r="BN158" s="3">
        <v>3.9159822E7</v>
      </c>
      <c r="BS158" s="3" t="s">
        <v>6704</v>
      </c>
      <c r="BT158" s="3" t="s">
        <v>6102</v>
      </c>
    </row>
    <row r="159" ht="14.25" customHeight="1">
      <c r="A159" s="3" t="s">
        <v>50</v>
      </c>
      <c r="B159" s="3" t="s">
        <v>6426</v>
      </c>
      <c r="F159" s="3" t="s">
        <v>6427</v>
      </c>
      <c r="H159" s="3" t="s">
        <v>6419</v>
      </c>
      <c r="I159" s="3" t="s">
        <v>6428</v>
      </c>
      <c r="J159" s="3" t="s">
        <v>6137</v>
      </c>
      <c r="V159" s="3" t="s">
        <v>6429</v>
      </c>
      <c r="AT159" s="3" t="s">
        <v>6165</v>
      </c>
      <c r="AU159" s="3">
        <v>2018.0</v>
      </c>
      <c r="AV159" s="3">
        <v>46.0</v>
      </c>
      <c r="AW159" s="3">
        <v>12.0</v>
      </c>
      <c r="BB159" s="3">
        <v>2842.0</v>
      </c>
      <c r="BC159" s="3">
        <v>2850.0</v>
      </c>
      <c r="BE159" s="3" t="s">
        <v>6430</v>
      </c>
      <c r="BF159" s="3" t="s">
        <v>6431</v>
      </c>
      <c r="BN159" s="3">
        <v>3.0199646E7</v>
      </c>
      <c r="BS159" s="3" t="s">
        <v>6432</v>
      </c>
      <c r="BT159" s="3" t="s">
        <v>6102</v>
      </c>
    </row>
    <row r="160" ht="14.25" customHeight="1">
      <c r="A160" s="3" t="s">
        <v>50</v>
      </c>
      <c r="B160" s="3" t="s">
        <v>6411</v>
      </c>
      <c r="F160" s="3" t="s">
        <v>6412</v>
      </c>
      <c r="I160" s="3" t="s">
        <v>6413</v>
      </c>
      <c r="J160" s="3" t="s">
        <v>6137</v>
      </c>
      <c r="V160" s="3" t="s">
        <v>6414</v>
      </c>
      <c r="AT160" s="3" t="s">
        <v>6145</v>
      </c>
      <c r="AU160" s="3">
        <v>2013.0</v>
      </c>
      <c r="AV160" s="3">
        <v>41.0</v>
      </c>
      <c r="AW160" s="3">
        <v>11.0</v>
      </c>
      <c r="BB160" s="3">
        <v>2492.0</v>
      </c>
      <c r="BC160" s="3">
        <v>2499.0</v>
      </c>
      <c r="BE160" s="3" t="s">
        <v>360</v>
      </c>
      <c r="BF160" s="3" t="s">
        <v>6415</v>
      </c>
      <c r="BN160" s="3">
        <v>2.4001575E7</v>
      </c>
      <c r="BS160" s="3" t="s">
        <v>6416</v>
      </c>
      <c r="BT160" s="3" t="s">
        <v>6102</v>
      </c>
    </row>
    <row r="161" ht="14.25" customHeight="1">
      <c r="A161" s="3" t="s">
        <v>50</v>
      </c>
      <c r="B161" s="3" t="s">
        <v>6705</v>
      </c>
      <c r="F161" s="3" t="s">
        <v>6706</v>
      </c>
      <c r="I161" s="3" t="s">
        <v>1197</v>
      </c>
      <c r="J161" s="3" t="s">
        <v>6707</v>
      </c>
      <c r="V161" s="3" t="s">
        <v>6708</v>
      </c>
      <c r="AT161" s="3" t="s">
        <v>6132</v>
      </c>
      <c r="AU161" s="3">
        <v>2020.0</v>
      </c>
      <c r="AV161" s="3">
        <v>50.0</v>
      </c>
      <c r="AW161" s="3">
        <v>7.0</v>
      </c>
      <c r="BB161" s="3">
        <v>1393.0</v>
      </c>
      <c r="BC161" s="3">
        <v>1403.0</v>
      </c>
      <c r="BE161" s="3" t="s">
        <v>1202</v>
      </c>
      <c r="BF161" s="3" t="s">
        <v>4311</v>
      </c>
      <c r="BH161" s="10">
        <v>46101.0</v>
      </c>
      <c r="BN161" s="3">
        <v>3.2125668E7</v>
      </c>
      <c r="BS161" s="3" t="s">
        <v>6709</v>
      </c>
      <c r="BT161" s="3" t="s">
        <v>6102</v>
      </c>
    </row>
    <row r="162" ht="14.25" customHeight="1">
      <c r="A162" s="3" t="s">
        <v>50</v>
      </c>
      <c r="B162" s="3" t="s">
        <v>6710</v>
      </c>
      <c r="F162" s="3" t="s">
        <v>6711</v>
      </c>
      <c r="I162" s="3" t="s">
        <v>4431</v>
      </c>
      <c r="J162" s="3" t="s">
        <v>6259</v>
      </c>
      <c r="V162" s="3" t="s">
        <v>6712</v>
      </c>
      <c r="AT162" s="10">
        <v>46080.0</v>
      </c>
      <c r="AU162" s="3">
        <v>2019.0</v>
      </c>
      <c r="AV162" s="3">
        <v>7.0</v>
      </c>
      <c r="AW162" s="3">
        <v>2.0</v>
      </c>
      <c r="BD162" s="12">
        <v>2.33E15</v>
      </c>
      <c r="BE162" s="3" t="s">
        <v>4440</v>
      </c>
      <c r="BF162" s="3" t="s">
        <v>4441</v>
      </c>
      <c r="BN162" s="3">
        <v>3.083428E7</v>
      </c>
      <c r="BS162" s="3" t="s">
        <v>6713</v>
      </c>
      <c r="BT162" s="3" t="s">
        <v>6102</v>
      </c>
    </row>
    <row r="163" ht="14.25" customHeight="1">
      <c r="A163" s="3" t="s">
        <v>50</v>
      </c>
      <c r="B163" s="3" t="s">
        <v>6467</v>
      </c>
      <c r="F163" s="3" t="s">
        <v>6468</v>
      </c>
      <c r="I163" s="3" t="s">
        <v>6469</v>
      </c>
      <c r="J163" s="3" t="s">
        <v>6137</v>
      </c>
      <c r="V163" s="3" t="s">
        <v>6470</v>
      </c>
      <c r="AT163" s="3" t="s">
        <v>6100</v>
      </c>
      <c r="AU163" s="3">
        <v>2013.0</v>
      </c>
      <c r="AV163" s="3">
        <v>41.0</v>
      </c>
      <c r="AW163" s="3">
        <v>1.0</v>
      </c>
      <c r="BB163" s="3">
        <v>25.0</v>
      </c>
      <c r="BC163" s="3">
        <v>34.0</v>
      </c>
      <c r="BE163" s="3" t="s">
        <v>6471</v>
      </c>
      <c r="BF163" s="3" t="s">
        <v>6472</v>
      </c>
      <c r="BN163" s="3">
        <v>2.314437E7</v>
      </c>
      <c r="BS163" s="3" t="s">
        <v>6473</v>
      </c>
      <c r="BT163" s="3" t="s">
        <v>6102</v>
      </c>
    </row>
    <row r="164" ht="14.25" customHeight="1">
      <c r="A164" s="3" t="s">
        <v>50</v>
      </c>
      <c r="B164" s="3" t="s">
        <v>6714</v>
      </c>
      <c r="F164" s="3" t="s">
        <v>6715</v>
      </c>
      <c r="I164" s="3" t="s">
        <v>1225</v>
      </c>
      <c r="J164" s="3" t="s">
        <v>6137</v>
      </c>
      <c r="V164" s="3" t="s">
        <v>6716</v>
      </c>
      <c r="AT164" s="3" t="s">
        <v>6177</v>
      </c>
      <c r="AU164" s="3">
        <v>2019.0</v>
      </c>
      <c r="AV164" s="3">
        <v>47.0</v>
      </c>
      <c r="AW164" s="3">
        <v>10.0</v>
      </c>
      <c r="BB164" s="3">
        <v>2386.0</v>
      </c>
      <c r="BC164" s="3">
        <v>2393.0</v>
      </c>
      <c r="BE164" s="3" t="s">
        <v>1229</v>
      </c>
      <c r="BF164" s="3" t="s">
        <v>4389</v>
      </c>
      <c r="BN164" s="3">
        <v>3.1306589E7</v>
      </c>
      <c r="BS164" s="3" t="s">
        <v>6717</v>
      </c>
      <c r="BT164" s="3" t="s">
        <v>6102</v>
      </c>
    </row>
    <row r="165" ht="14.25" customHeight="1">
      <c r="A165" s="3" t="s">
        <v>50</v>
      </c>
      <c r="B165" s="3" t="s">
        <v>6718</v>
      </c>
      <c r="F165" s="3" t="s">
        <v>6719</v>
      </c>
      <c r="I165" s="3" t="s">
        <v>6720</v>
      </c>
      <c r="J165" s="3" t="s">
        <v>6721</v>
      </c>
      <c r="V165" s="3" t="s">
        <v>6722</v>
      </c>
      <c r="AT165" s="10">
        <v>46311.0</v>
      </c>
      <c r="AU165" s="3">
        <v>2025.0</v>
      </c>
      <c r="AV165" s="3">
        <v>6.0</v>
      </c>
      <c r="BD165" s="3">
        <v>1627228.0</v>
      </c>
      <c r="BE165" s="3" t="s">
        <v>6723</v>
      </c>
      <c r="BF165" s="3" t="s">
        <v>6724</v>
      </c>
      <c r="BN165" s="3">
        <v>4.1180415E7</v>
      </c>
      <c r="BS165" s="3" t="s">
        <v>6725</v>
      </c>
      <c r="BT165" s="3" t="s">
        <v>6102</v>
      </c>
    </row>
    <row r="166" ht="14.25" customHeight="1">
      <c r="A166" s="3" t="s">
        <v>50</v>
      </c>
      <c r="B166" s="3" t="s">
        <v>6474</v>
      </c>
      <c r="F166" s="3" t="s">
        <v>6475</v>
      </c>
      <c r="I166" s="3" t="s">
        <v>6476</v>
      </c>
      <c r="J166" s="3" t="s">
        <v>6137</v>
      </c>
      <c r="V166" s="3" t="s">
        <v>6477</v>
      </c>
      <c r="AT166" s="3" t="s">
        <v>6145</v>
      </c>
      <c r="AU166" s="3">
        <v>2022.0</v>
      </c>
      <c r="AV166" s="3">
        <v>50.0</v>
      </c>
      <c r="AW166" s="3">
        <v>13.0</v>
      </c>
      <c r="BB166" s="3">
        <v>3510.0</v>
      </c>
      <c r="BC166" s="3">
        <v>3521.0</v>
      </c>
      <c r="BE166" s="3" t="s">
        <v>6478</v>
      </c>
      <c r="BF166" s="3" t="s">
        <v>6479</v>
      </c>
      <c r="BH166" s="10">
        <v>46317.0</v>
      </c>
      <c r="BN166" s="3">
        <v>3.6259724E7</v>
      </c>
      <c r="BS166" s="3" t="s">
        <v>6480</v>
      </c>
      <c r="BT166" s="3" t="s">
        <v>6102</v>
      </c>
    </row>
    <row r="167" ht="14.25" customHeight="1">
      <c r="A167" s="3" t="s">
        <v>50</v>
      </c>
      <c r="B167" s="3" t="s">
        <v>6726</v>
      </c>
      <c r="F167" s="3" t="s">
        <v>6727</v>
      </c>
      <c r="I167" s="3" t="s">
        <v>6728</v>
      </c>
      <c r="J167" s="3" t="s">
        <v>6231</v>
      </c>
      <c r="V167" s="3" t="s">
        <v>6729</v>
      </c>
      <c r="AT167" s="3" t="s">
        <v>6107</v>
      </c>
      <c r="AU167" s="3">
        <v>2024.0</v>
      </c>
      <c r="AV167" s="3">
        <v>144.0</v>
      </c>
      <c r="AW167" s="3">
        <v>6.0</v>
      </c>
      <c r="BB167" s="3">
        <v>2711.0</v>
      </c>
      <c r="BC167" s="3">
        <v>2722.0</v>
      </c>
      <c r="BE167" s="3" t="s">
        <v>6730</v>
      </c>
      <c r="BF167" s="3" t="s">
        <v>6731</v>
      </c>
      <c r="BH167" s="10">
        <v>46166.0</v>
      </c>
      <c r="BN167" s="3">
        <v>3.8748257E7</v>
      </c>
      <c r="BS167" s="3" t="s">
        <v>6732</v>
      </c>
      <c r="BT167" s="3" t="s">
        <v>6102</v>
      </c>
    </row>
    <row r="168" ht="14.25" customHeight="1">
      <c r="A168" s="3" t="s">
        <v>50</v>
      </c>
      <c r="B168" s="3" t="s">
        <v>6437</v>
      </c>
      <c r="F168" s="3" t="s">
        <v>6438</v>
      </c>
      <c r="I168" s="3" t="s">
        <v>2413</v>
      </c>
      <c r="J168" s="3" t="s">
        <v>6259</v>
      </c>
      <c r="V168" s="3" t="s">
        <v>6439</v>
      </c>
      <c r="AT168" s="3" t="s">
        <v>6121</v>
      </c>
      <c r="AU168" s="3">
        <v>2020.0</v>
      </c>
      <c r="AV168" s="3">
        <v>8.0</v>
      </c>
      <c r="AW168" s="3">
        <v>5.0</v>
      </c>
      <c r="BD168" s="12">
        <v>2.33E15</v>
      </c>
      <c r="BE168" s="3" t="s">
        <v>2420</v>
      </c>
      <c r="BF168" s="3" t="s">
        <v>2421</v>
      </c>
      <c r="BN168" s="3">
        <v>3.2490026E7</v>
      </c>
      <c r="BS168" s="3" t="s">
        <v>6440</v>
      </c>
      <c r="BT168" s="3" t="s">
        <v>6102</v>
      </c>
    </row>
    <row r="169" ht="14.25" customHeight="1">
      <c r="A169" s="3" t="s">
        <v>50</v>
      </c>
      <c r="B169" s="3" t="s">
        <v>6733</v>
      </c>
      <c r="F169" s="3" t="s">
        <v>6734</v>
      </c>
      <c r="I169" s="3" t="s">
        <v>991</v>
      </c>
      <c r="J169" s="3" t="s">
        <v>6105</v>
      </c>
      <c r="V169" s="3" t="s">
        <v>6735</v>
      </c>
      <c r="AT169" s="3" t="s">
        <v>6107</v>
      </c>
      <c r="AU169" s="3">
        <v>2021.0</v>
      </c>
      <c r="AV169" s="3">
        <v>41.0</v>
      </c>
      <c r="AW169" s="3">
        <v>6.0</v>
      </c>
      <c r="BB169" s="3">
        <v>2021.0</v>
      </c>
      <c r="BC169" s="3">
        <v>2032.0</v>
      </c>
      <c r="BE169" s="3" t="s">
        <v>995</v>
      </c>
      <c r="BF169" s="3" t="s">
        <v>3608</v>
      </c>
      <c r="BH169" s="10">
        <v>46167.0</v>
      </c>
      <c r="BN169" s="3">
        <v>3.9343075E7</v>
      </c>
      <c r="BS169" s="3" t="s">
        <v>6736</v>
      </c>
      <c r="BT169" s="3" t="s">
        <v>6102</v>
      </c>
    </row>
    <row r="170" ht="14.25" customHeight="1">
      <c r="A170" s="3" t="s">
        <v>50</v>
      </c>
      <c r="B170" s="3" t="s">
        <v>6405</v>
      </c>
      <c r="F170" s="3" t="s">
        <v>6406</v>
      </c>
      <c r="I170" s="3" t="s">
        <v>6407</v>
      </c>
      <c r="J170" s="3" t="s">
        <v>6137</v>
      </c>
      <c r="V170" s="3" t="s">
        <v>6408</v>
      </c>
      <c r="AT170" s="3" t="s">
        <v>6121</v>
      </c>
      <c r="AU170" s="3">
        <v>2014.0</v>
      </c>
      <c r="AV170" s="3">
        <v>42.0</v>
      </c>
      <c r="AW170" s="3">
        <v>5.0</v>
      </c>
      <c r="BB170" s="3">
        <v>1049.0</v>
      </c>
      <c r="BC170" s="3">
        <v>1057.0</v>
      </c>
      <c r="BE170" s="3" t="s">
        <v>350</v>
      </c>
      <c r="BF170" s="3" t="s">
        <v>6409</v>
      </c>
      <c r="BN170" s="3">
        <v>2.4644301E7</v>
      </c>
      <c r="BS170" s="3" t="s">
        <v>6410</v>
      </c>
      <c r="BT170" s="3" t="s">
        <v>6102</v>
      </c>
    </row>
    <row r="171" ht="14.25" customHeight="1">
      <c r="A171" s="3" t="s">
        <v>50</v>
      </c>
      <c r="B171" s="3" t="s">
        <v>6737</v>
      </c>
      <c r="F171" s="3" t="s">
        <v>6738</v>
      </c>
      <c r="I171" s="3" t="s">
        <v>4107</v>
      </c>
      <c r="J171" s="3" t="s">
        <v>6739</v>
      </c>
      <c r="V171" s="3" t="s">
        <v>6740</v>
      </c>
      <c r="AT171" s="10">
        <v>46150.0</v>
      </c>
      <c r="AU171" s="3">
        <v>2021.0</v>
      </c>
      <c r="AV171" s="3">
        <v>13.0</v>
      </c>
      <c r="AW171" s="3">
        <v>1.0</v>
      </c>
      <c r="BD171" s="3">
        <v>49.0</v>
      </c>
      <c r="BE171" s="3" t="s">
        <v>4116</v>
      </c>
      <c r="BF171" s="3" t="s">
        <v>4117</v>
      </c>
      <c r="BN171" s="3">
        <v>3.3964961E7</v>
      </c>
      <c r="BS171" s="3" t="s">
        <v>6741</v>
      </c>
      <c r="BT171" s="3" t="s">
        <v>6102</v>
      </c>
    </row>
    <row r="172" ht="14.25" customHeight="1">
      <c r="A172" s="3" t="s">
        <v>50</v>
      </c>
      <c r="B172" s="3" t="s">
        <v>6742</v>
      </c>
      <c r="F172" s="3" t="s">
        <v>6743</v>
      </c>
      <c r="I172" s="3" t="s">
        <v>1272</v>
      </c>
      <c r="J172" s="3" t="s">
        <v>6640</v>
      </c>
      <c r="V172" s="3" t="s">
        <v>6744</v>
      </c>
      <c r="AT172" s="10">
        <v>46132.0</v>
      </c>
      <c r="AU172" s="3">
        <v>2018.0</v>
      </c>
      <c r="AV172" s="3">
        <v>19.0</v>
      </c>
      <c r="BD172" s="3">
        <v>127.0</v>
      </c>
      <c r="BE172" s="3" t="s">
        <v>1277</v>
      </c>
      <c r="BF172" s="3" t="s">
        <v>4501</v>
      </c>
      <c r="BN172" s="3">
        <v>2.967817E7</v>
      </c>
      <c r="BS172" s="3" t="s">
        <v>6745</v>
      </c>
      <c r="BT172" s="3" t="s">
        <v>6102</v>
      </c>
    </row>
    <row r="173" ht="14.25" customHeight="1">
      <c r="A173" s="3" t="s">
        <v>50</v>
      </c>
      <c r="B173" s="3" t="s">
        <v>6746</v>
      </c>
      <c r="F173" s="3" t="s">
        <v>6747</v>
      </c>
      <c r="I173" s="3" t="s">
        <v>1140</v>
      </c>
      <c r="J173" s="3" t="s">
        <v>6640</v>
      </c>
      <c r="V173" s="3" t="s">
        <v>6748</v>
      </c>
      <c r="AT173" s="10">
        <v>46238.0</v>
      </c>
      <c r="AU173" s="3">
        <v>2021.0</v>
      </c>
      <c r="AV173" s="3">
        <v>22.0</v>
      </c>
      <c r="AW173" s="3">
        <v>1.0</v>
      </c>
      <c r="BD173" s="3">
        <v>655.0</v>
      </c>
      <c r="BE173" s="3" t="s">
        <v>1146</v>
      </c>
      <c r="BF173" s="3" t="s">
        <v>4126</v>
      </c>
      <c r="BN173" s="3">
        <v>3.4348704E7</v>
      </c>
      <c r="BS173" s="3" t="s">
        <v>6749</v>
      </c>
      <c r="BT173" s="3" t="s">
        <v>6102</v>
      </c>
    </row>
    <row r="174" ht="14.25" customHeight="1">
      <c r="A174" s="3" t="s">
        <v>50</v>
      </c>
      <c r="B174" s="3" t="s">
        <v>6750</v>
      </c>
      <c r="F174" s="3" t="s">
        <v>6751</v>
      </c>
      <c r="I174" s="3" t="s">
        <v>4549</v>
      </c>
      <c r="J174" s="3" t="s">
        <v>6752</v>
      </c>
      <c r="V174" s="3" t="s">
        <v>6753</v>
      </c>
      <c r="AT174" s="10">
        <v>46048.0</v>
      </c>
      <c r="AU174" s="3">
        <v>2018.0</v>
      </c>
      <c r="AV174" s="3">
        <v>19.0</v>
      </c>
      <c r="BD174" s="3">
        <v>75.0</v>
      </c>
      <c r="BE174" s="3" t="s">
        <v>4558</v>
      </c>
      <c r="BF174" s="3" t="s">
        <v>4559</v>
      </c>
      <c r="BN174" s="3">
        <v>2.9373984E7</v>
      </c>
      <c r="BS174" s="3" t="s">
        <v>6754</v>
      </c>
      <c r="BT174" s="3" t="s">
        <v>6102</v>
      </c>
    </row>
    <row r="175" ht="14.25" customHeight="1">
      <c r="A175" s="3" t="s">
        <v>50</v>
      </c>
      <c r="B175" s="3" t="s">
        <v>6755</v>
      </c>
      <c r="F175" s="3" t="s">
        <v>6756</v>
      </c>
      <c r="I175" s="3" t="s">
        <v>979</v>
      </c>
      <c r="J175" s="3" t="s">
        <v>6231</v>
      </c>
      <c r="V175" s="3" t="s">
        <v>6757</v>
      </c>
      <c r="AT175" s="10">
        <v>46379.0</v>
      </c>
      <c r="AU175" s="3">
        <v>2024.0</v>
      </c>
      <c r="AV175" s="3">
        <v>145.0</v>
      </c>
      <c r="AW175" s="3">
        <v>1.0</v>
      </c>
      <c r="BD175" s="3">
        <v>85.0</v>
      </c>
      <c r="BE175" s="3" t="s">
        <v>984</v>
      </c>
      <c r="BF175" s="3" t="s">
        <v>3479</v>
      </c>
      <c r="BN175" s="3">
        <v>3.9714511E7</v>
      </c>
      <c r="BS175" s="3" t="s">
        <v>6758</v>
      </c>
      <c r="BT175" s="3" t="s">
        <v>6102</v>
      </c>
    </row>
    <row r="176" ht="14.25" customHeight="1">
      <c r="A176" s="3" t="s">
        <v>50</v>
      </c>
      <c r="B176" s="3" t="s">
        <v>6490</v>
      </c>
      <c r="F176" s="3" t="s">
        <v>6491</v>
      </c>
      <c r="I176" s="3" t="s">
        <v>6492</v>
      </c>
      <c r="J176" s="3" t="s">
        <v>6225</v>
      </c>
      <c r="V176" s="3" t="s">
        <v>6493</v>
      </c>
      <c r="AT176" s="3" t="s">
        <v>6200</v>
      </c>
      <c r="AU176" s="3">
        <v>2010.0</v>
      </c>
      <c r="AV176" s="3">
        <v>17.0</v>
      </c>
      <c r="AW176" s="3">
        <v>2.0</v>
      </c>
      <c r="BB176" s="3">
        <v>119.0</v>
      </c>
      <c r="BC176" s="3">
        <v>126.0</v>
      </c>
      <c r="BE176" s="3" t="s">
        <v>6494</v>
      </c>
      <c r="BF176" s="3" t="s">
        <v>6495</v>
      </c>
      <c r="BN176" s="3">
        <v>1.9682909E7</v>
      </c>
      <c r="BS176" s="3" t="s">
        <v>6496</v>
      </c>
      <c r="BT176" s="3" t="s">
        <v>6102</v>
      </c>
    </row>
    <row r="177" ht="14.25" customHeight="1">
      <c r="A177" s="3" t="s">
        <v>50</v>
      </c>
      <c r="B177" s="3" t="s">
        <v>6759</v>
      </c>
      <c r="F177" s="3" t="s">
        <v>6760</v>
      </c>
      <c r="I177" s="3" t="s">
        <v>1253</v>
      </c>
      <c r="J177" s="3" t="s">
        <v>6098</v>
      </c>
      <c r="V177" s="3" t="s">
        <v>6761</v>
      </c>
      <c r="AT177" s="3" t="s">
        <v>6100</v>
      </c>
      <c r="AU177" s="3">
        <v>2019.0</v>
      </c>
      <c r="AV177" s="3">
        <v>27.0</v>
      </c>
      <c r="AW177" s="3">
        <v>1.0</v>
      </c>
      <c r="BB177" s="3">
        <v>68.0</v>
      </c>
      <c r="BC177" s="3">
        <v>75.0</v>
      </c>
      <c r="BE177" s="3" t="s">
        <v>1257</v>
      </c>
      <c r="BF177" s="3" t="s">
        <v>4449</v>
      </c>
      <c r="BN177" s="3">
        <v>2.9959448E7</v>
      </c>
      <c r="BS177" s="3" t="s">
        <v>6762</v>
      </c>
      <c r="BT177" s="3" t="s">
        <v>6102</v>
      </c>
    </row>
    <row r="178" ht="14.25" customHeight="1">
      <c r="A178" s="3" t="s">
        <v>50</v>
      </c>
      <c r="B178" s="3" t="s">
        <v>6505</v>
      </c>
      <c r="F178" s="3" t="s">
        <v>6506</v>
      </c>
      <c r="I178" s="3" t="s">
        <v>6507</v>
      </c>
      <c r="J178" s="3" t="s">
        <v>6137</v>
      </c>
      <c r="V178" s="3" t="s">
        <v>6508</v>
      </c>
      <c r="AT178" s="3" t="s">
        <v>6200</v>
      </c>
      <c r="AU178" s="3">
        <v>2010.0</v>
      </c>
      <c r="AV178" s="3">
        <v>38.0</v>
      </c>
      <c r="AW178" s="3">
        <v>3.0</v>
      </c>
      <c r="BB178" s="3">
        <v>501.0</v>
      </c>
      <c r="BC178" s="3">
        <v>508.0</v>
      </c>
      <c r="BE178" s="3" t="s">
        <v>1624</v>
      </c>
      <c r="BF178" s="3" t="s">
        <v>6509</v>
      </c>
      <c r="BN178" s="3">
        <v>2.0044497E7</v>
      </c>
      <c r="BS178" s="3" t="s">
        <v>6510</v>
      </c>
      <c r="BT178" s="3" t="s">
        <v>6102</v>
      </c>
    </row>
    <row r="179" ht="14.25" customHeight="1">
      <c r="A179" s="3" t="s">
        <v>50</v>
      </c>
      <c r="B179" s="3" t="s">
        <v>6497</v>
      </c>
      <c r="F179" s="3" t="s">
        <v>6498</v>
      </c>
      <c r="I179" s="3" t="s">
        <v>6499</v>
      </c>
      <c r="J179" s="3" t="s">
        <v>6500</v>
      </c>
      <c r="V179" s="3" t="s">
        <v>6501</v>
      </c>
      <c r="AT179" s="10">
        <v>46225.0</v>
      </c>
      <c r="AU179" s="3">
        <v>2010.0</v>
      </c>
      <c r="AV179" s="3">
        <v>363.0</v>
      </c>
      <c r="AW179" s="3">
        <v>4.0</v>
      </c>
      <c r="BB179" s="3">
        <v>331.0</v>
      </c>
      <c r="BC179" s="3">
        <v>342.0</v>
      </c>
      <c r="BE179" s="3" t="s">
        <v>6502</v>
      </c>
      <c r="BF179" s="3" t="s">
        <v>6503</v>
      </c>
      <c r="BN179" s="3">
        <v>2.0660401E7</v>
      </c>
      <c r="BS179" s="3" t="s">
        <v>6504</v>
      </c>
      <c r="BT179" s="3" t="s">
        <v>6102</v>
      </c>
    </row>
    <row r="180" ht="14.25" customHeight="1">
      <c r="A180" s="3" t="s">
        <v>50</v>
      </c>
      <c r="B180" s="3" t="s">
        <v>6763</v>
      </c>
      <c r="F180" s="3" t="s">
        <v>6764</v>
      </c>
      <c r="I180" s="3" t="s">
        <v>6765</v>
      </c>
      <c r="J180" s="3" t="s">
        <v>6259</v>
      </c>
      <c r="V180" s="3" t="s">
        <v>6766</v>
      </c>
      <c r="AT180" s="3" t="s">
        <v>6153</v>
      </c>
      <c r="AU180" s="3">
        <v>2017.0</v>
      </c>
      <c r="AV180" s="3">
        <v>5.0</v>
      </c>
      <c r="AW180" s="3">
        <v>2.0</v>
      </c>
      <c r="BD180" s="12">
        <v>2.33E15</v>
      </c>
      <c r="BE180" s="3" t="s">
        <v>6767</v>
      </c>
      <c r="BF180" s="3" t="s">
        <v>6768</v>
      </c>
      <c r="BN180" s="3">
        <v>2.8203605E7</v>
      </c>
      <c r="BS180" s="3" t="s">
        <v>6769</v>
      </c>
      <c r="BT180" s="3" t="s">
        <v>6102</v>
      </c>
    </row>
    <row r="181" ht="14.25" customHeight="1">
      <c r="A181" s="3" t="s">
        <v>50</v>
      </c>
      <c r="B181" s="3" t="s">
        <v>6770</v>
      </c>
      <c r="F181" s="3" t="s">
        <v>6771</v>
      </c>
      <c r="I181" s="3" t="s">
        <v>6772</v>
      </c>
      <c r="J181" s="3" t="s">
        <v>6098</v>
      </c>
      <c r="V181" s="3" t="s">
        <v>6773</v>
      </c>
      <c r="AT181" s="3" t="s">
        <v>6153</v>
      </c>
      <c r="AU181" s="3">
        <v>2018.0</v>
      </c>
      <c r="AV181" s="3">
        <v>26.0</v>
      </c>
      <c r="AW181" s="3">
        <v>2.0</v>
      </c>
      <c r="BB181" s="3">
        <v>582.0</v>
      </c>
      <c r="BC181" s="3">
        <v>588.0</v>
      </c>
      <c r="BE181" s="3" t="s">
        <v>6774</v>
      </c>
      <c r="BF181" s="3" t="s">
        <v>6775</v>
      </c>
      <c r="BN181" s="3">
        <v>2.8653183E7</v>
      </c>
      <c r="BS181" s="3" t="s">
        <v>6776</v>
      </c>
      <c r="BT181" s="3" t="s">
        <v>6102</v>
      </c>
    </row>
    <row r="182" ht="14.25" customHeight="1">
      <c r="A182" s="3" t="s">
        <v>50</v>
      </c>
      <c r="B182" s="3" t="s">
        <v>6777</v>
      </c>
      <c r="F182" s="3" t="s">
        <v>6778</v>
      </c>
      <c r="I182" s="3" t="s">
        <v>6779</v>
      </c>
      <c r="J182" s="3" t="s">
        <v>6388</v>
      </c>
      <c r="V182" s="3" t="s">
        <v>6780</v>
      </c>
      <c r="AT182" s="3" t="s">
        <v>6121</v>
      </c>
      <c r="AU182" s="3">
        <v>2015.0</v>
      </c>
      <c r="AV182" s="3">
        <v>50.0</v>
      </c>
      <c r="AW182" s="3">
        <v>5.0</v>
      </c>
      <c r="BB182" s="3">
        <v>508.0</v>
      </c>
      <c r="BC182" s="3">
        <v>515.0</v>
      </c>
      <c r="BE182" s="3" t="s">
        <v>6781</v>
      </c>
      <c r="BF182" s="3" t="s">
        <v>6782</v>
      </c>
      <c r="BN182" s="3">
        <v>2.5594914E7</v>
      </c>
      <c r="BS182" s="3" t="s">
        <v>6783</v>
      </c>
      <c r="BT182" s="3" t="s">
        <v>6102</v>
      </c>
    </row>
    <row r="183" ht="14.25" customHeight="1">
      <c r="A183" s="3" t="s">
        <v>50</v>
      </c>
      <c r="B183" s="3" t="s">
        <v>6511</v>
      </c>
      <c r="F183" s="3" t="s">
        <v>6512</v>
      </c>
      <c r="I183" s="3" t="s">
        <v>6513</v>
      </c>
      <c r="J183" s="3" t="s">
        <v>6137</v>
      </c>
      <c r="V183" s="3" t="s">
        <v>6514</v>
      </c>
      <c r="AT183" s="3" t="s">
        <v>6132</v>
      </c>
      <c r="AU183" s="3">
        <v>2007.0</v>
      </c>
      <c r="AV183" s="3">
        <v>35.0</v>
      </c>
      <c r="AW183" s="3">
        <v>7.0</v>
      </c>
      <c r="BB183" s="3">
        <v>1135.0</v>
      </c>
      <c r="BC183" s="3">
        <v>1143.0</v>
      </c>
      <c r="BE183" s="3" t="s">
        <v>6515</v>
      </c>
      <c r="BF183" s="3" t="s">
        <v>6516</v>
      </c>
      <c r="BN183" s="3">
        <v>1.7351121E7</v>
      </c>
      <c r="BS183" s="3" t="s">
        <v>6517</v>
      </c>
      <c r="BT183" s="3" t="s">
        <v>6102</v>
      </c>
    </row>
    <row r="184" ht="14.25" customHeight="1">
      <c r="A184" s="3" t="s">
        <v>50</v>
      </c>
      <c r="B184" s="3" t="s">
        <v>6784</v>
      </c>
      <c r="F184" s="3" t="s">
        <v>6785</v>
      </c>
      <c r="I184" s="3" t="s">
        <v>6786</v>
      </c>
      <c r="J184" s="3" t="s">
        <v>6137</v>
      </c>
      <c r="V184" s="3" t="s">
        <v>6787</v>
      </c>
      <c r="AT184" s="3" t="s">
        <v>6153</v>
      </c>
      <c r="AU184" s="3">
        <v>2008.0</v>
      </c>
      <c r="AV184" s="3">
        <v>36.0</v>
      </c>
      <c r="AW184" s="3">
        <v>2.0</v>
      </c>
      <c r="BB184" s="3">
        <v>298.0</v>
      </c>
      <c r="BC184" s="3">
        <v>307.0</v>
      </c>
      <c r="BE184" s="3" t="s">
        <v>1735</v>
      </c>
      <c r="BF184" s="3" t="s">
        <v>5459</v>
      </c>
      <c r="BN184" s="3">
        <v>1.7940146E7</v>
      </c>
      <c r="BS184" s="3" t="s">
        <v>6788</v>
      </c>
      <c r="BT184" s="3" t="s">
        <v>6102</v>
      </c>
    </row>
    <row r="185" ht="14.25" customHeight="1">
      <c r="A185" s="3" t="s">
        <v>50</v>
      </c>
      <c r="B185" s="3" t="s">
        <v>6789</v>
      </c>
      <c r="F185" s="3" t="s">
        <v>6790</v>
      </c>
      <c r="I185" s="3" t="s">
        <v>6791</v>
      </c>
      <c r="J185" s="3" t="s">
        <v>6792</v>
      </c>
      <c r="V185" s="3" t="s">
        <v>6793</v>
      </c>
      <c r="AT185" s="3" t="s">
        <v>6177</v>
      </c>
      <c r="AU185" s="3">
        <v>2013.0</v>
      </c>
      <c r="AV185" s="3">
        <v>22.0</v>
      </c>
      <c r="AW185" s="3">
        <v>3.0</v>
      </c>
      <c r="BB185" s="3">
        <v>191.0</v>
      </c>
      <c r="BC185" s="3">
        <v>201.0</v>
      </c>
      <c r="BE185" s="3" t="s">
        <v>1464</v>
      </c>
      <c r="BF185" s="3" t="s">
        <v>5001</v>
      </c>
      <c r="BN185" s="3">
        <v>2.3579334E7</v>
      </c>
      <c r="BS185" s="3" t="s">
        <v>6794</v>
      </c>
      <c r="BT185" s="3" t="s">
        <v>6102</v>
      </c>
    </row>
    <row r="186" ht="14.25" customHeight="1">
      <c r="A186" s="3" t="s">
        <v>50</v>
      </c>
      <c r="B186" s="3" t="s">
        <v>6526</v>
      </c>
      <c r="F186" s="3" t="s">
        <v>6527</v>
      </c>
      <c r="I186" s="3" t="s">
        <v>6528</v>
      </c>
      <c r="J186" s="3" t="s">
        <v>6137</v>
      </c>
      <c r="V186" s="3" t="s">
        <v>6529</v>
      </c>
      <c r="AT186" s="3" t="s">
        <v>6139</v>
      </c>
      <c r="AU186" s="3">
        <v>2013.0</v>
      </c>
      <c r="AV186" s="3">
        <v>41.0</v>
      </c>
      <c r="AW186" s="3">
        <v>4.0</v>
      </c>
      <c r="BB186" s="3">
        <v>788.0</v>
      </c>
      <c r="BC186" s="3">
        <v>794.0</v>
      </c>
      <c r="BE186" s="3" t="s">
        <v>1474</v>
      </c>
      <c r="BF186" s="3" t="s">
        <v>5027</v>
      </c>
      <c r="BN186" s="3">
        <v>2.3423316E7</v>
      </c>
      <c r="BS186" s="3" t="s">
        <v>6530</v>
      </c>
      <c r="BT186" s="3" t="s">
        <v>6102</v>
      </c>
    </row>
    <row r="187" ht="14.25" customHeight="1">
      <c r="A187" s="3" t="s">
        <v>50</v>
      </c>
      <c r="B187" s="3" t="s">
        <v>6518</v>
      </c>
      <c r="F187" s="3" t="s">
        <v>6519</v>
      </c>
      <c r="I187" s="3" t="s">
        <v>6520</v>
      </c>
      <c r="J187" s="3" t="s">
        <v>6098</v>
      </c>
      <c r="V187" s="3" t="s">
        <v>6521</v>
      </c>
      <c r="AT187" s="3" t="s">
        <v>6227</v>
      </c>
      <c r="AU187" s="3">
        <v>2011.0</v>
      </c>
      <c r="AV187" s="3">
        <v>19.0</v>
      </c>
      <c r="AY187" s="3">
        <v>1.0</v>
      </c>
      <c r="BB187" s="3" t="s">
        <v>2742</v>
      </c>
      <c r="BC187" s="3" t="s">
        <v>6522</v>
      </c>
      <c r="BE187" s="3" t="s">
        <v>6523</v>
      </c>
      <c r="BF187" s="3" t="s">
        <v>6524</v>
      </c>
      <c r="BN187" s="3">
        <v>2.1360125E7</v>
      </c>
      <c r="BS187" s="3" t="s">
        <v>6525</v>
      </c>
      <c r="BT187" s="3" t="s">
        <v>6102</v>
      </c>
    </row>
    <row r="188" ht="14.25" customHeight="1">
      <c r="A188" s="3" t="s">
        <v>50</v>
      </c>
      <c r="B188" s="3" t="s">
        <v>6795</v>
      </c>
      <c r="F188" s="3" t="s">
        <v>6796</v>
      </c>
      <c r="I188" s="3" t="s">
        <v>6797</v>
      </c>
      <c r="J188" s="3" t="s">
        <v>6396</v>
      </c>
      <c r="V188" s="3" t="s">
        <v>6798</v>
      </c>
      <c r="AT188" s="3" t="s">
        <v>6165</v>
      </c>
      <c r="AU188" s="3">
        <v>2025.0</v>
      </c>
      <c r="AV188" s="3">
        <v>12.0</v>
      </c>
      <c r="AW188" s="3">
        <v>4.0</v>
      </c>
      <c r="BD188" s="3" t="s">
        <v>6799</v>
      </c>
      <c r="BE188" s="3" t="s">
        <v>3516</v>
      </c>
      <c r="BF188" s="3" t="s">
        <v>3517</v>
      </c>
      <c r="BN188" s="3">
        <v>4.1078383E7</v>
      </c>
      <c r="BS188" s="3" t="s">
        <v>6800</v>
      </c>
      <c r="BT188" s="3" t="s">
        <v>6102</v>
      </c>
    </row>
    <row r="189" ht="14.25" customHeight="1">
      <c r="A189" s="3" t="s">
        <v>50</v>
      </c>
      <c r="B189" s="3" t="s">
        <v>6531</v>
      </c>
      <c r="F189" s="3" t="s">
        <v>6532</v>
      </c>
      <c r="I189" s="3" t="s">
        <v>6533</v>
      </c>
      <c r="J189" s="3" t="s">
        <v>6137</v>
      </c>
      <c r="V189" s="3" t="s">
        <v>6534</v>
      </c>
      <c r="AT189" s="3" t="s">
        <v>6200</v>
      </c>
      <c r="AU189" s="3">
        <v>2019.0</v>
      </c>
      <c r="AV189" s="3">
        <v>47.0</v>
      </c>
      <c r="AW189" s="3">
        <v>3.0</v>
      </c>
      <c r="BB189" s="3">
        <v>659.0</v>
      </c>
      <c r="BC189" s="3">
        <v>666.0</v>
      </c>
      <c r="BE189" s="3" t="s">
        <v>6535</v>
      </c>
      <c r="BF189" s="3" t="s">
        <v>6536</v>
      </c>
      <c r="BN189" s="3">
        <v>3.0699039E7</v>
      </c>
      <c r="BS189" s="3" t="s">
        <v>6537</v>
      </c>
      <c r="BT189" s="3" t="s">
        <v>6102</v>
      </c>
    </row>
    <row r="190" ht="14.25" customHeight="1">
      <c r="A190" s="3" t="s">
        <v>50</v>
      </c>
      <c r="B190" s="3" t="s">
        <v>6538</v>
      </c>
      <c r="F190" s="3" t="s">
        <v>6539</v>
      </c>
      <c r="I190" s="3" t="s">
        <v>1122</v>
      </c>
      <c r="J190" s="3" t="s">
        <v>6098</v>
      </c>
      <c r="V190" s="3" t="s">
        <v>6540</v>
      </c>
      <c r="AT190" s="3" t="s">
        <v>6145</v>
      </c>
      <c r="AU190" s="3">
        <v>2022.0</v>
      </c>
      <c r="AV190" s="3">
        <v>30.0</v>
      </c>
      <c r="AW190" s="3">
        <v>11.0</v>
      </c>
      <c r="BB190" s="3">
        <v>3718.0</v>
      </c>
      <c r="BC190" s="3">
        <v>3725.0</v>
      </c>
      <c r="BE190" s="3" t="s">
        <v>1126</v>
      </c>
      <c r="BF190" s="3" t="s">
        <v>3962</v>
      </c>
      <c r="BH190" s="10">
        <v>46164.0</v>
      </c>
      <c r="BN190" s="3">
        <v>3.5507037E7</v>
      </c>
      <c r="BS190" s="3" t="s">
        <v>6541</v>
      </c>
      <c r="BT190" s="3" t="s">
        <v>6102</v>
      </c>
    </row>
    <row r="191" ht="14.25" customHeight="1">
      <c r="A191" s="3" t="s">
        <v>50</v>
      </c>
      <c r="B191" s="3" t="s">
        <v>6801</v>
      </c>
      <c r="F191" s="3" t="s">
        <v>6802</v>
      </c>
      <c r="I191" s="3" t="s">
        <v>1044</v>
      </c>
      <c r="J191" s="3" t="s">
        <v>6645</v>
      </c>
      <c r="V191" s="3" t="s">
        <v>6803</v>
      </c>
      <c r="AT191" s="3" t="s">
        <v>6100</v>
      </c>
      <c r="AU191" s="3">
        <v>2024.0</v>
      </c>
      <c r="AV191" s="3">
        <v>34.0</v>
      </c>
      <c r="AW191" s="3">
        <v>1.0</v>
      </c>
      <c r="BB191" s="3">
        <v>293.0</v>
      </c>
      <c r="BC191" s="3">
        <v>301.0</v>
      </c>
      <c r="BE191" s="3" t="s">
        <v>1048</v>
      </c>
      <c r="BF191" s="3" t="s">
        <v>3732</v>
      </c>
      <c r="BH191" s="10">
        <v>46226.0</v>
      </c>
      <c r="BN191" s="3">
        <v>3.7468645E7</v>
      </c>
      <c r="BS191" s="3" t="s">
        <v>6804</v>
      </c>
      <c r="BT191" s="3" t="s">
        <v>6102</v>
      </c>
    </row>
    <row r="192" ht="14.25" customHeight="1">
      <c r="A192" s="3" t="s">
        <v>50</v>
      </c>
      <c r="B192" s="3" t="s">
        <v>6755</v>
      </c>
      <c r="F192" s="3" t="s">
        <v>6756</v>
      </c>
      <c r="I192" s="3" t="s">
        <v>979</v>
      </c>
      <c r="J192" s="3" t="s">
        <v>6231</v>
      </c>
      <c r="V192" s="3" t="s">
        <v>6757</v>
      </c>
      <c r="AT192" s="10">
        <v>46379.0</v>
      </c>
      <c r="AU192" s="3">
        <v>2024.0</v>
      </c>
      <c r="AV192" s="3">
        <v>145.0</v>
      </c>
      <c r="AW192" s="3">
        <v>1.0</v>
      </c>
      <c r="BD192" s="3">
        <v>85.0</v>
      </c>
      <c r="BE192" s="3" t="s">
        <v>984</v>
      </c>
      <c r="BF192" s="3" t="s">
        <v>3479</v>
      </c>
      <c r="BN192" s="3">
        <v>3.9714511E7</v>
      </c>
      <c r="BS192" s="3" t="s">
        <v>6758</v>
      </c>
      <c r="BT192" s="3" t="s">
        <v>6102</v>
      </c>
    </row>
    <row r="193" ht="14.25" customHeight="1">
      <c r="A193" s="3" t="s">
        <v>50</v>
      </c>
      <c r="B193" s="3" t="s">
        <v>6117</v>
      </c>
      <c r="F193" s="3" t="s">
        <v>6118</v>
      </c>
      <c r="I193" s="3" t="s">
        <v>6119</v>
      </c>
      <c r="J193" s="3" t="s">
        <v>6105</v>
      </c>
      <c r="V193" s="3" t="s">
        <v>6120</v>
      </c>
      <c r="AT193" s="3" t="s">
        <v>6121</v>
      </c>
      <c r="AU193" s="3">
        <v>2014.0</v>
      </c>
      <c r="AV193" s="3">
        <v>30.0</v>
      </c>
      <c r="AW193" s="3">
        <v>5.0</v>
      </c>
      <c r="BB193" s="3">
        <v>593.0</v>
      </c>
      <c r="BC193" s="3">
        <v>598.0</v>
      </c>
      <c r="BE193" s="3" t="s">
        <v>355</v>
      </c>
      <c r="BF193" s="3" t="s">
        <v>2723</v>
      </c>
      <c r="BN193" s="3">
        <v>2.4630956E7</v>
      </c>
      <c r="BS193" s="3" t="s">
        <v>6122</v>
      </c>
      <c r="BT193" s="3" t="s">
        <v>6102</v>
      </c>
    </row>
    <row r="194" ht="14.25" customHeight="1">
      <c r="A194" s="3" t="s">
        <v>50</v>
      </c>
      <c r="B194" s="3" t="s">
        <v>6805</v>
      </c>
      <c r="F194" s="3" t="s">
        <v>6806</v>
      </c>
      <c r="I194" s="3" t="s">
        <v>6807</v>
      </c>
      <c r="J194" s="3" t="s">
        <v>6808</v>
      </c>
      <c r="V194" s="3" t="s">
        <v>6809</v>
      </c>
      <c r="AT194" s="3" t="s">
        <v>6810</v>
      </c>
      <c r="AU194" s="3">
        <v>2019.0</v>
      </c>
      <c r="AV194" s="3">
        <v>16.0</v>
      </c>
      <c r="AW194" s="3">
        <v>5.0</v>
      </c>
      <c r="BB194" s="3">
        <v>422.0</v>
      </c>
      <c r="BC194" s="3">
        <v>425.0</v>
      </c>
      <c r="BE194" s="3" t="s">
        <v>6811</v>
      </c>
      <c r="BF194" s="3" t="s">
        <v>6812</v>
      </c>
      <c r="BN194" s="3">
        <v>3.1193021E7</v>
      </c>
      <c r="BS194" s="3" t="s">
        <v>6813</v>
      </c>
      <c r="BT194" s="3" t="s">
        <v>6102</v>
      </c>
    </row>
    <row r="195" ht="14.25" customHeight="1">
      <c r="A195" s="3" t="s">
        <v>50</v>
      </c>
      <c r="B195" s="3" t="s">
        <v>6814</v>
      </c>
      <c r="F195" s="3" t="s">
        <v>6815</v>
      </c>
      <c r="I195" s="3" t="s">
        <v>1985</v>
      </c>
      <c r="J195" s="3" t="s">
        <v>6098</v>
      </c>
      <c r="V195" s="3" t="s">
        <v>6816</v>
      </c>
      <c r="AT195" s="3" t="s">
        <v>6177</v>
      </c>
      <c r="AU195" s="3">
        <v>2021.0</v>
      </c>
      <c r="AV195" s="3">
        <v>29.0</v>
      </c>
      <c r="AW195" s="3">
        <v>8.0</v>
      </c>
      <c r="BB195" s="3">
        <v>2665.0</v>
      </c>
      <c r="BC195" s="3">
        <v>2675.0</v>
      </c>
      <c r="BE195" s="3" t="s">
        <v>1990</v>
      </c>
      <c r="BF195" s="3" t="s">
        <v>5896</v>
      </c>
      <c r="BH195" s="10">
        <v>46163.0</v>
      </c>
      <c r="BN195" s="3">
        <v>3.3970295E7</v>
      </c>
      <c r="BS195" s="3" t="s">
        <v>6817</v>
      </c>
      <c r="BT195" s="3" t="s">
        <v>6102</v>
      </c>
    </row>
    <row r="196" ht="14.25" customHeight="1">
      <c r="A196" s="3" t="s">
        <v>50</v>
      </c>
      <c r="B196" s="3" t="s">
        <v>6256</v>
      </c>
      <c r="F196" s="3" t="s">
        <v>6257</v>
      </c>
      <c r="I196" s="3" t="s">
        <v>6258</v>
      </c>
      <c r="J196" s="3" t="s">
        <v>6259</v>
      </c>
      <c r="V196" s="3" t="s">
        <v>6260</v>
      </c>
      <c r="AT196" s="3" t="s">
        <v>6139</v>
      </c>
      <c r="AU196" s="3">
        <v>2022.0</v>
      </c>
      <c r="AV196" s="3">
        <v>10.0</v>
      </c>
      <c r="AW196" s="3">
        <v>4.0</v>
      </c>
      <c r="BD196" s="12">
        <v>2.33E16</v>
      </c>
      <c r="BE196" s="3" t="s">
        <v>2268</v>
      </c>
      <c r="BF196" s="3" t="s">
        <v>2269</v>
      </c>
      <c r="BN196" s="3">
        <v>3.5464901E7</v>
      </c>
      <c r="BS196" s="3" t="s">
        <v>6261</v>
      </c>
      <c r="BT196" s="3" t="s">
        <v>6102</v>
      </c>
    </row>
    <row r="197" ht="14.25" customHeight="1">
      <c r="A197" s="3" t="s">
        <v>50</v>
      </c>
      <c r="B197" s="3" t="s">
        <v>6287</v>
      </c>
      <c r="F197" s="3" t="s">
        <v>6288</v>
      </c>
      <c r="I197" s="3" t="s">
        <v>1262</v>
      </c>
      <c r="J197" s="3" t="s">
        <v>6225</v>
      </c>
      <c r="V197" s="3" t="s">
        <v>6289</v>
      </c>
      <c r="AT197" s="3" t="s">
        <v>6177</v>
      </c>
      <c r="AU197" s="3">
        <v>2018.0</v>
      </c>
      <c r="AV197" s="3">
        <v>25.0</v>
      </c>
      <c r="AW197" s="3">
        <v>4.0</v>
      </c>
      <c r="BB197" s="3">
        <v>704.0</v>
      </c>
      <c r="BC197" s="3">
        <v>714.0</v>
      </c>
      <c r="BE197" s="3" t="s">
        <v>1266</v>
      </c>
      <c r="BF197" s="3" t="s">
        <v>4475</v>
      </c>
      <c r="BN197" s="3">
        <v>2.9776815E7</v>
      </c>
      <c r="BS197" s="3" t="s">
        <v>6290</v>
      </c>
      <c r="BT197" s="3" t="s">
        <v>6102</v>
      </c>
    </row>
    <row r="198" ht="14.25" customHeight="1">
      <c r="A198" s="3" t="s">
        <v>50</v>
      </c>
      <c r="B198" s="3" t="s">
        <v>6291</v>
      </c>
      <c r="F198" s="3" t="s">
        <v>6292</v>
      </c>
      <c r="I198" s="3" t="s">
        <v>6293</v>
      </c>
      <c r="J198" s="3" t="s">
        <v>6259</v>
      </c>
      <c r="V198" s="3" t="s">
        <v>6294</v>
      </c>
      <c r="AT198" s="3" t="s">
        <v>6145</v>
      </c>
      <c r="AU198" s="3">
        <v>2022.0</v>
      </c>
      <c r="AV198" s="3">
        <v>10.0</v>
      </c>
      <c r="AW198" s="3">
        <v>11.0</v>
      </c>
      <c r="BD198" s="12">
        <v>2.33E16</v>
      </c>
      <c r="BE198" s="3" t="s">
        <v>6295</v>
      </c>
      <c r="BF198" s="3" t="s">
        <v>6296</v>
      </c>
      <c r="BN198" s="3">
        <v>3.647946E7</v>
      </c>
      <c r="BS198" s="3" t="s">
        <v>6297</v>
      </c>
      <c r="BT198" s="3" t="s">
        <v>6102</v>
      </c>
    </row>
    <row r="199" ht="14.25" customHeight="1">
      <c r="A199" s="3" t="s">
        <v>50</v>
      </c>
      <c r="B199" s="3" t="s">
        <v>6329</v>
      </c>
      <c r="F199" s="3" t="s">
        <v>6330</v>
      </c>
      <c r="I199" s="3" t="s">
        <v>1396</v>
      </c>
      <c r="J199" s="3" t="s">
        <v>6098</v>
      </c>
      <c r="V199" s="3" t="s">
        <v>6331</v>
      </c>
      <c r="AT199" s="3" t="s">
        <v>6207</v>
      </c>
      <c r="AU199" s="3">
        <v>2016.0</v>
      </c>
      <c r="AV199" s="3">
        <v>24.0</v>
      </c>
      <c r="AW199" s="3">
        <v>9.0</v>
      </c>
      <c r="BB199" s="3">
        <v>2831.0</v>
      </c>
      <c r="BC199" s="3">
        <v>2837.0</v>
      </c>
      <c r="BE199" s="3" t="s">
        <v>1400</v>
      </c>
      <c r="BF199" s="3" t="s">
        <v>6332</v>
      </c>
      <c r="BN199" s="3">
        <v>2.5630275E7</v>
      </c>
      <c r="BS199" s="3" t="s">
        <v>6333</v>
      </c>
      <c r="BT199" s="3" t="s">
        <v>6102</v>
      </c>
    </row>
    <row r="200" ht="14.25" customHeight="1">
      <c r="A200" s="3" t="s">
        <v>50</v>
      </c>
      <c r="B200" s="3" t="s">
        <v>6648</v>
      </c>
      <c r="F200" s="3" t="s">
        <v>6649</v>
      </c>
      <c r="I200" s="3" t="s">
        <v>6650</v>
      </c>
      <c r="J200" s="3" t="s">
        <v>6651</v>
      </c>
      <c r="AT200" s="3" t="s">
        <v>6145</v>
      </c>
      <c r="AU200" s="3">
        <v>2020.0</v>
      </c>
      <c r="AV200" s="3">
        <v>1.0</v>
      </c>
      <c r="AW200" s="3">
        <v>11.0</v>
      </c>
      <c r="BB200" s="3">
        <v>705.0</v>
      </c>
      <c r="BC200" s="3">
        <v>707.0</v>
      </c>
      <c r="BE200" s="3" t="s">
        <v>6652</v>
      </c>
      <c r="BF200" s="3" t="s">
        <v>6653</v>
      </c>
      <c r="BS200" s="3" t="s">
        <v>6654</v>
      </c>
      <c r="BT200" s="3" t="s">
        <v>6102</v>
      </c>
    </row>
    <row r="201" ht="14.25" customHeight="1">
      <c r="A201" s="3" t="s">
        <v>50</v>
      </c>
      <c r="B201" s="3" t="s">
        <v>6655</v>
      </c>
      <c r="F201" s="3" t="s">
        <v>6656</v>
      </c>
      <c r="I201" s="3" t="s">
        <v>6657</v>
      </c>
      <c r="J201" s="3" t="s">
        <v>6658</v>
      </c>
      <c r="V201" s="3" t="s">
        <v>6659</v>
      </c>
      <c r="AT201" s="3" t="s">
        <v>6165</v>
      </c>
      <c r="AU201" s="3">
        <v>2022.0</v>
      </c>
      <c r="AV201" s="3">
        <v>54.0</v>
      </c>
      <c r="BD201" s="3" t="s">
        <v>3969</v>
      </c>
      <c r="BE201" s="3" t="s">
        <v>1098</v>
      </c>
      <c r="BF201" s="3" t="s">
        <v>3973</v>
      </c>
      <c r="BN201" s="3">
        <v>3.6190389E7</v>
      </c>
      <c r="BS201" s="3" t="s">
        <v>6660</v>
      </c>
      <c r="BT201" s="3" t="s">
        <v>6102</v>
      </c>
    </row>
    <row r="202" ht="14.25" customHeight="1">
      <c r="A202" s="3" t="s">
        <v>50</v>
      </c>
      <c r="B202" s="3" t="s">
        <v>6371</v>
      </c>
      <c r="F202" s="3" t="s">
        <v>6372</v>
      </c>
      <c r="I202" s="3" t="s">
        <v>6373</v>
      </c>
      <c r="J202" s="3" t="s">
        <v>6137</v>
      </c>
      <c r="V202" s="3" t="s">
        <v>6374</v>
      </c>
      <c r="AT202" s="3" t="s">
        <v>6200</v>
      </c>
      <c r="AU202" s="3">
        <v>2010.0</v>
      </c>
      <c r="AV202" s="3">
        <v>38.0</v>
      </c>
      <c r="AW202" s="3">
        <v>3.0</v>
      </c>
      <c r="BB202" s="3">
        <v>492.0</v>
      </c>
      <c r="BC202" s="3">
        <v>500.0</v>
      </c>
      <c r="BE202" s="3" t="s">
        <v>461</v>
      </c>
      <c r="BF202" s="3" t="s">
        <v>6375</v>
      </c>
      <c r="BN202" s="3">
        <v>2.0194956E7</v>
      </c>
      <c r="BS202" s="3" t="s">
        <v>6376</v>
      </c>
      <c r="BT202" s="3" t="s">
        <v>6102</v>
      </c>
    </row>
    <row r="203" ht="14.25" customHeight="1">
      <c r="A203" s="3" t="s">
        <v>50</v>
      </c>
      <c r="B203" s="3" t="s">
        <v>6667</v>
      </c>
      <c r="F203" s="3" t="s">
        <v>6668</v>
      </c>
      <c r="I203" s="3" t="s">
        <v>1203</v>
      </c>
      <c r="J203" s="3" t="s">
        <v>6669</v>
      </c>
      <c r="V203" s="3" t="s">
        <v>6670</v>
      </c>
      <c r="AT203" s="3" t="s">
        <v>6158</v>
      </c>
      <c r="AU203" s="3">
        <v>2020.0</v>
      </c>
      <c r="AV203" s="3">
        <v>88.0</v>
      </c>
      <c r="AW203" s="3">
        <v>1.0</v>
      </c>
      <c r="BB203" s="3">
        <v>76.0</v>
      </c>
      <c r="BC203" s="3">
        <v>81.0</v>
      </c>
      <c r="BE203" s="3" t="s">
        <v>1208</v>
      </c>
      <c r="BF203" s="3" t="s">
        <v>4358</v>
      </c>
      <c r="BN203" s="3">
        <v>3.1967599E7</v>
      </c>
      <c r="BS203" s="3" t="s">
        <v>6671</v>
      </c>
      <c r="BT203" s="3" t="s">
        <v>6102</v>
      </c>
    </row>
    <row r="204" ht="14.25" customHeight="1">
      <c r="A204" s="3" t="s">
        <v>50</v>
      </c>
      <c r="B204" s="3" t="s">
        <v>6818</v>
      </c>
      <c r="F204" s="3" t="s">
        <v>6819</v>
      </c>
      <c r="I204" s="3" t="s">
        <v>6820</v>
      </c>
      <c r="J204" s="3" t="s">
        <v>6658</v>
      </c>
      <c r="V204" s="3" t="s">
        <v>6821</v>
      </c>
      <c r="AT204" s="3" t="s">
        <v>6200</v>
      </c>
      <c r="AU204" s="3">
        <v>2020.0</v>
      </c>
      <c r="AV204" s="3">
        <v>52.0</v>
      </c>
      <c r="AW204" s="3">
        <v>3.0</v>
      </c>
      <c r="BD204" s="3" t="s">
        <v>5918</v>
      </c>
      <c r="BE204" s="3" t="s">
        <v>1995</v>
      </c>
      <c r="BF204" s="3" t="s">
        <v>5921</v>
      </c>
      <c r="BN204" s="3">
        <v>3.2152642E7</v>
      </c>
      <c r="BS204" s="3" t="s">
        <v>6822</v>
      </c>
      <c r="BT204" s="3" t="s">
        <v>6102</v>
      </c>
    </row>
    <row r="205" ht="14.25" customHeight="1">
      <c r="A205" s="3" t="s">
        <v>50</v>
      </c>
      <c r="B205" s="3" t="s">
        <v>6381</v>
      </c>
      <c r="F205" s="3" t="s">
        <v>6382</v>
      </c>
      <c r="I205" s="3" t="s">
        <v>515</v>
      </c>
      <c r="J205" s="3" t="s">
        <v>6130</v>
      </c>
      <c r="V205" s="3" t="s">
        <v>6383</v>
      </c>
      <c r="AT205" s="3" t="s">
        <v>6132</v>
      </c>
      <c r="AU205" s="3">
        <v>2007.0</v>
      </c>
      <c r="AV205" s="3">
        <v>17.0</v>
      </c>
      <c r="AW205" s="3">
        <v>4.0</v>
      </c>
      <c r="BB205" s="3">
        <v>242.0</v>
      </c>
      <c r="BC205" s="3">
        <v>250.0</v>
      </c>
      <c r="BE205" s="3" t="s">
        <v>519</v>
      </c>
      <c r="BF205" s="3" t="s">
        <v>2964</v>
      </c>
      <c r="BN205" s="3">
        <v>1.7620776E7</v>
      </c>
      <c r="BS205" s="3" t="s">
        <v>6384</v>
      </c>
      <c r="BT205" s="3" t="s">
        <v>6102</v>
      </c>
    </row>
    <row r="206" ht="14.25" customHeight="1">
      <c r="A206" s="3" t="s">
        <v>50</v>
      </c>
      <c r="B206" s="3" t="s">
        <v>6680</v>
      </c>
      <c r="F206" s="3" t="s">
        <v>6681</v>
      </c>
      <c r="I206" s="3" t="s">
        <v>1969</v>
      </c>
      <c r="J206" s="3" t="s">
        <v>6137</v>
      </c>
      <c r="V206" s="3" t="s">
        <v>6682</v>
      </c>
      <c r="AT206" s="3" t="s">
        <v>6107</v>
      </c>
      <c r="AU206" s="3">
        <v>2022.0</v>
      </c>
      <c r="AV206" s="3">
        <v>50.0</v>
      </c>
      <c r="AW206" s="3">
        <v>7.0</v>
      </c>
      <c r="BB206" s="3">
        <v>1779.0</v>
      </c>
      <c r="BC206" s="3">
        <v>1787.0</v>
      </c>
      <c r="BD206" s="12">
        <v>3.64E15</v>
      </c>
      <c r="BE206" s="3" t="s">
        <v>1972</v>
      </c>
      <c r="BF206" s="3" t="s">
        <v>5856</v>
      </c>
      <c r="BH206" s="10">
        <v>46134.0</v>
      </c>
      <c r="BN206" s="3">
        <v>3.5486517E7</v>
      </c>
      <c r="BS206" s="3" t="s">
        <v>6683</v>
      </c>
      <c r="BT206" s="3" t="s">
        <v>6102</v>
      </c>
    </row>
    <row r="207" ht="14.25" customHeight="1">
      <c r="A207" s="3" t="s">
        <v>50</v>
      </c>
      <c r="B207" s="3" t="s">
        <v>6393</v>
      </c>
      <c r="F207" s="3" t="s">
        <v>6394</v>
      </c>
      <c r="I207" s="3" t="s">
        <v>6395</v>
      </c>
      <c r="J207" s="3" t="s">
        <v>6396</v>
      </c>
      <c r="V207" s="3" t="s">
        <v>6397</v>
      </c>
      <c r="AT207" s="10">
        <v>46116.0</v>
      </c>
      <c r="AU207" s="3">
        <v>2023.0</v>
      </c>
      <c r="AV207" s="3">
        <v>10.0</v>
      </c>
      <c r="AW207" s="3">
        <v>1.0</v>
      </c>
      <c r="BD207" s="3">
        <v>40.0</v>
      </c>
      <c r="BE207" s="3" t="s">
        <v>6398</v>
      </c>
      <c r="BF207" s="3" t="s">
        <v>6399</v>
      </c>
      <c r="BN207" s="3">
        <v>3.7014518E7</v>
      </c>
      <c r="BS207" s="3" t="s">
        <v>6400</v>
      </c>
      <c r="BT207" s="3" t="s">
        <v>6102</v>
      </c>
    </row>
    <row r="208" ht="14.25" customHeight="1">
      <c r="A208" s="3" t="s">
        <v>50</v>
      </c>
      <c r="B208" s="3" t="s">
        <v>6823</v>
      </c>
      <c r="F208" s="3" t="s">
        <v>6824</v>
      </c>
      <c r="I208" s="3" t="s">
        <v>6825</v>
      </c>
      <c r="J208" s="3" t="s">
        <v>6098</v>
      </c>
      <c r="V208" s="3" t="s">
        <v>6826</v>
      </c>
      <c r="AT208" s="3" t="s">
        <v>6827</v>
      </c>
      <c r="AU208" s="3">
        <v>2025.0</v>
      </c>
      <c r="BE208" s="3" t="s">
        <v>6828</v>
      </c>
      <c r="BF208" s="3" t="s">
        <v>6829</v>
      </c>
      <c r="BH208" s="10">
        <v>46351.0</v>
      </c>
      <c r="BN208" s="3">
        <v>4.1186016E7</v>
      </c>
      <c r="BS208" s="3" t="s">
        <v>6830</v>
      </c>
      <c r="BT208" s="3" t="s">
        <v>6102</v>
      </c>
    </row>
    <row r="209" ht="14.25" customHeight="1">
      <c r="A209" s="3" t="s">
        <v>50</v>
      </c>
      <c r="B209" s="3" t="s">
        <v>6692</v>
      </c>
      <c r="F209" s="3" t="s">
        <v>6693</v>
      </c>
      <c r="I209" s="3" t="s">
        <v>1319</v>
      </c>
      <c r="J209" s="3" t="s">
        <v>6694</v>
      </c>
      <c r="V209" s="3" t="s">
        <v>6695</v>
      </c>
      <c r="AT209" s="3" t="s">
        <v>6227</v>
      </c>
      <c r="AU209" s="3">
        <v>2016.0</v>
      </c>
      <c r="AV209" s="3">
        <v>50.0</v>
      </c>
      <c r="AW209" s="3">
        <v>6.0</v>
      </c>
      <c r="BB209" s="3">
        <v>628.0</v>
      </c>
      <c r="BC209" s="3">
        <v>634.0</v>
      </c>
      <c r="BE209" s="3" t="s">
        <v>1325</v>
      </c>
      <c r="BF209" s="3" t="s">
        <v>4711</v>
      </c>
      <c r="BN209" s="3">
        <v>2.7784622E7</v>
      </c>
      <c r="BS209" s="3" t="s">
        <v>6696</v>
      </c>
      <c r="BT209" s="3" t="s">
        <v>6102</v>
      </c>
    </row>
    <row r="210" ht="14.25" customHeight="1">
      <c r="A210" s="3" t="s">
        <v>50</v>
      </c>
      <c r="B210" s="3" t="s">
        <v>6460</v>
      </c>
      <c r="F210" s="3" t="s">
        <v>6461</v>
      </c>
      <c r="I210" s="3" t="s">
        <v>6462</v>
      </c>
      <c r="J210" s="3" t="s">
        <v>6137</v>
      </c>
      <c r="V210" s="3" t="s">
        <v>6463</v>
      </c>
      <c r="AT210" s="3" t="s">
        <v>6107</v>
      </c>
      <c r="AU210" s="3">
        <v>2011.0</v>
      </c>
      <c r="AV210" s="3">
        <v>39.0</v>
      </c>
      <c r="AW210" s="3">
        <v>6.0</v>
      </c>
      <c r="BB210" s="3">
        <v>1238.0</v>
      </c>
      <c r="BC210" s="3">
        <v>1247.0</v>
      </c>
      <c r="BE210" s="3" t="s">
        <v>6464</v>
      </c>
      <c r="BF210" s="3" t="s">
        <v>6465</v>
      </c>
      <c r="BN210" s="3">
        <v>2.1343386E7</v>
      </c>
      <c r="BS210" s="3" t="s">
        <v>6466</v>
      </c>
      <c r="BT210" s="3" t="s">
        <v>6102</v>
      </c>
    </row>
    <row r="211" ht="14.25" customHeight="1">
      <c r="A211" s="3" t="s">
        <v>50</v>
      </c>
      <c r="B211" s="3" t="s">
        <v>6697</v>
      </c>
      <c r="F211" s="3" t="s">
        <v>6698</v>
      </c>
      <c r="I211" s="3" t="s">
        <v>6699</v>
      </c>
      <c r="J211" s="3" t="s">
        <v>6700</v>
      </c>
      <c r="V211" s="3" t="s">
        <v>6701</v>
      </c>
      <c r="AT211" s="3" t="s">
        <v>6165</v>
      </c>
      <c r="AU211" s="3">
        <v>2024.0</v>
      </c>
      <c r="AV211" s="3">
        <v>9.0</v>
      </c>
      <c r="AW211" s="3">
        <v>5.0</v>
      </c>
      <c r="BD211" s="3">
        <v>100309.0</v>
      </c>
      <c r="BE211" s="3" t="s">
        <v>6702</v>
      </c>
      <c r="BF211" s="3" t="s">
        <v>6703</v>
      </c>
      <c r="BH211" s="10">
        <v>46289.0</v>
      </c>
      <c r="BN211" s="3">
        <v>3.9159822E7</v>
      </c>
      <c r="BS211" s="3" t="s">
        <v>6704</v>
      </c>
      <c r="BT211" s="3" t="s">
        <v>6102</v>
      </c>
    </row>
    <row r="212" ht="14.25" customHeight="1">
      <c r="A212" s="3" t="s">
        <v>50</v>
      </c>
      <c r="B212" s="3" t="s">
        <v>6831</v>
      </c>
      <c r="F212" s="3" t="s">
        <v>6832</v>
      </c>
      <c r="I212" s="3" t="s">
        <v>1956</v>
      </c>
      <c r="J212" s="3" t="s">
        <v>6833</v>
      </c>
      <c r="V212" s="3" t="s">
        <v>6834</v>
      </c>
      <c r="AT212" s="10">
        <v>46285.0</v>
      </c>
      <c r="AU212" s="3">
        <v>2025.0</v>
      </c>
      <c r="AV212" s="3">
        <v>138.0</v>
      </c>
      <c r="AW212" s="3">
        <v>18.0</v>
      </c>
      <c r="BB212" s="3">
        <v>2283.0</v>
      </c>
      <c r="BC212" s="3">
        <v>2292.0</v>
      </c>
      <c r="BE212" s="3" t="s">
        <v>1961</v>
      </c>
      <c r="BF212" s="3" t="s">
        <v>5825</v>
      </c>
      <c r="BN212" s="3">
        <v>3.9385323E7</v>
      </c>
      <c r="BS212" s="3" t="s">
        <v>6835</v>
      </c>
      <c r="BT212" s="3" t="s">
        <v>6102</v>
      </c>
    </row>
    <row r="213" ht="14.25" customHeight="1">
      <c r="A213" s="3" t="s">
        <v>50</v>
      </c>
      <c r="B213" s="3" t="s">
        <v>6401</v>
      </c>
      <c r="F213" s="3" t="s">
        <v>6402</v>
      </c>
      <c r="I213" s="3" t="s">
        <v>176</v>
      </c>
      <c r="J213" s="3" t="s">
        <v>6225</v>
      </c>
      <c r="V213" s="3" t="s">
        <v>6403</v>
      </c>
      <c r="AT213" s="3" t="s">
        <v>6107</v>
      </c>
      <c r="AU213" s="3">
        <v>2022.0</v>
      </c>
      <c r="AV213" s="3">
        <v>36.0</v>
      </c>
      <c r="BB213" s="3">
        <v>33.0</v>
      </c>
      <c r="BC213" s="3">
        <v>43.0</v>
      </c>
      <c r="BE213" s="3" t="s">
        <v>181</v>
      </c>
      <c r="BF213" s="3" t="s">
        <v>2258</v>
      </c>
      <c r="BH213" s="10">
        <v>46134.0</v>
      </c>
      <c r="BN213" s="3">
        <v>3.546833E7</v>
      </c>
      <c r="BS213" s="3" t="s">
        <v>6404</v>
      </c>
      <c r="BT213" s="3" t="s">
        <v>6102</v>
      </c>
    </row>
    <row r="214" ht="14.25" customHeight="1">
      <c r="A214" s="3" t="s">
        <v>50</v>
      </c>
      <c r="B214" s="3" t="s">
        <v>6705</v>
      </c>
      <c r="F214" s="3" t="s">
        <v>6706</v>
      </c>
      <c r="I214" s="3" t="s">
        <v>1197</v>
      </c>
      <c r="J214" s="3" t="s">
        <v>6707</v>
      </c>
      <c r="V214" s="3" t="s">
        <v>6708</v>
      </c>
      <c r="AT214" s="3" t="s">
        <v>6132</v>
      </c>
      <c r="AU214" s="3">
        <v>2020.0</v>
      </c>
      <c r="AV214" s="3">
        <v>50.0</v>
      </c>
      <c r="AW214" s="3">
        <v>7.0</v>
      </c>
      <c r="BB214" s="3">
        <v>1393.0</v>
      </c>
      <c r="BC214" s="3">
        <v>1403.0</v>
      </c>
      <c r="BE214" s="3" t="s">
        <v>1202</v>
      </c>
      <c r="BF214" s="3" t="s">
        <v>4311</v>
      </c>
      <c r="BH214" s="10">
        <v>46101.0</v>
      </c>
      <c r="BN214" s="3">
        <v>3.2125668E7</v>
      </c>
      <c r="BS214" s="3" t="s">
        <v>6709</v>
      </c>
      <c r="BT214" s="3" t="s">
        <v>6102</v>
      </c>
    </row>
    <row r="215" ht="14.25" customHeight="1">
      <c r="A215" s="3" t="s">
        <v>50</v>
      </c>
      <c r="B215" s="3" t="s">
        <v>6836</v>
      </c>
      <c r="F215" s="3" t="s">
        <v>6837</v>
      </c>
      <c r="I215" s="3" t="s">
        <v>1996</v>
      </c>
      <c r="J215" s="3" t="s">
        <v>6838</v>
      </c>
      <c r="V215" s="3" t="s">
        <v>6839</v>
      </c>
      <c r="AT215" s="3" t="s">
        <v>6810</v>
      </c>
      <c r="AU215" s="3">
        <v>2020.0</v>
      </c>
      <c r="AV215" s="3">
        <v>24.0</v>
      </c>
      <c r="AW215" s="3">
        <v>5.0</v>
      </c>
      <c r="BB215" s="3">
        <v>424.0</v>
      </c>
      <c r="BC215" s="3">
        <v>432.0</v>
      </c>
      <c r="BE215" s="3" t="s">
        <v>2002</v>
      </c>
      <c r="BF215" s="3" t="s">
        <v>5906</v>
      </c>
      <c r="BN215" s="3">
        <v>3.1351901E7</v>
      </c>
      <c r="BS215" s="3" t="s">
        <v>6840</v>
      </c>
      <c r="BT215" s="3" t="s">
        <v>6102</v>
      </c>
    </row>
    <row r="216" ht="14.25" customHeight="1">
      <c r="A216" s="3" t="s">
        <v>50</v>
      </c>
      <c r="B216" s="3" t="s">
        <v>6411</v>
      </c>
      <c r="F216" s="3" t="s">
        <v>6412</v>
      </c>
      <c r="I216" s="3" t="s">
        <v>6413</v>
      </c>
      <c r="J216" s="3" t="s">
        <v>6137</v>
      </c>
      <c r="V216" s="3" t="s">
        <v>6414</v>
      </c>
      <c r="AT216" s="3" t="s">
        <v>6145</v>
      </c>
      <c r="AU216" s="3">
        <v>2013.0</v>
      </c>
      <c r="AV216" s="3">
        <v>41.0</v>
      </c>
      <c r="AW216" s="3">
        <v>11.0</v>
      </c>
      <c r="BB216" s="3">
        <v>2492.0</v>
      </c>
      <c r="BC216" s="3">
        <v>2499.0</v>
      </c>
      <c r="BE216" s="3" t="s">
        <v>360</v>
      </c>
      <c r="BF216" s="3" t="s">
        <v>6415</v>
      </c>
      <c r="BN216" s="3">
        <v>2.4001575E7</v>
      </c>
      <c r="BS216" s="3" t="s">
        <v>6416</v>
      </c>
      <c r="BT216" s="3" t="s">
        <v>6102</v>
      </c>
    </row>
    <row r="217" ht="14.25" customHeight="1">
      <c r="A217" s="3" t="s">
        <v>50</v>
      </c>
      <c r="B217" s="3" t="s">
        <v>6841</v>
      </c>
      <c r="F217" s="3" t="s">
        <v>6842</v>
      </c>
      <c r="I217" s="3" t="s">
        <v>6843</v>
      </c>
      <c r="J217" s="3" t="s">
        <v>6844</v>
      </c>
      <c r="V217" s="3" t="s">
        <v>6845</v>
      </c>
      <c r="AT217" s="3" t="s">
        <v>6107</v>
      </c>
      <c r="AU217" s="3">
        <v>2022.0</v>
      </c>
      <c r="AV217" s="3">
        <v>115.0</v>
      </c>
      <c r="BB217" s="3">
        <v>18.0</v>
      </c>
      <c r="BC217" s="3">
        <v>26.0</v>
      </c>
      <c r="BE217" s="3" t="s">
        <v>6846</v>
      </c>
      <c r="BF217" s="3" t="s">
        <v>6847</v>
      </c>
      <c r="BH217" s="10">
        <v>46044.0</v>
      </c>
      <c r="BN217" s="3">
        <v>3.5101723E7</v>
      </c>
      <c r="BS217" s="3" t="s">
        <v>6848</v>
      </c>
      <c r="BT217" s="3" t="s">
        <v>6102</v>
      </c>
    </row>
    <row r="218" ht="14.25" customHeight="1">
      <c r="A218" s="3" t="s">
        <v>50</v>
      </c>
      <c r="B218" s="3" t="s">
        <v>6746</v>
      </c>
      <c r="F218" s="3" t="s">
        <v>6747</v>
      </c>
      <c r="I218" s="3" t="s">
        <v>1140</v>
      </c>
      <c r="J218" s="3" t="s">
        <v>6640</v>
      </c>
      <c r="V218" s="3" t="s">
        <v>6748</v>
      </c>
      <c r="AT218" s="10">
        <v>46238.0</v>
      </c>
      <c r="AU218" s="3">
        <v>2021.0</v>
      </c>
      <c r="AV218" s="3">
        <v>22.0</v>
      </c>
      <c r="AW218" s="3">
        <v>1.0</v>
      </c>
      <c r="BD218" s="3">
        <v>655.0</v>
      </c>
      <c r="BE218" s="3" t="s">
        <v>1146</v>
      </c>
      <c r="BF218" s="3" t="s">
        <v>4126</v>
      </c>
      <c r="BN218" s="3">
        <v>3.4348704E7</v>
      </c>
      <c r="BS218" s="3" t="s">
        <v>6749</v>
      </c>
      <c r="BT218" s="3" t="s">
        <v>6102</v>
      </c>
    </row>
    <row r="219" ht="14.25" customHeight="1">
      <c r="A219" s="3" t="s">
        <v>50</v>
      </c>
      <c r="B219" s="3" t="s">
        <v>6759</v>
      </c>
      <c r="F219" s="3" t="s">
        <v>6760</v>
      </c>
      <c r="I219" s="3" t="s">
        <v>1253</v>
      </c>
      <c r="J219" s="3" t="s">
        <v>6098</v>
      </c>
      <c r="V219" s="3" t="s">
        <v>6761</v>
      </c>
      <c r="AT219" s="3" t="s">
        <v>6100</v>
      </c>
      <c r="AU219" s="3">
        <v>2019.0</v>
      </c>
      <c r="AV219" s="3">
        <v>27.0</v>
      </c>
      <c r="AW219" s="3">
        <v>1.0</v>
      </c>
      <c r="BB219" s="3">
        <v>68.0</v>
      </c>
      <c r="BC219" s="3">
        <v>75.0</v>
      </c>
      <c r="BE219" s="3" t="s">
        <v>1257</v>
      </c>
      <c r="BF219" s="3" t="s">
        <v>4449</v>
      </c>
      <c r="BN219" s="3">
        <v>2.9959448E7</v>
      </c>
      <c r="BS219" s="3" t="s">
        <v>6762</v>
      </c>
      <c r="BT219" s="3" t="s">
        <v>6102</v>
      </c>
    </row>
    <row r="220" ht="14.25" customHeight="1">
      <c r="A220" s="3" t="s">
        <v>50</v>
      </c>
      <c r="B220" s="3" t="s">
        <v>6750</v>
      </c>
      <c r="F220" s="3" t="s">
        <v>6751</v>
      </c>
      <c r="I220" s="3" t="s">
        <v>4549</v>
      </c>
      <c r="J220" s="3" t="s">
        <v>6752</v>
      </c>
      <c r="V220" s="3" t="s">
        <v>6753</v>
      </c>
      <c r="AT220" s="10">
        <v>46048.0</v>
      </c>
      <c r="AU220" s="3">
        <v>2018.0</v>
      </c>
      <c r="AV220" s="3">
        <v>19.0</v>
      </c>
      <c r="BD220" s="3">
        <v>75.0</v>
      </c>
      <c r="BE220" s="3" t="s">
        <v>4558</v>
      </c>
      <c r="BF220" s="3" t="s">
        <v>4559</v>
      </c>
      <c r="BN220" s="3">
        <v>2.9373984E7</v>
      </c>
      <c r="BS220" s="3" t="s">
        <v>6754</v>
      </c>
      <c r="BT220" s="3" t="s">
        <v>6102</v>
      </c>
    </row>
    <row r="221" ht="14.25" customHeight="1">
      <c r="A221" s="3" t="s">
        <v>50</v>
      </c>
      <c r="B221" s="3" t="s">
        <v>6849</v>
      </c>
      <c r="F221" s="3" t="s">
        <v>6850</v>
      </c>
      <c r="I221" s="3" t="s">
        <v>2019</v>
      </c>
      <c r="J221" s="3" t="s">
        <v>6137</v>
      </c>
      <c r="V221" s="3" t="s">
        <v>6851</v>
      </c>
      <c r="AT221" s="3" t="s">
        <v>6200</v>
      </c>
      <c r="AU221" s="3">
        <v>2016.0</v>
      </c>
      <c r="AV221" s="3">
        <v>44.0</v>
      </c>
      <c r="AW221" s="3">
        <v>3.0</v>
      </c>
      <c r="BB221" s="3">
        <v>609.0</v>
      </c>
      <c r="BC221" s="3">
        <v>617.0</v>
      </c>
      <c r="BE221" s="3" t="s">
        <v>2023</v>
      </c>
      <c r="BF221" s="3" t="s">
        <v>5975</v>
      </c>
      <c r="BN221" s="3">
        <v>2.67977E7</v>
      </c>
      <c r="BS221" s="3" t="s">
        <v>6852</v>
      </c>
      <c r="BT221" s="3" t="s">
        <v>6102</v>
      </c>
    </row>
    <row r="222" ht="14.25" customHeight="1">
      <c r="A222" s="3" t="s">
        <v>50</v>
      </c>
      <c r="B222" s="3" t="s">
        <v>6853</v>
      </c>
      <c r="F222" s="3" t="s">
        <v>6854</v>
      </c>
      <c r="I222" s="3" t="s">
        <v>6855</v>
      </c>
      <c r="J222" s="3" t="s">
        <v>6259</v>
      </c>
      <c r="V222" s="3" t="s">
        <v>6856</v>
      </c>
      <c r="AT222" s="3" t="s">
        <v>6165</v>
      </c>
      <c r="AU222" s="3">
        <v>2024.0</v>
      </c>
      <c r="AV222" s="3">
        <v>12.0</v>
      </c>
      <c r="AW222" s="3">
        <v>10.0</v>
      </c>
      <c r="BD222" s="12">
        <v>2.33E16</v>
      </c>
      <c r="BE222" s="3" t="s">
        <v>5783</v>
      </c>
      <c r="BF222" s="3" t="s">
        <v>5784</v>
      </c>
      <c r="BN222" s="3">
        <v>3.9415796E7</v>
      </c>
      <c r="BS222" s="3" t="s">
        <v>6857</v>
      </c>
      <c r="BT222" s="3" t="s">
        <v>6102</v>
      </c>
    </row>
    <row r="223" ht="14.25" customHeight="1">
      <c r="A223" s="3" t="s">
        <v>50</v>
      </c>
      <c r="B223" s="3" t="s">
        <v>6858</v>
      </c>
      <c r="F223" s="3" t="s">
        <v>6859</v>
      </c>
      <c r="I223" s="3" t="s">
        <v>5703</v>
      </c>
      <c r="J223" s="3" t="s">
        <v>6860</v>
      </c>
      <c r="V223" s="3" t="s">
        <v>6861</v>
      </c>
      <c r="AT223" s="10">
        <v>46256.0</v>
      </c>
      <c r="AU223" s="3">
        <v>2025.0</v>
      </c>
      <c r="AV223" s="3">
        <v>11.0</v>
      </c>
      <c r="AW223" s="3">
        <v>1.0</v>
      </c>
      <c r="BD223" s="3">
        <v>98.0</v>
      </c>
      <c r="BE223" s="3" t="s">
        <v>5713</v>
      </c>
      <c r="BF223" s="3" t="s">
        <v>5714</v>
      </c>
      <c r="BN223" s="3">
        <v>4.084469E7</v>
      </c>
      <c r="BS223" s="3" t="s">
        <v>6862</v>
      </c>
      <c r="BT223" s="3" t="s">
        <v>6102</v>
      </c>
    </row>
    <row r="224" ht="14.25" customHeight="1">
      <c r="A224" s="3" t="s">
        <v>50</v>
      </c>
      <c r="B224" s="3" t="s">
        <v>6863</v>
      </c>
      <c r="F224" s="3" t="s">
        <v>6864</v>
      </c>
      <c r="I224" s="3" t="s">
        <v>6865</v>
      </c>
      <c r="J224" s="3" t="s">
        <v>6866</v>
      </c>
      <c r="V224" s="3" t="s">
        <v>6867</v>
      </c>
      <c r="AT224" s="3" t="s">
        <v>6227</v>
      </c>
      <c r="AU224" s="3">
        <v>2014.0</v>
      </c>
      <c r="AV224" s="3">
        <v>44.0</v>
      </c>
      <c r="AW224" s="3">
        <v>12.0</v>
      </c>
      <c r="BB224" s="3">
        <v>914.0</v>
      </c>
      <c r="BC224" s="3">
        <v>923.0</v>
      </c>
      <c r="BE224" s="3" t="s">
        <v>6868</v>
      </c>
      <c r="BF224" s="3" t="s">
        <v>6869</v>
      </c>
      <c r="BN224" s="3">
        <v>2.5347228E7</v>
      </c>
      <c r="BS224" s="3" t="s">
        <v>6870</v>
      </c>
      <c r="BT224" s="3" t="s">
        <v>6102</v>
      </c>
    </row>
    <row r="225" ht="14.25" customHeight="1">
      <c r="A225" s="3" t="s">
        <v>50</v>
      </c>
      <c r="B225" s="3" t="s">
        <v>6777</v>
      </c>
      <c r="F225" s="3" t="s">
        <v>6778</v>
      </c>
      <c r="I225" s="3" t="s">
        <v>6779</v>
      </c>
      <c r="J225" s="3" t="s">
        <v>6388</v>
      </c>
      <c r="V225" s="3" t="s">
        <v>6780</v>
      </c>
      <c r="AT225" s="3" t="s">
        <v>6121</v>
      </c>
      <c r="AU225" s="3">
        <v>2015.0</v>
      </c>
      <c r="AV225" s="3">
        <v>50.0</v>
      </c>
      <c r="AW225" s="3">
        <v>5.0</v>
      </c>
      <c r="BB225" s="3">
        <v>508.0</v>
      </c>
      <c r="BC225" s="3">
        <v>515.0</v>
      </c>
      <c r="BE225" s="3" t="s">
        <v>6781</v>
      </c>
      <c r="BF225" s="3" t="s">
        <v>6782</v>
      </c>
      <c r="BN225" s="3">
        <v>2.5594914E7</v>
      </c>
      <c r="BS225" s="3" t="s">
        <v>6783</v>
      </c>
      <c r="BT225" s="3" t="s">
        <v>6102</v>
      </c>
    </row>
    <row r="226" ht="14.25" customHeight="1">
      <c r="A226" s="3" t="s">
        <v>50</v>
      </c>
      <c r="B226" s="3" t="s">
        <v>6784</v>
      </c>
      <c r="F226" s="3" t="s">
        <v>6785</v>
      </c>
      <c r="I226" s="3" t="s">
        <v>6786</v>
      </c>
      <c r="J226" s="3" t="s">
        <v>6137</v>
      </c>
      <c r="V226" s="3" t="s">
        <v>6787</v>
      </c>
      <c r="AT226" s="3" t="s">
        <v>6153</v>
      </c>
      <c r="AU226" s="3">
        <v>2008.0</v>
      </c>
      <c r="AV226" s="3">
        <v>36.0</v>
      </c>
      <c r="AW226" s="3">
        <v>2.0</v>
      </c>
      <c r="BB226" s="3">
        <v>298.0</v>
      </c>
      <c r="BC226" s="3">
        <v>307.0</v>
      </c>
      <c r="BE226" s="3" t="s">
        <v>1735</v>
      </c>
      <c r="BF226" s="3" t="s">
        <v>5459</v>
      </c>
      <c r="BN226" s="3">
        <v>1.7940146E7</v>
      </c>
      <c r="BS226" s="3" t="s">
        <v>6788</v>
      </c>
      <c r="BT226" s="3" t="s">
        <v>6102</v>
      </c>
    </row>
    <row r="227" ht="14.25" customHeight="1">
      <c r="A227" s="3" t="s">
        <v>50</v>
      </c>
      <c r="B227" s="3" t="s">
        <v>6871</v>
      </c>
      <c r="F227" s="3" t="s">
        <v>6872</v>
      </c>
      <c r="I227" s="3" t="s">
        <v>1973</v>
      </c>
      <c r="J227" s="3" t="s">
        <v>6640</v>
      </c>
      <c r="V227" s="3" t="s">
        <v>6873</v>
      </c>
      <c r="AT227" s="10">
        <v>46349.0</v>
      </c>
      <c r="AU227" s="3">
        <v>2021.0</v>
      </c>
      <c r="AV227" s="3">
        <v>22.0</v>
      </c>
      <c r="AW227" s="3">
        <v>1.0</v>
      </c>
      <c r="BD227" s="3">
        <v>975.0</v>
      </c>
      <c r="BE227" s="3" t="s">
        <v>1978</v>
      </c>
      <c r="BF227" s="3" t="s">
        <v>5871</v>
      </c>
      <c r="BN227" s="3">
        <v>3.4814896E7</v>
      </c>
      <c r="BS227" s="3" t="s">
        <v>6874</v>
      </c>
      <c r="BT227" s="3" t="s">
        <v>6102</v>
      </c>
    </row>
    <row r="228" ht="14.25" customHeight="1">
      <c r="A228" s="3" t="s">
        <v>50</v>
      </c>
      <c r="B228" s="3" t="s">
        <v>6526</v>
      </c>
      <c r="F228" s="3" t="s">
        <v>6527</v>
      </c>
      <c r="I228" s="3" t="s">
        <v>6528</v>
      </c>
      <c r="J228" s="3" t="s">
        <v>6137</v>
      </c>
      <c r="V228" s="3" t="s">
        <v>6529</v>
      </c>
      <c r="AT228" s="3" t="s">
        <v>6139</v>
      </c>
      <c r="AU228" s="3">
        <v>2013.0</v>
      </c>
      <c r="AV228" s="3">
        <v>41.0</v>
      </c>
      <c r="AW228" s="3">
        <v>4.0</v>
      </c>
      <c r="BB228" s="3">
        <v>788.0</v>
      </c>
      <c r="BC228" s="3">
        <v>794.0</v>
      </c>
      <c r="BE228" s="3" t="s">
        <v>1474</v>
      </c>
      <c r="BF228" s="3" t="s">
        <v>5027</v>
      </c>
      <c r="BN228" s="3">
        <v>2.3423316E7</v>
      </c>
      <c r="BS228" s="3" t="s">
        <v>6530</v>
      </c>
      <c r="BT228" s="3" t="s">
        <v>6102</v>
      </c>
    </row>
    <row r="229" ht="14.25" customHeight="1">
      <c r="A229" s="3" t="s">
        <v>50</v>
      </c>
      <c r="B229" s="3" t="s">
        <v>6801</v>
      </c>
      <c r="F229" s="3" t="s">
        <v>6802</v>
      </c>
      <c r="I229" s="3" t="s">
        <v>1044</v>
      </c>
      <c r="J229" s="3" t="s">
        <v>6645</v>
      </c>
      <c r="V229" s="3" t="s">
        <v>6803</v>
      </c>
      <c r="AT229" s="3" t="s">
        <v>6100</v>
      </c>
      <c r="AU229" s="3">
        <v>2024.0</v>
      </c>
      <c r="AV229" s="3">
        <v>34.0</v>
      </c>
      <c r="AW229" s="3">
        <v>1.0</v>
      </c>
      <c r="BB229" s="3">
        <v>293.0</v>
      </c>
      <c r="BC229" s="3">
        <v>301.0</v>
      </c>
      <c r="BE229" s="3" t="s">
        <v>1048</v>
      </c>
      <c r="BF229" s="3" t="s">
        <v>3732</v>
      </c>
      <c r="BH229" s="10">
        <v>46226.0</v>
      </c>
      <c r="BN229" s="3">
        <v>3.7468645E7</v>
      </c>
      <c r="BS229" s="3" t="s">
        <v>6804</v>
      </c>
      <c r="BT229" s="3" t="s">
        <v>6102</v>
      </c>
    </row>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Dong Kim</dc:creator>
</cp:coreProperties>
</file>